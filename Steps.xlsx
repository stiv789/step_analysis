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tyles.xml" ContentType="application/vnd.openxmlformats-officedocument.spreadsheetml.styles+xml"/>
  <Override PartName="/xl/charts/chart35.xml" ContentType="application/vnd.openxmlformats-officedocument.drawingml.chart+xml"/>
  <Override PartName="/xl/charts/chart1.xml" ContentType="application/vnd.openxmlformats-officedocument.drawingml.chart+xml"/>
  <Override PartName="/xl/charts/chart36.xml" ContentType="application/vnd.openxmlformats-officedocument.drawingml.chart+xml"/>
  <Override PartName="/xl/charts/chart28.xml" ContentType="application/vnd.openxmlformats-officedocument.drawingml.chart+xml"/>
  <Override PartName="/xl/charts/chart2.xml" ContentType="application/vnd.openxmlformats-officedocument.drawingml.chart+xml"/>
  <Override PartName="/xl/charts/chart4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22.xml" ContentType="application/vnd.openxmlformats-officedocument.drawingml.chart+xml"/>
  <Override PartName="/xl/charts/chart8.xml" ContentType="application/vnd.openxmlformats-officedocument.drawingml.chart+xml"/>
  <Override PartName="/xl/charts/chart23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49.xml" ContentType="application/vnd.openxmlformats-officedocument.drawingml.chart+xml"/>
  <Override PartName="/xl/charts/chart14.xml" ContentType="application/vnd.openxmlformats-officedocument.drawingml.chart+xml"/>
  <Override PartName="/xl/charts/chart48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45.xml" ContentType="application/vnd.openxmlformats-officedocument.drawingml.chart+xml"/>
  <Override PartName="/xl/charts/chart18.xml" ContentType="application/vnd.openxmlformats-officedocument.drawingml.chart+xml"/>
  <Override PartName="/xl/charts/chart44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2017" sheetId="1" state="visible" r:id="rId3"/>
    <sheet name="2018" sheetId="2" state="visible" r:id="rId4"/>
    <sheet name="2019" sheetId="3" state="visible" r:id="rId5"/>
    <sheet name="2020" sheetId="4" state="visible" r:id="rId6"/>
    <sheet name="2021" sheetId="5" state="visible" r:id="rId7"/>
    <sheet name="2022" sheetId="6" state="visible" r:id="rId8"/>
    <sheet name="2023" sheetId="7" state="visible" r:id="rId9"/>
    <sheet name="2024" sheetId="8" state="visible" r:id="rId10"/>
    <sheet name="2025" sheetId="9" state="visible" r:id="rId11"/>
    <sheet name="2026" sheetId="10" state="visible" r:id="rId12"/>
    <sheet name="Analysi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<sst xmlns="http://schemas.openxmlformats.org/spreadsheetml/2006/main" count="2804" uniqueCount="203">
  <si>
    <t xml:space="preserve">Number</t>
  </si>
  <si>
    <t xml:space="preserve">Day</t>
  </si>
  <si>
    <t xml:space="preserve">Steps</t>
  </si>
  <si>
    <t xml:space="preserve">Difference</t>
  </si>
  <si>
    <t xml:space="preserve">13.7.2017</t>
  </si>
  <si>
    <t xml:space="preserve">July</t>
  </si>
  <si>
    <t xml:space="preserve">14.7.2017</t>
  </si>
  <si>
    <t xml:space="preserve">15.7.2017</t>
  </si>
  <si>
    <t xml:space="preserve">Mean</t>
  </si>
  <si>
    <t xml:space="preserve">16.7.2017</t>
  </si>
  <si>
    <t xml:space="preserve">Standard Error</t>
  </si>
  <si>
    <t xml:space="preserve">17.7.2017</t>
  </si>
  <si>
    <t xml:space="preserve">Median</t>
  </si>
  <si>
    <t xml:space="preserve">18.7.2017</t>
  </si>
  <si>
    <t xml:space="preserve">Mode</t>
  </si>
  <si>
    <t xml:space="preserve">19.7.2017</t>
  </si>
  <si>
    <t xml:space="preserve">Standard Deviation</t>
  </si>
  <si>
    <t xml:space="preserve">20.7.2017</t>
  </si>
  <si>
    <t xml:space="preserve">Sample Variance</t>
  </si>
  <si>
    <t xml:space="preserve">21.7.2017</t>
  </si>
  <si>
    <t xml:space="preserve">Kurtosis</t>
  </si>
  <si>
    <t xml:space="preserve">22.7.2017</t>
  </si>
  <si>
    <t xml:space="preserve">Skewness</t>
  </si>
  <si>
    <t xml:space="preserve">23.7.2017</t>
  </si>
  <si>
    <t xml:space="preserve">Range</t>
  </si>
  <si>
    <t xml:space="preserve">24.7.2017</t>
  </si>
  <si>
    <t xml:space="preserve">Minimum</t>
  </si>
  <si>
    <t xml:space="preserve">25.7.2017</t>
  </si>
  <si>
    <t xml:space="preserve">Maximum</t>
  </si>
  <si>
    <t xml:space="preserve">26.7.2017</t>
  </si>
  <si>
    <t xml:space="preserve">Sum</t>
  </si>
  <si>
    <t xml:space="preserve">27.7.2017</t>
  </si>
  <si>
    <t xml:space="preserve">Count</t>
  </si>
  <si>
    <t xml:space="preserve">28.7.2017</t>
  </si>
  <si>
    <t xml:space="preserve">Largest(1)</t>
  </si>
  <si>
    <t xml:space="preserve">29.7.2017</t>
  </si>
  <si>
    <t xml:space="preserve">Smallest(1)</t>
  </si>
  <si>
    <t xml:space="preserve">30.7.2017</t>
  </si>
  <si>
    <t xml:space="preserve">Confidence Level(95.0%)</t>
  </si>
  <si>
    <t xml:space="preserve">31.7.2017</t>
  </si>
  <si>
    <t xml:space="preserve">1.8.2017</t>
  </si>
  <si>
    <t xml:space="preserve">August</t>
  </si>
  <si>
    <t xml:space="preserve">July-August</t>
  </si>
  <si>
    <t xml:space="preserve">2.8.2017</t>
  </si>
  <si>
    <t xml:space="preserve">3.8.2017</t>
  </si>
  <si>
    <t xml:space="preserve">4.8.2017</t>
  </si>
  <si>
    <t xml:space="preserve">5.8.2017</t>
  </si>
  <si>
    <t xml:space="preserve">6.8.2017</t>
  </si>
  <si>
    <t xml:space="preserve">7.8.2017</t>
  </si>
  <si>
    <t xml:space="preserve">8.8.2017</t>
  </si>
  <si>
    <t xml:space="preserve">9.8.2017</t>
  </si>
  <si>
    <t xml:space="preserve">10.8.2017</t>
  </si>
  <si>
    <t xml:space="preserve">11.8.2017</t>
  </si>
  <si>
    <t xml:space="preserve">12.8.2017</t>
  </si>
  <si>
    <t xml:space="preserve">13.8.2017</t>
  </si>
  <si>
    <t xml:space="preserve">14.8.2017</t>
  </si>
  <si>
    <t xml:space="preserve">15.8.2017</t>
  </si>
  <si>
    <t xml:space="preserve">16.8.2017</t>
  </si>
  <si>
    <t xml:space="preserve">17.8.2017</t>
  </si>
  <si>
    <t xml:space="preserve">18.8.2017</t>
  </si>
  <si>
    <t xml:space="preserve">19.8.2017</t>
  </si>
  <si>
    <t xml:space="preserve">20.8.2017</t>
  </si>
  <si>
    <t xml:space="preserve">21.8.2017</t>
  </si>
  <si>
    <t xml:space="preserve">22.8.2017</t>
  </si>
  <si>
    <t xml:space="preserve">23.8.2017</t>
  </si>
  <si>
    <t xml:space="preserve">24.8.2017</t>
  </si>
  <si>
    <t xml:space="preserve">25.8.2017</t>
  </si>
  <si>
    <t xml:space="preserve">26.8.2017</t>
  </si>
  <si>
    <t xml:space="preserve">27.8.2017</t>
  </si>
  <si>
    <t xml:space="preserve">28.8.2017</t>
  </si>
  <si>
    <t xml:space="preserve">29.8.2017</t>
  </si>
  <si>
    <t xml:space="preserve">30.8.2017</t>
  </si>
  <si>
    <t xml:space="preserve">31.8.2017</t>
  </si>
  <si>
    <t xml:space="preserve">1.9.2017</t>
  </si>
  <si>
    <t xml:space="preserve">Septmeber</t>
  </si>
  <si>
    <t xml:space="preserve">July-September</t>
  </si>
  <si>
    <t xml:space="preserve">2.9.2017</t>
  </si>
  <si>
    <t xml:space="preserve">3.9.2017</t>
  </si>
  <si>
    <t xml:space="preserve">4.9.2017</t>
  </si>
  <si>
    <t xml:space="preserve">5.9.2017</t>
  </si>
  <si>
    <t xml:space="preserve">6.9.2017</t>
  </si>
  <si>
    <t xml:space="preserve">7.9.2017</t>
  </si>
  <si>
    <t xml:space="preserve">8.9.2017</t>
  </si>
  <si>
    <t xml:space="preserve">9.9.2017</t>
  </si>
  <si>
    <t xml:space="preserve">10.9.2017</t>
  </si>
  <si>
    <t xml:space="preserve">11.9.2017</t>
  </si>
  <si>
    <t xml:space="preserve">12.9.2017</t>
  </si>
  <si>
    <t xml:space="preserve">13.9.2017</t>
  </si>
  <si>
    <t xml:space="preserve">14.9.2017</t>
  </si>
  <si>
    <t xml:space="preserve">15.9.2017</t>
  </si>
  <si>
    <t xml:space="preserve">16.9.2017</t>
  </si>
  <si>
    <t xml:space="preserve">17.9.2017</t>
  </si>
  <si>
    <t xml:space="preserve">18.9.2017</t>
  </si>
  <si>
    <t xml:space="preserve">19.9.2017</t>
  </si>
  <si>
    <t xml:space="preserve">20.9.2017</t>
  </si>
  <si>
    <t xml:space="preserve">21.9.2017</t>
  </si>
  <si>
    <t xml:space="preserve">22.9.2017</t>
  </si>
  <si>
    <t xml:space="preserve">23.9.2017</t>
  </si>
  <si>
    <t xml:space="preserve">24.9.2017</t>
  </si>
  <si>
    <t xml:space="preserve">25.9.2017</t>
  </si>
  <si>
    <t xml:space="preserve">26.9.2017</t>
  </si>
  <si>
    <t xml:space="preserve">27.9.2017</t>
  </si>
  <si>
    <t xml:space="preserve">28.9.2017</t>
  </si>
  <si>
    <t xml:space="preserve">29.9.2017</t>
  </si>
  <si>
    <t xml:space="preserve">30.9.2017</t>
  </si>
  <si>
    <t xml:space="preserve">1.10.2017</t>
  </si>
  <si>
    <t xml:space="preserve">October</t>
  </si>
  <si>
    <t xml:space="preserve">July-October</t>
  </si>
  <si>
    <t xml:space="preserve">2.10.2017</t>
  </si>
  <si>
    <t xml:space="preserve">3.10.2017</t>
  </si>
  <si>
    <t xml:space="preserve">4.10.2017</t>
  </si>
  <si>
    <t xml:space="preserve">5.10.2017</t>
  </si>
  <si>
    <t xml:space="preserve">6.10.2017</t>
  </si>
  <si>
    <t xml:space="preserve">7.10.2017</t>
  </si>
  <si>
    <t xml:space="preserve">8.10.2017</t>
  </si>
  <si>
    <t xml:space="preserve">9.10.2017</t>
  </si>
  <si>
    <t xml:space="preserve">10.10.2017</t>
  </si>
  <si>
    <t xml:space="preserve">11.10.2017</t>
  </si>
  <si>
    <t xml:space="preserve">12.10.2017</t>
  </si>
  <si>
    <t xml:space="preserve">13.10.2017</t>
  </si>
  <si>
    <t xml:space="preserve">14.10.2017</t>
  </si>
  <si>
    <t xml:space="preserve">15.10.2017</t>
  </si>
  <si>
    <t xml:space="preserve">16.10.2017</t>
  </si>
  <si>
    <t xml:space="preserve">17.10.2017</t>
  </si>
  <si>
    <t xml:space="preserve">18.10.2017</t>
  </si>
  <si>
    <t xml:space="preserve">19.10.2017</t>
  </si>
  <si>
    <t xml:space="preserve">20.10.2017</t>
  </si>
  <si>
    <t xml:space="preserve">21.10.2017</t>
  </si>
  <si>
    <t xml:space="preserve">22.10.2017</t>
  </si>
  <si>
    <t xml:space="preserve">23.10.2017</t>
  </si>
  <si>
    <t xml:space="preserve">24.10.2017</t>
  </si>
  <si>
    <t xml:space="preserve">25.10.2017</t>
  </si>
  <si>
    <t xml:space="preserve">26.10.2017</t>
  </si>
  <si>
    <t xml:space="preserve">27.10.2017</t>
  </si>
  <si>
    <t xml:space="preserve">28.10.2017</t>
  </si>
  <si>
    <t xml:space="preserve">29.10.2017</t>
  </si>
  <si>
    <t xml:space="preserve">30.10.2017</t>
  </si>
  <si>
    <t xml:space="preserve">31.10.2017</t>
  </si>
  <si>
    <t xml:space="preserve">1.11.2017</t>
  </si>
  <si>
    <t xml:space="preserve">November</t>
  </si>
  <si>
    <t xml:space="preserve">July - November</t>
  </si>
  <si>
    <t xml:space="preserve">2.11.2017</t>
  </si>
  <si>
    <t xml:space="preserve">3.11.2017</t>
  </si>
  <si>
    <t xml:space="preserve">4.11.2017</t>
  </si>
  <si>
    <t xml:space="preserve">5.11.2017</t>
  </si>
  <si>
    <t xml:space="preserve">6.11.2017</t>
  </si>
  <si>
    <t xml:space="preserve">7.11.2017</t>
  </si>
  <si>
    <t xml:space="preserve">8.11.2017</t>
  </si>
  <si>
    <t xml:space="preserve">9.11.2017</t>
  </si>
  <si>
    <t xml:space="preserve">10.11.2017</t>
  </si>
  <si>
    <t xml:space="preserve">11.11.2017</t>
  </si>
  <si>
    <t xml:space="preserve">12.11.2017</t>
  </si>
  <si>
    <t xml:space="preserve">13.11.2017</t>
  </si>
  <si>
    <t xml:space="preserve">14.11.2017</t>
  </si>
  <si>
    <t xml:space="preserve">15.11.2017</t>
  </si>
  <si>
    <t xml:space="preserve">16.11.2017</t>
  </si>
  <si>
    <t xml:space="preserve">17.11.2017</t>
  </si>
  <si>
    <t xml:space="preserve">18.11.2017</t>
  </si>
  <si>
    <t xml:space="preserve">Confidence Level(95,0%)</t>
  </si>
  <si>
    <t xml:space="preserve">19.11.2017</t>
  </si>
  <si>
    <t xml:space="preserve">20.11.2017</t>
  </si>
  <si>
    <t xml:space="preserve">21.11.2017</t>
  </si>
  <si>
    <t xml:space="preserve">22.11.2017</t>
  </si>
  <si>
    <t xml:space="preserve">23.11.2017</t>
  </si>
  <si>
    <t xml:space="preserve">24.11.2017</t>
  </si>
  <si>
    <t xml:space="preserve">25.11.2017</t>
  </si>
  <si>
    <t xml:space="preserve">26.11.2017</t>
  </si>
  <si>
    <t xml:space="preserve">27.11.2017</t>
  </si>
  <si>
    <t xml:space="preserve">28.11.2017</t>
  </si>
  <si>
    <t xml:space="preserve">29.11.2017</t>
  </si>
  <si>
    <t xml:space="preserve">30.11.2017</t>
  </si>
  <si>
    <t xml:space="preserve">December</t>
  </si>
  <si>
    <t xml:space="preserve">July-December</t>
  </si>
  <si>
    <t xml:space="preserve">Colories</t>
  </si>
  <si>
    <t xml:space="preserve">Difference of C</t>
  </si>
  <si>
    <t xml:space="preserve">Distance</t>
  </si>
  <si>
    <t xml:space="preserve">Difference of D</t>
  </si>
  <si>
    <t xml:space="preserve">Time</t>
  </si>
  <si>
    <t xml:space="preserve">Difference of time</t>
  </si>
  <si>
    <t xml:space="preserve">Calories</t>
  </si>
  <si>
    <t xml:space="preserve">First Quartile </t>
  </si>
  <si>
    <t xml:space="preserve">Third Quartile</t>
  </si>
  <si>
    <t xml:space="preserve">Variance</t>
  </si>
  <si>
    <t xml:space="preserve">February 2018</t>
  </si>
  <si>
    <t xml:space="preserve">March 2018</t>
  </si>
  <si>
    <t xml:space="preserve">April 2018</t>
  </si>
  <si>
    <t xml:space="preserve">May 2018</t>
  </si>
  <si>
    <t xml:space="preserve">June 2018</t>
  </si>
  <si>
    <t xml:space="preserve">July 2018</t>
  </si>
  <si>
    <t xml:space="preserve">August 2018</t>
  </si>
  <si>
    <t xml:space="preserve">September 2018</t>
  </si>
  <si>
    <t xml:space="preserve">October 2018</t>
  </si>
  <si>
    <t xml:space="preserve">Nomveber 2018</t>
  </si>
  <si>
    <t xml:space="preserve">December 2018</t>
  </si>
  <si>
    <t xml:space="preserve">-</t>
  </si>
  <si>
    <t xml:space="preserve">First Quartile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</si>
  <si>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</si>
  <si>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</si>
  <si>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</si>
  <si>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</si>
  <si>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</si>
  <si>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</si>
  <si>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September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</si>
</sst>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"/>
    <numFmt numFmtId="167" formatCode="0.0"/>
    <numFmt numFmtId="168" formatCode="0.00"/>
    <numFmt numFmtId="169" formatCode="mm/dd/yy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B3B3B3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0070C0"/>
        <bgColor rgb="FF008080"/>
      </patternFill>
    </fill>
    <fill>
      <patternFill patternType="solid">
        <fgColor rgb="FFFFFFFF"/>
        <bgColor rgb="FFFFFFCC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70C0"/>
          <bgColor rgb="FF000000"/>
        </patternFill>
      </fill>
    </dxf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70C0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595959"/>
      <rgbColor rgb="FFB3B3B3"/>
      <rgbColor rgb="FF00458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July</a:t>
            </a:r>
          </a:p>
          <a:p>
            <a:pPr>
              <a:defRPr sz="1300" b="0" u="none" strike="noStrike">
                <a:uFillTx/>
                <a:latin typeface="Arial"/>
              </a:defRPr>
            </a:pP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'2017'!$B$2:$B$20</c:f>
              <c:numCache>
                <c:formatCode>General</c:formatCode>
                <c:ptCount val="19"/>
              </c:numCache>
            </c:numRef>
          </c:xVal>
          <c:yVal>
            <c:numRef>
              <c:f>'2017'!$C$2:$C$20</c:f>
              <c:numCache>
                <c:formatCode>General</c:formatCode>
                <c:ptCount val="19"/>
                <c:pt idx="0">
                  <c:v>91</c:v>
                </c:pt>
                <c:pt idx="1">
                  <c:v>2515</c:v>
                </c:pt>
                <c:pt idx="2">
                  <c:v>6800</c:v>
                </c:pt>
                <c:pt idx="3">
                  <c:v>358</c:v>
                </c:pt>
                <c:pt idx="4">
                  <c:v>170</c:v>
                </c:pt>
                <c:pt idx="5">
                  <c:v>193</c:v>
                </c:pt>
                <c:pt idx="6">
                  <c:v>1968</c:v>
                </c:pt>
                <c:pt idx="7">
                  <c:v>2709</c:v>
                </c:pt>
                <c:pt idx="8">
                  <c:v>8200</c:v>
                </c:pt>
                <c:pt idx="9">
                  <c:v>2934</c:v>
                </c:pt>
                <c:pt idx="10">
                  <c:v>1773</c:v>
                </c:pt>
                <c:pt idx="11">
                  <c:v>530</c:v>
                </c:pt>
                <c:pt idx="12">
                  <c:v>2967</c:v>
                </c:pt>
                <c:pt idx="13">
                  <c:v>1989</c:v>
                </c:pt>
                <c:pt idx="14">
                  <c:v>522</c:v>
                </c:pt>
                <c:pt idx="15">
                  <c:v>14026</c:v>
                </c:pt>
                <c:pt idx="16">
                  <c:v>179</c:v>
                </c:pt>
                <c:pt idx="17">
                  <c:v>293</c:v>
                </c:pt>
                <c:pt idx="18">
                  <c:v>5432</c:v>
                </c:pt>
              </c:numCache>
            </c:numRef>
          </c:yVal>
          <c:smooth val="0"/>
        </c:ser>
        <c:axId val="74021279"/>
        <c:axId val="18273760"/>
      </c:scatterChart>
      <c:valAx>
        <c:axId val="74021279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8273760"/>
        <c:crosses val="autoZero"/>
        <c:crossBetween val="midCat"/>
      </c:valAx>
      <c:valAx>
        <c:axId val="182737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7402127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July-August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'2017'!$B$2:$B$51</c:f>
              <c:numCache>
                <c:formatCode>General</c:formatCode>
                <c:ptCount val="50"/>
              </c:numCache>
            </c:numRef>
          </c:xVal>
          <c:yVal>
            <c:numRef>
              <c:f>'2017'!$C$2:$C$51</c:f>
              <c:numCache>
                <c:formatCode>General</c:formatCode>
                <c:ptCount val="50"/>
                <c:pt idx="0">
                  <c:v>91</c:v>
                </c:pt>
                <c:pt idx="1">
                  <c:v>2515</c:v>
                </c:pt>
                <c:pt idx="2">
                  <c:v>6800</c:v>
                </c:pt>
                <c:pt idx="3">
                  <c:v>358</c:v>
                </c:pt>
                <c:pt idx="4">
                  <c:v>170</c:v>
                </c:pt>
                <c:pt idx="5">
                  <c:v>193</c:v>
                </c:pt>
                <c:pt idx="6">
                  <c:v>1968</c:v>
                </c:pt>
                <c:pt idx="7">
                  <c:v>2709</c:v>
                </c:pt>
                <c:pt idx="8">
                  <c:v>8200</c:v>
                </c:pt>
                <c:pt idx="9">
                  <c:v>2934</c:v>
                </c:pt>
                <c:pt idx="10">
                  <c:v>1773</c:v>
                </c:pt>
                <c:pt idx="11">
                  <c:v>530</c:v>
                </c:pt>
                <c:pt idx="12">
                  <c:v>2967</c:v>
                </c:pt>
                <c:pt idx="13">
                  <c:v>1989</c:v>
                </c:pt>
                <c:pt idx="14">
                  <c:v>522</c:v>
                </c:pt>
                <c:pt idx="15">
                  <c:v>14026</c:v>
                </c:pt>
                <c:pt idx="16">
                  <c:v>179</c:v>
                </c:pt>
                <c:pt idx="17">
                  <c:v>293</c:v>
                </c:pt>
                <c:pt idx="18">
                  <c:v>5432</c:v>
                </c:pt>
                <c:pt idx="19">
                  <c:v>2696</c:v>
                </c:pt>
                <c:pt idx="20">
                  <c:v>1796</c:v>
                </c:pt>
                <c:pt idx="21">
                  <c:v>575</c:v>
                </c:pt>
                <c:pt idx="22">
                  <c:v>294</c:v>
                </c:pt>
                <c:pt idx="23">
                  <c:v>12975</c:v>
                </c:pt>
                <c:pt idx="24">
                  <c:v>2238</c:v>
                </c:pt>
                <c:pt idx="25">
                  <c:v>6760</c:v>
                </c:pt>
                <c:pt idx="26">
                  <c:v>21</c:v>
                </c:pt>
                <c:pt idx="27">
                  <c:v>0</c:v>
                </c:pt>
                <c:pt idx="28">
                  <c:v>1475</c:v>
                </c:pt>
                <c:pt idx="29">
                  <c:v>0</c:v>
                </c:pt>
                <c:pt idx="30">
                  <c:v>0</c:v>
                </c:pt>
                <c:pt idx="31">
                  <c:v>680</c:v>
                </c:pt>
                <c:pt idx="32">
                  <c:v>3763</c:v>
                </c:pt>
                <c:pt idx="33">
                  <c:v>25825</c:v>
                </c:pt>
                <c:pt idx="34">
                  <c:v>5157</c:v>
                </c:pt>
                <c:pt idx="35">
                  <c:v>285</c:v>
                </c:pt>
                <c:pt idx="36">
                  <c:v>897</c:v>
                </c:pt>
                <c:pt idx="37">
                  <c:v>59</c:v>
                </c:pt>
                <c:pt idx="38">
                  <c:v>0</c:v>
                </c:pt>
                <c:pt idx="39">
                  <c:v>1003</c:v>
                </c:pt>
                <c:pt idx="40">
                  <c:v>1438</c:v>
                </c:pt>
                <c:pt idx="41">
                  <c:v>6621</c:v>
                </c:pt>
                <c:pt idx="42">
                  <c:v>5146</c:v>
                </c:pt>
                <c:pt idx="43">
                  <c:v>11459</c:v>
                </c:pt>
                <c:pt idx="44">
                  <c:v>3374</c:v>
                </c:pt>
                <c:pt idx="45">
                  <c:v>0</c:v>
                </c:pt>
                <c:pt idx="46">
                  <c:v>9572</c:v>
                </c:pt>
                <c:pt idx="47">
                  <c:v>3135</c:v>
                </c:pt>
                <c:pt idx="48">
                  <c:v>3475</c:v>
                </c:pt>
                <c:pt idx="49">
                  <c:v>0</c:v>
                </c:pt>
              </c:numCache>
            </c:numRef>
          </c:yVal>
          <c:smooth val="0"/>
        </c:ser>
        <c:axId val="96730182"/>
        <c:axId val="34722333"/>
      </c:scatterChart>
      <c:valAx>
        <c:axId val="9673018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34722333"/>
        <c:crosses val="autoZero"/>
        <c:crossBetween val="midCat"/>
      </c:valAx>
      <c:valAx>
        <c:axId val="347223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9673018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August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'2017'!$B$21:$B$51</c:f>
              <c:numCache>
                <c:formatCode>General</c:formatCode>
                <c:ptCount val="31"/>
              </c:numCache>
            </c:numRef>
          </c:xVal>
          <c:yVal>
            <c:numRef>
              <c:f>'2017'!$C$21:$C$51</c:f>
              <c:numCache>
                <c:formatCode>General</c:formatCode>
                <c:ptCount val="31"/>
                <c:pt idx="0">
                  <c:v>2696</c:v>
                </c:pt>
                <c:pt idx="1">
                  <c:v>1796</c:v>
                </c:pt>
                <c:pt idx="2">
                  <c:v>575</c:v>
                </c:pt>
                <c:pt idx="3">
                  <c:v>294</c:v>
                </c:pt>
                <c:pt idx="4">
                  <c:v>12975</c:v>
                </c:pt>
                <c:pt idx="5">
                  <c:v>2238</c:v>
                </c:pt>
                <c:pt idx="6">
                  <c:v>6760</c:v>
                </c:pt>
                <c:pt idx="7">
                  <c:v>21</c:v>
                </c:pt>
                <c:pt idx="8">
                  <c:v>0</c:v>
                </c:pt>
                <c:pt idx="9">
                  <c:v>1475</c:v>
                </c:pt>
                <c:pt idx="10">
                  <c:v>0</c:v>
                </c:pt>
                <c:pt idx="11">
                  <c:v>0</c:v>
                </c:pt>
                <c:pt idx="12">
                  <c:v>680</c:v>
                </c:pt>
                <c:pt idx="13">
                  <c:v>3763</c:v>
                </c:pt>
                <c:pt idx="14">
                  <c:v>25825</c:v>
                </c:pt>
                <c:pt idx="15">
                  <c:v>5157</c:v>
                </c:pt>
                <c:pt idx="16">
                  <c:v>285</c:v>
                </c:pt>
                <c:pt idx="17">
                  <c:v>897</c:v>
                </c:pt>
                <c:pt idx="18">
                  <c:v>59</c:v>
                </c:pt>
                <c:pt idx="19">
                  <c:v>0</c:v>
                </c:pt>
                <c:pt idx="20">
                  <c:v>1003</c:v>
                </c:pt>
                <c:pt idx="21">
                  <c:v>1438</c:v>
                </c:pt>
                <c:pt idx="22">
                  <c:v>6621</c:v>
                </c:pt>
                <c:pt idx="23">
                  <c:v>5146</c:v>
                </c:pt>
                <c:pt idx="24">
                  <c:v>11459</c:v>
                </c:pt>
                <c:pt idx="25">
                  <c:v>3374</c:v>
                </c:pt>
                <c:pt idx="26">
                  <c:v>0</c:v>
                </c:pt>
                <c:pt idx="27">
                  <c:v>9572</c:v>
                </c:pt>
                <c:pt idx="28">
                  <c:v>3135</c:v>
                </c:pt>
                <c:pt idx="29">
                  <c:v>3475</c:v>
                </c:pt>
                <c:pt idx="30">
                  <c:v>0</c:v>
                </c:pt>
              </c:numCache>
            </c:numRef>
          </c:yVal>
          <c:smooth val="0"/>
        </c:ser>
        <c:axId val="49652702"/>
        <c:axId val="42439053"/>
      </c:scatterChart>
      <c:valAx>
        <c:axId val="49652702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2439053"/>
        <c:crosses val="autoZero"/>
        <c:crossBetween val="midCat"/>
      </c:valAx>
      <c:valAx>
        <c:axId val="4243905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9652702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September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'2017'!$B$52:$B$81</c:f>
              <c:numCache>
                <c:formatCode>General</c:formatCode>
                <c:ptCount val="30"/>
              </c:numCache>
            </c:numRef>
          </c:xVal>
          <c:yVal>
            <c:numRef>
              <c:f>'2017'!$C$52:$C$81</c:f>
              <c:numCache>
                <c:formatCode>General</c:formatCode>
                <c:ptCount val="30"/>
                <c:pt idx="0">
                  <c:v>7185</c:v>
                </c:pt>
                <c:pt idx="1">
                  <c:v>145</c:v>
                </c:pt>
                <c:pt idx="2">
                  <c:v>3632</c:v>
                </c:pt>
                <c:pt idx="3">
                  <c:v>9207</c:v>
                </c:pt>
                <c:pt idx="4">
                  <c:v>3091</c:v>
                </c:pt>
                <c:pt idx="5">
                  <c:v>3830</c:v>
                </c:pt>
                <c:pt idx="6">
                  <c:v>0</c:v>
                </c:pt>
                <c:pt idx="7">
                  <c:v>12032</c:v>
                </c:pt>
                <c:pt idx="8">
                  <c:v>158</c:v>
                </c:pt>
                <c:pt idx="9">
                  <c:v>0</c:v>
                </c:pt>
                <c:pt idx="10">
                  <c:v>7714</c:v>
                </c:pt>
                <c:pt idx="11">
                  <c:v>8795</c:v>
                </c:pt>
                <c:pt idx="12">
                  <c:v>14896</c:v>
                </c:pt>
                <c:pt idx="13">
                  <c:v>0</c:v>
                </c:pt>
                <c:pt idx="14">
                  <c:v>9219</c:v>
                </c:pt>
                <c:pt idx="15">
                  <c:v>0</c:v>
                </c:pt>
                <c:pt idx="16">
                  <c:v>0</c:v>
                </c:pt>
                <c:pt idx="17">
                  <c:v>14082</c:v>
                </c:pt>
                <c:pt idx="18">
                  <c:v>15132</c:v>
                </c:pt>
                <c:pt idx="19">
                  <c:v>3595</c:v>
                </c:pt>
                <c:pt idx="20">
                  <c:v>11180</c:v>
                </c:pt>
                <c:pt idx="21">
                  <c:v>0</c:v>
                </c:pt>
                <c:pt idx="22">
                  <c:v>49</c:v>
                </c:pt>
                <c:pt idx="23">
                  <c:v>4972</c:v>
                </c:pt>
                <c:pt idx="24">
                  <c:v>0</c:v>
                </c:pt>
                <c:pt idx="25">
                  <c:v>4880</c:v>
                </c:pt>
                <c:pt idx="26">
                  <c:v>6924</c:v>
                </c:pt>
                <c:pt idx="27">
                  <c:v>11686</c:v>
                </c:pt>
                <c:pt idx="28">
                  <c:v>0</c:v>
                </c:pt>
                <c:pt idx="29">
                  <c:v>184</c:v>
                </c:pt>
              </c:numCache>
            </c:numRef>
          </c:yVal>
          <c:smooth val="0"/>
        </c:ser>
        <c:axId val="98968963"/>
        <c:axId val="50850233"/>
      </c:scatterChart>
      <c:valAx>
        <c:axId val="9896896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50850233"/>
        <c:crosses val="autoZero"/>
        <c:crossBetween val="midCat"/>
      </c:valAx>
      <c:valAx>
        <c:axId val="508502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989689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July-September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'2017'!$B$2:$B$81</c:f>
              <c:numCache>
                <c:formatCode>General</c:formatCode>
                <c:ptCount val="80"/>
              </c:numCache>
            </c:numRef>
          </c:xVal>
          <c:yVal>
            <c:numRef>
              <c:f>'2017'!$C$2:$C$81</c:f>
              <c:numCache>
                <c:formatCode>General</c:formatCode>
                <c:ptCount val="80"/>
                <c:pt idx="0">
                  <c:v>91</c:v>
                </c:pt>
                <c:pt idx="1">
                  <c:v>2515</c:v>
                </c:pt>
                <c:pt idx="2">
                  <c:v>6800</c:v>
                </c:pt>
                <c:pt idx="3">
                  <c:v>358</c:v>
                </c:pt>
                <c:pt idx="4">
                  <c:v>170</c:v>
                </c:pt>
                <c:pt idx="5">
                  <c:v>193</c:v>
                </c:pt>
                <c:pt idx="6">
                  <c:v>1968</c:v>
                </c:pt>
                <c:pt idx="7">
                  <c:v>2709</c:v>
                </c:pt>
                <c:pt idx="8">
                  <c:v>8200</c:v>
                </c:pt>
                <c:pt idx="9">
                  <c:v>2934</c:v>
                </c:pt>
                <c:pt idx="10">
                  <c:v>1773</c:v>
                </c:pt>
                <c:pt idx="11">
                  <c:v>530</c:v>
                </c:pt>
                <c:pt idx="12">
                  <c:v>2967</c:v>
                </c:pt>
                <c:pt idx="13">
                  <c:v>1989</c:v>
                </c:pt>
                <c:pt idx="14">
                  <c:v>522</c:v>
                </c:pt>
                <c:pt idx="15">
                  <c:v>14026</c:v>
                </c:pt>
                <c:pt idx="16">
                  <c:v>179</c:v>
                </c:pt>
                <c:pt idx="17">
                  <c:v>293</c:v>
                </c:pt>
                <c:pt idx="18">
                  <c:v>5432</c:v>
                </c:pt>
                <c:pt idx="19">
                  <c:v>2696</c:v>
                </c:pt>
                <c:pt idx="20">
                  <c:v>1796</c:v>
                </c:pt>
                <c:pt idx="21">
                  <c:v>575</c:v>
                </c:pt>
                <c:pt idx="22">
                  <c:v>294</c:v>
                </c:pt>
                <c:pt idx="23">
                  <c:v>12975</c:v>
                </c:pt>
                <c:pt idx="24">
                  <c:v>2238</c:v>
                </c:pt>
                <c:pt idx="25">
                  <c:v>6760</c:v>
                </c:pt>
                <c:pt idx="26">
                  <c:v>21</c:v>
                </c:pt>
                <c:pt idx="27">
                  <c:v>0</c:v>
                </c:pt>
                <c:pt idx="28">
                  <c:v>1475</c:v>
                </c:pt>
                <c:pt idx="29">
                  <c:v>0</c:v>
                </c:pt>
                <c:pt idx="30">
                  <c:v>0</c:v>
                </c:pt>
                <c:pt idx="31">
                  <c:v>680</c:v>
                </c:pt>
                <c:pt idx="32">
                  <c:v>3763</c:v>
                </c:pt>
                <c:pt idx="33">
                  <c:v>25825</c:v>
                </c:pt>
                <c:pt idx="34">
                  <c:v>5157</c:v>
                </c:pt>
                <c:pt idx="35">
                  <c:v>285</c:v>
                </c:pt>
                <c:pt idx="36">
                  <c:v>897</c:v>
                </c:pt>
                <c:pt idx="37">
                  <c:v>59</c:v>
                </c:pt>
                <c:pt idx="38">
                  <c:v>0</c:v>
                </c:pt>
                <c:pt idx="39">
                  <c:v>1003</c:v>
                </c:pt>
                <c:pt idx="40">
                  <c:v>1438</c:v>
                </c:pt>
                <c:pt idx="41">
                  <c:v>6621</c:v>
                </c:pt>
                <c:pt idx="42">
                  <c:v>5146</c:v>
                </c:pt>
                <c:pt idx="43">
                  <c:v>11459</c:v>
                </c:pt>
                <c:pt idx="44">
                  <c:v>3374</c:v>
                </c:pt>
                <c:pt idx="45">
                  <c:v>0</c:v>
                </c:pt>
                <c:pt idx="46">
                  <c:v>9572</c:v>
                </c:pt>
                <c:pt idx="47">
                  <c:v>3135</c:v>
                </c:pt>
                <c:pt idx="48">
                  <c:v>3475</c:v>
                </c:pt>
                <c:pt idx="49">
                  <c:v>0</c:v>
                </c:pt>
                <c:pt idx="50">
                  <c:v>7185</c:v>
                </c:pt>
                <c:pt idx="51">
                  <c:v>145</c:v>
                </c:pt>
                <c:pt idx="52">
                  <c:v>3632</c:v>
                </c:pt>
                <c:pt idx="53">
                  <c:v>9207</c:v>
                </c:pt>
                <c:pt idx="54">
                  <c:v>3091</c:v>
                </c:pt>
                <c:pt idx="55">
                  <c:v>3830</c:v>
                </c:pt>
                <c:pt idx="56">
                  <c:v>0</c:v>
                </c:pt>
                <c:pt idx="57">
                  <c:v>12032</c:v>
                </c:pt>
                <c:pt idx="58">
                  <c:v>158</c:v>
                </c:pt>
                <c:pt idx="59">
                  <c:v>0</c:v>
                </c:pt>
                <c:pt idx="60">
                  <c:v>7714</c:v>
                </c:pt>
                <c:pt idx="61">
                  <c:v>8795</c:v>
                </c:pt>
                <c:pt idx="62">
                  <c:v>14896</c:v>
                </c:pt>
                <c:pt idx="63">
                  <c:v>0</c:v>
                </c:pt>
                <c:pt idx="64">
                  <c:v>9219</c:v>
                </c:pt>
                <c:pt idx="65">
                  <c:v>0</c:v>
                </c:pt>
                <c:pt idx="66">
                  <c:v>0</c:v>
                </c:pt>
                <c:pt idx="67">
                  <c:v>14082</c:v>
                </c:pt>
                <c:pt idx="68">
                  <c:v>15132</c:v>
                </c:pt>
                <c:pt idx="69">
                  <c:v>3595</c:v>
                </c:pt>
                <c:pt idx="70">
                  <c:v>11180</c:v>
                </c:pt>
                <c:pt idx="71">
                  <c:v>0</c:v>
                </c:pt>
                <c:pt idx="72">
                  <c:v>49</c:v>
                </c:pt>
                <c:pt idx="73">
                  <c:v>4972</c:v>
                </c:pt>
                <c:pt idx="74">
                  <c:v>0</c:v>
                </c:pt>
                <c:pt idx="75">
                  <c:v>4880</c:v>
                </c:pt>
                <c:pt idx="76">
                  <c:v>6924</c:v>
                </c:pt>
                <c:pt idx="77">
                  <c:v>11686</c:v>
                </c:pt>
                <c:pt idx="78">
                  <c:v>0</c:v>
                </c:pt>
                <c:pt idx="79">
                  <c:v>184</c:v>
                </c:pt>
              </c:numCache>
            </c:numRef>
          </c:yVal>
          <c:smooth val="0"/>
        </c:ser>
        <c:axId val="16795691"/>
        <c:axId val="53918144"/>
      </c:scatterChart>
      <c:valAx>
        <c:axId val="16795691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53918144"/>
        <c:crosses val="autoZero"/>
        <c:crossBetween val="midCat"/>
      </c:valAx>
      <c:valAx>
        <c:axId val="539181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6795691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October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'2017'!$B$82:$B$112</c:f>
              <c:numCache>
                <c:formatCode>General</c:formatCode>
                <c:ptCount val="31"/>
              </c:numCache>
            </c:numRef>
          </c:xVal>
          <c:yVal>
            <c:numRef>
              <c:f>'2017'!$C$82:$C$112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4724</c:v>
                </c:pt>
                <c:pt idx="3">
                  <c:v>7831</c:v>
                </c:pt>
                <c:pt idx="4">
                  <c:v>68</c:v>
                </c:pt>
                <c:pt idx="5">
                  <c:v>6900</c:v>
                </c:pt>
                <c:pt idx="6">
                  <c:v>0</c:v>
                </c:pt>
                <c:pt idx="7">
                  <c:v>0</c:v>
                </c:pt>
                <c:pt idx="8">
                  <c:v>9271</c:v>
                </c:pt>
                <c:pt idx="9">
                  <c:v>7127</c:v>
                </c:pt>
                <c:pt idx="10">
                  <c:v>1840</c:v>
                </c:pt>
                <c:pt idx="11">
                  <c:v>8059</c:v>
                </c:pt>
                <c:pt idx="12">
                  <c:v>5556</c:v>
                </c:pt>
                <c:pt idx="13">
                  <c:v>0</c:v>
                </c:pt>
                <c:pt idx="14">
                  <c:v>0</c:v>
                </c:pt>
                <c:pt idx="15">
                  <c:v>9663</c:v>
                </c:pt>
                <c:pt idx="16">
                  <c:v>1988</c:v>
                </c:pt>
                <c:pt idx="17">
                  <c:v>0</c:v>
                </c:pt>
                <c:pt idx="18">
                  <c:v>6054</c:v>
                </c:pt>
                <c:pt idx="19">
                  <c:v>5279</c:v>
                </c:pt>
                <c:pt idx="20">
                  <c:v>111</c:v>
                </c:pt>
                <c:pt idx="21">
                  <c:v>6473</c:v>
                </c:pt>
                <c:pt idx="22">
                  <c:v>0</c:v>
                </c:pt>
                <c:pt idx="23">
                  <c:v>9667</c:v>
                </c:pt>
                <c:pt idx="24">
                  <c:v>6522</c:v>
                </c:pt>
                <c:pt idx="25">
                  <c:v>8507</c:v>
                </c:pt>
                <c:pt idx="26">
                  <c:v>9400</c:v>
                </c:pt>
                <c:pt idx="27">
                  <c:v>251</c:v>
                </c:pt>
                <c:pt idx="28">
                  <c:v>0</c:v>
                </c:pt>
                <c:pt idx="29">
                  <c:v>0</c:v>
                </c:pt>
                <c:pt idx="30">
                  <c:v>16313</c:v>
                </c:pt>
              </c:numCache>
            </c:numRef>
          </c:yVal>
          <c:smooth val="0"/>
        </c:ser>
        <c:axId val="92802010"/>
        <c:axId val="82480181"/>
      </c:scatterChart>
      <c:valAx>
        <c:axId val="92802010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2480181"/>
        <c:crosses val="autoZero"/>
        <c:crossBetween val="midCat"/>
      </c:valAx>
      <c:valAx>
        <c:axId val="824801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9280201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July-October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'2017'!$B$2:$B$112</c:f>
              <c:numCache>
                <c:formatCode>General</c:formatCode>
                <c:ptCount val="111"/>
              </c:numCache>
            </c:numRef>
          </c:xVal>
          <c:yVal>
            <c:numRef>
              <c:f>'2017'!$C$2:$C$112</c:f>
              <c:numCache>
                <c:formatCode>General</c:formatCode>
                <c:ptCount val="111"/>
                <c:pt idx="0">
                  <c:v>91</c:v>
                </c:pt>
                <c:pt idx="1">
                  <c:v>2515</c:v>
                </c:pt>
                <c:pt idx="2">
                  <c:v>6800</c:v>
                </c:pt>
                <c:pt idx="3">
                  <c:v>358</c:v>
                </c:pt>
                <c:pt idx="4">
                  <c:v>170</c:v>
                </c:pt>
                <c:pt idx="5">
                  <c:v>193</c:v>
                </c:pt>
                <c:pt idx="6">
                  <c:v>1968</c:v>
                </c:pt>
                <c:pt idx="7">
                  <c:v>2709</c:v>
                </c:pt>
                <c:pt idx="8">
                  <c:v>8200</c:v>
                </c:pt>
                <c:pt idx="9">
                  <c:v>2934</c:v>
                </c:pt>
                <c:pt idx="10">
                  <c:v>1773</c:v>
                </c:pt>
                <c:pt idx="11">
                  <c:v>530</c:v>
                </c:pt>
                <c:pt idx="12">
                  <c:v>2967</c:v>
                </c:pt>
                <c:pt idx="13">
                  <c:v>1989</c:v>
                </c:pt>
                <c:pt idx="14">
                  <c:v>522</c:v>
                </c:pt>
                <c:pt idx="15">
                  <c:v>14026</c:v>
                </c:pt>
                <c:pt idx="16">
                  <c:v>179</c:v>
                </c:pt>
                <c:pt idx="17">
                  <c:v>293</c:v>
                </c:pt>
                <c:pt idx="18">
                  <c:v>5432</c:v>
                </c:pt>
                <c:pt idx="19">
                  <c:v>2696</c:v>
                </c:pt>
                <c:pt idx="20">
                  <c:v>1796</c:v>
                </c:pt>
                <c:pt idx="21">
                  <c:v>575</c:v>
                </c:pt>
                <c:pt idx="22">
                  <c:v>294</c:v>
                </c:pt>
                <c:pt idx="23">
                  <c:v>12975</c:v>
                </c:pt>
                <c:pt idx="24">
                  <c:v>2238</c:v>
                </c:pt>
                <c:pt idx="25">
                  <c:v>6760</c:v>
                </c:pt>
                <c:pt idx="26">
                  <c:v>21</c:v>
                </c:pt>
                <c:pt idx="27">
                  <c:v>0</c:v>
                </c:pt>
                <c:pt idx="28">
                  <c:v>1475</c:v>
                </c:pt>
                <c:pt idx="29">
                  <c:v>0</c:v>
                </c:pt>
                <c:pt idx="30">
                  <c:v>0</c:v>
                </c:pt>
                <c:pt idx="31">
                  <c:v>680</c:v>
                </c:pt>
                <c:pt idx="32">
                  <c:v>3763</c:v>
                </c:pt>
                <c:pt idx="33">
                  <c:v>25825</c:v>
                </c:pt>
                <c:pt idx="34">
                  <c:v>5157</c:v>
                </c:pt>
                <c:pt idx="35">
                  <c:v>285</c:v>
                </c:pt>
                <c:pt idx="36">
                  <c:v>897</c:v>
                </c:pt>
                <c:pt idx="37">
                  <c:v>59</c:v>
                </c:pt>
                <c:pt idx="38">
                  <c:v>0</c:v>
                </c:pt>
                <c:pt idx="39">
                  <c:v>1003</c:v>
                </c:pt>
                <c:pt idx="40">
                  <c:v>1438</c:v>
                </c:pt>
                <c:pt idx="41">
                  <c:v>6621</c:v>
                </c:pt>
                <c:pt idx="42">
                  <c:v>5146</c:v>
                </c:pt>
                <c:pt idx="43">
                  <c:v>11459</c:v>
                </c:pt>
                <c:pt idx="44">
                  <c:v>3374</c:v>
                </c:pt>
                <c:pt idx="45">
                  <c:v>0</c:v>
                </c:pt>
                <c:pt idx="46">
                  <c:v>9572</c:v>
                </c:pt>
                <c:pt idx="47">
                  <c:v>3135</c:v>
                </c:pt>
                <c:pt idx="48">
                  <c:v>3475</c:v>
                </c:pt>
                <c:pt idx="49">
                  <c:v>0</c:v>
                </c:pt>
                <c:pt idx="50">
                  <c:v>7185</c:v>
                </c:pt>
                <c:pt idx="51">
                  <c:v>145</c:v>
                </c:pt>
                <c:pt idx="52">
                  <c:v>3632</c:v>
                </c:pt>
                <c:pt idx="53">
                  <c:v>9207</c:v>
                </c:pt>
                <c:pt idx="54">
                  <c:v>3091</c:v>
                </c:pt>
                <c:pt idx="55">
                  <c:v>3830</c:v>
                </c:pt>
                <c:pt idx="56">
                  <c:v>0</c:v>
                </c:pt>
                <c:pt idx="57">
                  <c:v>12032</c:v>
                </c:pt>
                <c:pt idx="58">
                  <c:v>158</c:v>
                </c:pt>
                <c:pt idx="59">
                  <c:v>0</c:v>
                </c:pt>
                <c:pt idx="60">
                  <c:v>7714</c:v>
                </c:pt>
                <c:pt idx="61">
                  <c:v>8795</c:v>
                </c:pt>
                <c:pt idx="62">
                  <c:v>14896</c:v>
                </c:pt>
                <c:pt idx="63">
                  <c:v>0</c:v>
                </c:pt>
                <c:pt idx="64">
                  <c:v>9219</c:v>
                </c:pt>
                <c:pt idx="65">
                  <c:v>0</c:v>
                </c:pt>
                <c:pt idx="66">
                  <c:v>0</c:v>
                </c:pt>
                <c:pt idx="67">
                  <c:v>14082</c:v>
                </c:pt>
                <c:pt idx="68">
                  <c:v>15132</c:v>
                </c:pt>
                <c:pt idx="69">
                  <c:v>3595</c:v>
                </c:pt>
                <c:pt idx="70">
                  <c:v>11180</c:v>
                </c:pt>
                <c:pt idx="71">
                  <c:v>0</c:v>
                </c:pt>
                <c:pt idx="72">
                  <c:v>49</c:v>
                </c:pt>
                <c:pt idx="73">
                  <c:v>4972</c:v>
                </c:pt>
                <c:pt idx="74">
                  <c:v>0</c:v>
                </c:pt>
                <c:pt idx="75">
                  <c:v>4880</c:v>
                </c:pt>
                <c:pt idx="76">
                  <c:v>6924</c:v>
                </c:pt>
                <c:pt idx="77">
                  <c:v>11686</c:v>
                </c:pt>
                <c:pt idx="78">
                  <c:v>0</c:v>
                </c:pt>
                <c:pt idx="79">
                  <c:v>184</c:v>
                </c:pt>
                <c:pt idx="80">
                  <c:v>0</c:v>
                </c:pt>
                <c:pt idx="81">
                  <c:v>0</c:v>
                </c:pt>
                <c:pt idx="82">
                  <c:v>4724</c:v>
                </c:pt>
                <c:pt idx="83">
                  <c:v>7831</c:v>
                </c:pt>
                <c:pt idx="84">
                  <c:v>68</c:v>
                </c:pt>
                <c:pt idx="85">
                  <c:v>6900</c:v>
                </c:pt>
                <c:pt idx="86">
                  <c:v>0</c:v>
                </c:pt>
                <c:pt idx="87">
                  <c:v>0</c:v>
                </c:pt>
                <c:pt idx="88">
                  <c:v>9271</c:v>
                </c:pt>
                <c:pt idx="89">
                  <c:v>7127</c:v>
                </c:pt>
                <c:pt idx="90">
                  <c:v>1840</c:v>
                </c:pt>
                <c:pt idx="91">
                  <c:v>8059</c:v>
                </c:pt>
                <c:pt idx="92">
                  <c:v>5556</c:v>
                </c:pt>
                <c:pt idx="93">
                  <c:v>0</c:v>
                </c:pt>
                <c:pt idx="94">
                  <c:v>0</c:v>
                </c:pt>
                <c:pt idx="95">
                  <c:v>9663</c:v>
                </c:pt>
                <c:pt idx="96">
                  <c:v>1988</c:v>
                </c:pt>
                <c:pt idx="97">
                  <c:v>0</c:v>
                </c:pt>
                <c:pt idx="98">
                  <c:v>6054</c:v>
                </c:pt>
                <c:pt idx="99">
                  <c:v>5279</c:v>
                </c:pt>
                <c:pt idx="100">
                  <c:v>111</c:v>
                </c:pt>
                <c:pt idx="101">
                  <c:v>6473</c:v>
                </c:pt>
                <c:pt idx="102">
                  <c:v>0</c:v>
                </c:pt>
                <c:pt idx="103">
                  <c:v>9667</c:v>
                </c:pt>
                <c:pt idx="104">
                  <c:v>6522</c:v>
                </c:pt>
                <c:pt idx="105">
                  <c:v>8507</c:v>
                </c:pt>
                <c:pt idx="106">
                  <c:v>9400</c:v>
                </c:pt>
                <c:pt idx="107">
                  <c:v>251</c:v>
                </c:pt>
                <c:pt idx="108">
                  <c:v>0</c:v>
                </c:pt>
                <c:pt idx="109">
                  <c:v>0</c:v>
                </c:pt>
                <c:pt idx="110">
                  <c:v>16313</c:v>
                </c:pt>
              </c:numCache>
            </c:numRef>
          </c:yVal>
          <c:smooth val="0"/>
        </c:ser>
        <c:axId val="84061463"/>
        <c:axId val="53201372"/>
      </c:scatterChart>
      <c:valAx>
        <c:axId val="8406146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53201372"/>
        <c:crosses val="autoZero"/>
        <c:crossBetween val="midCat"/>
      </c:valAx>
      <c:valAx>
        <c:axId val="5320137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406146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November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'2017'!$B$113:$B$142</c:f>
              <c:numCache>
                <c:formatCode>General</c:formatCode>
                <c:ptCount val="30"/>
              </c:numCache>
            </c:numRef>
          </c:xVal>
          <c:yVal>
            <c:numRef>
              <c:f>'2017'!$C$113:$C$142</c:f>
              <c:numCache>
                <c:formatCode>General</c:formatCode>
                <c:ptCount val="30"/>
                <c:pt idx="0">
                  <c:v>9807</c:v>
                </c:pt>
                <c:pt idx="1">
                  <c:v>18020</c:v>
                </c:pt>
                <c:pt idx="2">
                  <c:v>11402</c:v>
                </c:pt>
                <c:pt idx="3">
                  <c:v>26312</c:v>
                </c:pt>
                <c:pt idx="4">
                  <c:v>1015</c:v>
                </c:pt>
                <c:pt idx="5">
                  <c:v>11299</c:v>
                </c:pt>
                <c:pt idx="6">
                  <c:v>10114</c:v>
                </c:pt>
                <c:pt idx="7">
                  <c:v>4569</c:v>
                </c:pt>
                <c:pt idx="8">
                  <c:v>10673</c:v>
                </c:pt>
                <c:pt idx="9">
                  <c:v>3788</c:v>
                </c:pt>
                <c:pt idx="10">
                  <c:v>0</c:v>
                </c:pt>
                <c:pt idx="11">
                  <c:v>0</c:v>
                </c:pt>
                <c:pt idx="12">
                  <c:v>5568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2313</c:v>
                </c:pt>
                <c:pt idx="17">
                  <c:v>0</c:v>
                </c:pt>
                <c:pt idx="18">
                  <c:v>6954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8750</c:v>
                </c:pt>
                <c:pt idx="23">
                  <c:v>13187</c:v>
                </c:pt>
                <c:pt idx="24">
                  <c:v>1420</c:v>
                </c:pt>
                <c:pt idx="25">
                  <c:v>6498</c:v>
                </c:pt>
                <c:pt idx="26">
                  <c:v>13179</c:v>
                </c:pt>
                <c:pt idx="27">
                  <c:v>4793</c:v>
                </c:pt>
                <c:pt idx="28">
                  <c:v>9237</c:v>
                </c:pt>
                <c:pt idx="29">
                  <c:v>11869</c:v>
                </c:pt>
              </c:numCache>
            </c:numRef>
          </c:yVal>
          <c:smooth val="0"/>
        </c:ser>
        <c:axId val="55882316"/>
        <c:axId val="18413104"/>
      </c:scatterChart>
      <c:valAx>
        <c:axId val="5588231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m/d/yyyy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18413104"/>
        <c:crosses val="autoZero"/>
        <c:crossBetween val="midCat"/>
      </c:valAx>
      <c:valAx>
        <c:axId val="1841310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5588231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July-November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260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'2017'!$C$2:$C$142</c:f>
              <c:numCache>
                <c:formatCode>General</c:formatCode>
                <c:ptCount val="141"/>
                <c:pt idx="0">
                  <c:v>91</c:v>
                </c:pt>
                <c:pt idx="1">
                  <c:v>2515</c:v>
                </c:pt>
                <c:pt idx="2">
                  <c:v>6800</c:v>
                </c:pt>
                <c:pt idx="3">
                  <c:v>358</c:v>
                </c:pt>
                <c:pt idx="4">
                  <c:v>170</c:v>
                </c:pt>
                <c:pt idx="5">
                  <c:v>193</c:v>
                </c:pt>
                <c:pt idx="6">
                  <c:v>1968</c:v>
                </c:pt>
                <c:pt idx="7">
                  <c:v>2709</c:v>
                </c:pt>
                <c:pt idx="8">
                  <c:v>8200</c:v>
                </c:pt>
                <c:pt idx="9">
                  <c:v>2934</c:v>
                </c:pt>
                <c:pt idx="10">
                  <c:v>1773</c:v>
                </c:pt>
                <c:pt idx="11">
                  <c:v>530</c:v>
                </c:pt>
                <c:pt idx="12">
                  <c:v>2967</c:v>
                </c:pt>
                <c:pt idx="13">
                  <c:v>1989</c:v>
                </c:pt>
                <c:pt idx="14">
                  <c:v>522</c:v>
                </c:pt>
                <c:pt idx="15">
                  <c:v>14026</c:v>
                </c:pt>
                <c:pt idx="16">
                  <c:v>179</c:v>
                </c:pt>
                <c:pt idx="17">
                  <c:v>293</c:v>
                </c:pt>
                <c:pt idx="18">
                  <c:v>5432</c:v>
                </c:pt>
                <c:pt idx="19">
                  <c:v>2696</c:v>
                </c:pt>
                <c:pt idx="20">
                  <c:v>1796</c:v>
                </c:pt>
                <c:pt idx="21">
                  <c:v>575</c:v>
                </c:pt>
                <c:pt idx="22">
                  <c:v>294</c:v>
                </c:pt>
                <c:pt idx="23">
                  <c:v>12975</c:v>
                </c:pt>
                <c:pt idx="24">
                  <c:v>2238</c:v>
                </c:pt>
                <c:pt idx="25">
                  <c:v>6760</c:v>
                </c:pt>
                <c:pt idx="26">
                  <c:v>21</c:v>
                </c:pt>
                <c:pt idx="27">
                  <c:v>0</c:v>
                </c:pt>
                <c:pt idx="28">
                  <c:v>1475</c:v>
                </c:pt>
                <c:pt idx="29">
                  <c:v>0</c:v>
                </c:pt>
                <c:pt idx="30">
                  <c:v>0</c:v>
                </c:pt>
                <c:pt idx="31">
                  <c:v>680</c:v>
                </c:pt>
                <c:pt idx="32">
                  <c:v>3763</c:v>
                </c:pt>
                <c:pt idx="33">
                  <c:v>25825</c:v>
                </c:pt>
                <c:pt idx="34">
                  <c:v>5157</c:v>
                </c:pt>
                <c:pt idx="35">
                  <c:v>285</c:v>
                </c:pt>
                <c:pt idx="36">
                  <c:v>897</c:v>
                </c:pt>
                <c:pt idx="37">
                  <c:v>59</c:v>
                </c:pt>
                <c:pt idx="38">
                  <c:v>0</c:v>
                </c:pt>
                <c:pt idx="39">
                  <c:v>1003</c:v>
                </c:pt>
                <c:pt idx="40">
                  <c:v>1438</c:v>
                </c:pt>
                <c:pt idx="41">
                  <c:v>6621</c:v>
                </c:pt>
                <c:pt idx="42">
                  <c:v>5146</c:v>
                </c:pt>
                <c:pt idx="43">
                  <c:v>11459</c:v>
                </c:pt>
                <c:pt idx="44">
                  <c:v>3374</c:v>
                </c:pt>
                <c:pt idx="45">
                  <c:v>0</c:v>
                </c:pt>
                <c:pt idx="46">
                  <c:v>9572</c:v>
                </c:pt>
                <c:pt idx="47">
                  <c:v>3135</c:v>
                </c:pt>
                <c:pt idx="48">
                  <c:v>3475</c:v>
                </c:pt>
                <c:pt idx="49">
                  <c:v>0</c:v>
                </c:pt>
                <c:pt idx="50">
                  <c:v>7185</c:v>
                </c:pt>
                <c:pt idx="51">
                  <c:v>145</c:v>
                </c:pt>
                <c:pt idx="52">
                  <c:v>3632</c:v>
                </c:pt>
                <c:pt idx="53">
                  <c:v>9207</c:v>
                </c:pt>
                <c:pt idx="54">
                  <c:v>3091</c:v>
                </c:pt>
                <c:pt idx="55">
                  <c:v>3830</c:v>
                </c:pt>
                <c:pt idx="56">
                  <c:v>0</c:v>
                </c:pt>
                <c:pt idx="57">
                  <c:v>12032</c:v>
                </c:pt>
                <c:pt idx="58">
                  <c:v>158</c:v>
                </c:pt>
                <c:pt idx="59">
                  <c:v>0</c:v>
                </c:pt>
                <c:pt idx="60">
                  <c:v>7714</c:v>
                </c:pt>
                <c:pt idx="61">
                  <c:v>8795</c:v>
                </c:pt>
                <c:pt idx="62">
                  <c:v>14896</c:v>
                </c:pt>
                <c:pt idx="63">
                  <c:v>0</c:v>
                </c:pt>
                <c:pt idx="64">
                  <c:v>9219</c:v>
                </c:pt>
                <c:pt idx="65">
                  <c:v>0</c:v>
                </c:pt>
                <c:pt idx="66">
                  <c:v>0</c:v>
                </c:pt>
                <c:pt idx="67">
                  <c:v>14082</c:v>
                </c:pt>
                <c:pt idx="68">
                  <c:v>15132</c:v>
                </c:pt>
                <c:pt idx="69">
                  <c:v>3595</c:v>
                </c:pt>
                <c:pt idx="70">
                  <c:v>11180</c:v>
                </c:pt>
                <c:pt idx="71">
                  <c:v>0</c:v>
                </c:pt>
                <c:pt idx="72">
                  <c:v>49</c:v>
                </c:pt>
                <c:pt idx="73">
                  <c:v>4972</c:v>
                </c:pt>
                <c:pt idx="74">
                  <c:v>0</c:v>
                </c:pt>
                <c:pt idx="75">
                  <c:v>4880</c:v>
                </c:pt>
                <c:pt idx="76">
                  <c:v>6924</c:v>
                </c:pt>
                <c:pt idx="77">
                  <c:v>11686</c:v>
                </c:pt>
                <c:pt idx="78">
                  <c:v>0</c:v>
                </c:pt>
                <c:pt idx="79">
                  <c:v>184</c:v>
                </c:pt>
                <c:pt idx="80">
                  <c:v>0</c:v>
                </c:pt>
                <c:pt idx="81">
                  <c:v>0</c:v>
                </c:pt>
                <c:pt idx="82">
                  <c:v>4724</c:v>
                </c:pt>
                <c:pt idx="83">
                  <c:v>7831</c:v>
                </c:pt>
                <c:pt idx="84">
                  <c:v>68</c:v>
                </c:pt>
                <c:pt idx="85">
                  <c:v>6900</c:v>
                </c:pt>
                <c:pt idx="86">
                  <c:v>0</c:v>
                </c:pt>
                <c:pt idx="87">
                  <c:v>0</c:v>
                </c:pt>
                <c:pt idx="88">
                  <c:v>9271</c:v>
                </c:pt>
                <c:pt idx="89">
                  <c:v>7127</c:v>
                </c:pt>
                <c:pt idx="90">
                  <c:v>1840</c:v>
                </c:pt>
                <c:pt idx="91">
                  <c:v>8059</c:v>
                </c:pt>
                <c:pt idx="92">
                  <c:v>5556</c:v>
                </c:pt>
                <c:pt idx="93">
                  <c:v>0</c:v>
                </c:pt>
                <c:pt idx="94">
                  <c:v>0</c:v>
                </c:pt>
                <c:pt idx="95">
                  <c:v>9663</c:v>
                </c:pt>
                <c:pt idx="96">
                  <c:v>1988</c:v>
                </c:pt>
                <c:pt idx="97">
                  <c:v>0</c:v>
                </c:pt>
                <c:pt idx="98">
                  <c:v>6054</c:v>
                </c:pt>
                <c:pt idx="99">
                  <c:v>5279</c:v>
                </c:pt>
                <c:pt idx="100">
                  <c:v>111</c:v>
                </c:pt>
                <c:pt idx="101">
                  <c:v>6473</c:v>
                </c:pt>
                <c:pt idx="102">
                  <c:v>0</c:v>
                </c:pt>
                <c:pt idx="103">
                  <c:v>9667</c:v>
                </c:pt>
                <c:pt idx="104">
                  <c:v>6522</c:v>
                </c:pt>
                <c:pt idx="105">
                  <c:v>8507</c:v>
                </c:pt>
                <c:pt idx="106">
                  <c:v>9400</c:v>
                </c:pt>
                <c:pt idx="107">
                  <c:v>251</c:v>
                </c:pt>
                <c:pt idx="108">
                  <c:v>0</c:v>
                </c:pt>
                <c:pt idx="109">
                  <c:v>0</c:v>
                </c:pt>
                <c:pt idx="110">
                  <c:v>16313</c:v>
                </c:pt>
                <c:pt idx="111">
                  <c:v>9807</c:v>
                </c:pt>
                <c:pt idx="112">
                  <c:v>18020</c:v>
                </c:pt>
                <c:pt idx="113">
                  <c:v>11402</c:v>
                </c:pt>
                <c:pt idx="114">
                  <c:v>26312</c:v>
                </c:pt>
                <c:pt idx="115">
                  <c:v>1015</c:v>
                </c:pt>
                <c:pt idx="116">
                  <c:v>11299</c:v>
                </c:pt>
                <c:pt idx="117">
                  <c:v>10114</c:v>
                </c:pt>
                <c:pt idx="118">
                  <c:v>4569</c:v>
                </c:pt>
                <c:pt idx="119">
                  <c:v>10673</c:v>
                </c:pt>
                <c:pt idx="120">
                  <c:v>3788</c:v>
                </c:pt>
                <c:pt idx="121">
                  <c:v>0</c:v>
                </c:pt>
                <c:pt idx="122">
                  <c:v>0</c:v>
                </c:pt>
                <c:pt idx="123">
                  <c:v>5568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2313</c:v>
                </c:pt>
                <c:pt idx="128">
                  <c:v>0</c:v>
                </c:pt>
                <c:pt idx="129">
                  <c:v>6954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8750</c:v>
                </c:pt>
                <c:pt idx="134">
                  <c:v>13187</c:v>
                </c:pt>
                <c:pt idx="135">
                  <c:v>1420</c:v>
                </c:pt>
                <c:pt idx="136">
                  <c:v>6498</c:v>
                </c:pt>
                <c:pt idx="137">
                  <c:v>13179</c:v>
                </c:pt>
                <c:pt idx="138">
                  <c:v>4793</c:v>
                </c:pt>
                <c:pt idx="139">
                  <c:v>9237</c:v>
                </c:pt>
                <c:pt idx="140">
                  <c:v>11869</c:v>
                </c:pt>
              </c:numCache>
            </c:numRef>
          </c:yVal>
          <c:smooth val="0"/>
        </c:ser>
        <c:axId val="87329673"/>
        <c:axId val="42228625"/>
      </c:scatterChart>
      <c:valAx>
        <c:axId val="8732967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2228625"/>
        <c:crosses val="autoZero"/>
        <c:crossBetween val="midCat"/>
      </c:valAx>
      <c:valAx>
        <c:axId val="422286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732967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December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'2017'!$A$143:$A$173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'2017'!$C$143:$C$173</c:f>
              <c:numCache>
                <c:formatCode>General</c:formatCode>
                <c:ptCount val="31"/>
                <c:pt idx="0">
                  <c:v>0</c:v>
                </c:pt>
                <c:pt idx="1">
                  <c:v>1366</c:v>
                </c:pt>
                <c:pt idx="2">
                  <c:v>3237</c:v>
                </c:pt>
                <c:pt idx="3">
                  <c:v>10987</c:v>
                </c:pt>
                <c:pt idx="4">
                  <c:v>12669</c:v>
                </c:pt>
                <c:pt idx="5">
                  <c:v>5815</c:v>
                </c:pt>
                <c:pt idx="6">
                  <c:v>11597</c:v>
                </c:pt>
                <c:pt idx="7">
                  <c:v>14590</c:v>
                </c:pt>
                <c:pt idx="8">
                  <c:v>1485</c:v>
                </c:pt>
                <c:pt idx="9">
                  <c:v>0</c:v>
                </c:pt>
                <c:pt idx="10">
                  <c:v>9615</c:v>
                </c:pt>
                <c:pt idx="11">
                  <c:v>7067</c:v>
                </c:pt>
                <c:pt idx="12">
                  <c:v>9355</c:v>
                </c:pt>
                <c:pt idx="13">
                  <c:v>6477</c:v>
                </c:pt>
                <c:pt idx="14">
                  <c:v>2063</c:v>
                </c:pt>
                <c:pt idx="15">
                  <c:v>1986</c:v>
                </c:pt>
                <c:pt idx="16">
                  <c:v>2939</c:v>
                </c:pt>
                <c:pt idx="17">
                  <c:v>2547</c:v>
                </c:pt>
                <c:pt idx="18">
                  <c:v>8543</c:v>
                </c:pt>
                <c:pt idx="19">
                  <c:v>14427</c:v>
                </c:pt>
                <c:pt idx="20">
                  <c:v>22382</c:v>
                </c:pt>
                <c:pt idx="21">
                  <c:v>11973</c:v>
                </c:pt>
                <c:pt idx="22">
                  <c:v>13805</c:v>
                </c:pt>
                <c:pt idx="23">
                  <c:v>4522</c:v>
                </c:pt>
                <c:pt idx="24">
                  <c:v>6088</c:v>
                </c:pt>
                <c:pt idx="25">
                  <c:v>7185</c:v>
                </c:pt>
                <c:pt idx="26">
                  <c:v>12965</c:v>
                </c:pt>
                <c:pt idx="27">
                  <c:v>6091</c:v>
                </c:pt>
                <c:pt idx="28">
                  <c:v>3169</c:v>
                </c:pt>
                <c:pt idx="29">
                  <c:v>28</c:v>
                </c:pt>
                <c:pt idx="30">
                  <c:v>17951</c:v>
                </c:pt>
              </c:numCache>
            </c:numRef>
          </c:yVal>
          <c:smooth val="0"/>
        </c:ser>
        <c:axId val="20456356"/>
        <c:axId val="41013310"/>
      </c:scatterChart>
      <c:valAx>
        <c:axId val="20456356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41013310"/>
        <c:crosses val="autoZero"/>
        <c:crossBetween val="midCat"/>
      </c:valAx>
      <c:valAx>
        <c:axId val="4101331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20456356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4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rPr>
              <a:t>Juky-December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0070c0"/>
            </a:solidFill>
            <a:ln w="12600">
              <a:solidFill>
                <a:srgbClr val="0070c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'2017'!$C$2:$C$173</c:f>
              <c:numCache>
                <c:formatCode>General</c:formatCode>
                <c:ptCount val="172"/>
                <c:pt idx="0">
                  <c:v>91</c:v>
                </c:pt>
                <c:pt idx="1">
                  <c:v>2515</c:v>
                </c:pt>
                <c:pt idx="2">
                  <c:v>6800</c:v>
                </c:pt>
                <c:pt idx="3">
                  <c:v>358</c:v>
                </c:pt>
                <c:pt idx="4">
                  <c:v>170</c:v>
                </c:pt>
                <c:pt idx="5">
                  <c:v>193</c:v>
                </c:pt>
                <c:pt idx="6">
                  <c:v>1968</c:v>
                </c:pt>
                <c:pt idx="7">
                  <c:v>2709</c:v>
                </c:pt>
                <c:pt idx="8">
                  <c:v>8200</c:v>
                </c:pt>
                <c:pt idx="9">
                  <c:v>2934</c:v>
                </c:pt>
                <c:pt idx="10">
                  <c:v>1773</c:v>
                </c:pt>
                <c:pt idx="11">
                  <c:v>530</c:v>
                </c:pt>
                <c:pt idx="12">
                  <c:v>2967</c:v>
                </c:pt>
                <c:pt idx="13">
                  <c:v>1989</c:v>
                </c:pt>
                <c:pt idx="14">
                  <c:v>522</c:v>
                </c:pt>
                <c:pt idx="15">
                  <c:v>14026</c:v>
                </c:pt>
                <c:pt idx="16">
                  <c:v>179</c:v>
                </c:pt>
                <c:pt idx="17">
                  <c:v>293</c:v>
                </c:pt>
                <c:pt idx="18">
                  <c:v>5432</c:v>
                </c:pt>
                <c:pt idx="19">
                  <c:v>2696</c:v>
                </c:pt>
                <c:pt idx="20">
                  <c:v>1796</c:v>
                </c:pt>
                <c:pt idx="21">
                  <c:v>575</c:v>
                </c:pt>
                <c:pt idx="22">
                  <c:v>294</c:v>
                </c:pt>
                <c:pt idx="23">
                  <c:v>12975</c:v>
                </c:pt>
                <c:pt idx="24">
                  <c:v>2238</c:v>
                </c:pt>
                <c:pt idx="25">
                  <c:v>6760</c:v>
                </c:pt>
                <c:pt idx="26">
                  <c:v>21</c:v>
                </c:pt>
                <c:pt idx="27">
                  <c:v>0</c:v>
                </c:pt>
                <c:pt idx="28">
                  <c:v>1475</c:v>
                </c:pt>
                <c:pt idx="29">
                  <c:v>0</c:v>
                </c:pt>
                <c:pt idx="30">
                  <c:v>0</c:v>
                </c:pt>
                <c:pt idx="31">
                  <c:v>680</c:v>
                </c:pt>
                <c:pt idx="32">
                  <c:v>3763</c:v>
                </c:pt>
                <c:pt idx="33">
                  <c:v>25825</c:v>
                </c:pt>
                <c:pt idx="34">
                  <c:v>5157</c:v>
                </c:pt>
                <c:pt idx="35">
                  <c:v>285</c:v>
                </c:pt>
                <c:pt idx="36">
                  <c:v>897</c:v>
                </c:pt>
                <c:pt idx="37">
                  <c:v>59</c:v>
                </c:pt>
                <c:pt idx="38">
                  <c:v>0</c:v>
                </c:pt>
                <c:pt idx="39">
                  <c:v>1003</c:v>
                </c:pt>
                <c:pt idx="40">
                  <c:v>1438</c:v>
                </c:pt>
                <c:pt idx="41">
                  <c:v>6621</c:v>
                </c:pt>
                <c:pt idx="42">
                  <c:v>5146</c:v>
                </c:pt>
                <c:pt idx="43">
                  <c:v>11459</c:v>
                </c:pt>
                <c:pt idx="44">
                  <c:v>3374</c:v>
                </c:pt>
                <c:pt idx="45">
                  <c:v>0</c:v>
                </c:pt>
                <c:pt idx="46">
                  <c:v>9572</c:v>
                </c:pt>
                <c:pt idx="47">
                  <c:v>3135</c:v>
                </c:pt>
                <c:pt idx="48">
                  <c:v>3475</c:v>
                </c:pt>
                <c:pt idx="49">
                  <c:v>0</c:v>
                </c:pt>
                <c:pt idx="50">
                  <c:v>7185</c:v>
                </c:pt>
                <c:pt idx="51">
                  <c:v>145</c:v>
                </c:pt>
                <c:pt idx="52">
                  <c:v>3632</c:v>
                </c:pt>
                <c:pt idx="53">
                  <c:v>9207</c:v>
                </c:pt>
                <c:pt idx="54">
                  <c:v>3091</c:v>
                </c:pt>
                <c:pt idx="55">
                  <c:v>3830</c:v>
                </c:pt>
                <c:pt idx="56">
                  <c:v>0</c:v>
                </c:pt>
                <c:pt idx="57">
                  <c:v>12032</c:v>
                </c:pt>
                <c:pt idx="58">
                  <c:v>158</c:v>
                </c:pt>
                <c:pt idx="59">
                  <c:v>0</c:v>
                </c:pt>
                <c:pt idx="60">
                  <c:v>7714</c:v>
                </c:pt>
                <c:pt idx="61">
                  <c:v>8795</c:v>
                </c:pt>
                <c:pt idx="62">
                  <c:v>14896</c:v>
                </c:pt>
                <c:pt idx="63">
                  <c:v>0</c:v>
                </c:pt>
                <c:pt idx="64">
                  <c:v>9219</c:v>
                </c:pt>
                <c:pt idx="65">
                  <c:v>0</c:v>
                </c:pt>
                <c:pt idx="66">
                  <c:v>0</c:v>
                </c:pt>
                <c:pt idx="67">
                  <c:v>14082</c:v>
                </c:pt>
                <c:pt idx="68">
                  <c:v>15132</c:v>
                </c:pt>
                <c:pt idx="69">
                  <c:v>3595</c:v>
                </c:pt>
                <c:pt idx="70">
                  <c:v>11180</c:v>
                </c:pt>
                <c:pt idx="71">
                  <c:v>0</c:v>
                </c:pt>
                <c:pt idx="72">
                  <c:v>49</c:v>
                </c:pt>
                <c:pt idx="73">
                  <c:v>4972</c:v>
                </c:pt>
                <c:pt idx="74">
                  <c:v>0</c:v>
                </c:pt>
                <c:pt idx="75">
                  <c:v>4880</c:v>
                </c:pt>
                <c:pt idx="76">
                  <c:v>6924</c:v>
                </c:pt>
                <c:pt idx="77">
                  <c:v>11686</c:v>
                </c:pt>
                <c:pt idx="78">
                  <c:v>0</c:v>
                </c:pt>
                <c:pt idx="79">
                  <c:v>184</c:v>
                </c:pt>
                <c:pt idx="80">
                  <c:v>0</c:v>
                </c:pt>
                <c:pt idx="81">
                  <c:v>0</c:v>
                </c:pt>
                <c:pt idx="82">
                  <c:v>4724</c:v>
                </c:pt>
                <c:pt idx="83">
                  <c:v>7831</c:v>
                </c:pt>
                <c:pt idx="84">
                  <c:v>68</c:v>
                </c:pt>
                <c:pt idx="85">
                  <c:v>6900</c:v>
                </c:pt>
                <c:pt idx="86">
                  <c:v>0</c:v>
                </c:pt>
                <c:pt idx="87">
                  <c:v>0</c:v>
                </c:pt>
                <c:pt idx="88">
                  <c:v>9271</c:v>
                </c:pt>
                <c:pt idx="89">
                  <c:v>7127</c:v>
                </c:pt>
                <c:pt idx="90">
                  <c:v>1840</c:v>
                </c:pt>
                <c:pt idx="91">
                  <c:v>8059</c:v>
                </c:pt>
                <c:pt idx="92">
                  <c:v>5556</c:v>
                </c:pt>
                <c:pt idx="93">
                  <c:v>0</c:v>
                </c:pt>
                <c:pt idx="94">
                  <c:v>0</c:v>
                </c:pt>
                <c:pt idx="95">
                  <c:v>9663</c:v>
                </c:pt>
                <c:pt idx="96">
                  <c:v>1988</c:v>
                </c:pt>
                <c:pt idx="97">
                  <c:v>0</c:v>
                </c:pt>
                <c:pt idx="98">
                  <c:v>6054</c:v>
                </c:pt>
                <c:pt idx="99">
                  <c:v>5279</c:v>
                </c:pt>
                <c:pt idx="100">
                  <c:v>111</c:v>
                </c:pt>
                <c:pt idx="101">
                  <c:v>6473</c:v>
                </c:pt>
                <c:pt idx="102">
                  <c:v>0</c:v>
                </c:pt>
                <c:pt idx="103">
                  <c:v>9667</c:v>
                </c:pt>
                <c:pt idx="104">
                  <c:v>6522</c:v>
                </c:pt>
                <c:pt idx="105">
                  <c:v>8507</c:v>
                </c:pt>
                <c:pt idx="106">
                  <c:v>9400</c:v>
                </c:pt>
                <c:pt idx="107">
                  <c:v>251</c:v>
                </c:pt>
                <c:pt idx="108">
                  <c:v>0</c:v>
                </c:pt>
                <c:pt idx="109">
                  <c:v>0</c:v>
                </c:pt>
                <c:pt idx="110">
                  <c:v>16313</c:v>
                </c:pt>
                <c:pt idx="111">
                  <c:v>9807</c:v>
                </c:pt>
                <c:pt idx="112">
                  <c:v>18020</c:v>
                </c:pt>
                <c:pt idx="113">
                  <c:v>11402</c:v>
                </c:pt>
                <c:pt idx="114">
                  <c:v>26312</c:v>
                </c:pt>
                <c:pt idx="115">
                  <c:v>1015</c:v>
                </c:pt>
                <c:pt idx="116">
                  <c:v>11299</c:v>
                </c:pt>
                <c:pt idx="117">
                  <c:v>10114</c:v>
                </c:pt>
                <c:pt idx="118">
                  <c:v>4569</c:v>
                </c:pt>
                <c:pt idx="119">
                  <c:v>10673</c:v>
                </c:pt>
                <c:pt idx="120">
                  <c:v>3788</c:v>
                </c:pt>
                <c:pt idx="121">
                  <c:v>0</c:v>
                </c:pt>
                <c:pt idx="122">
                  <c:v>0</c:v>
                </c:pt>
                <c:pt idx="123">
                  <c:v>5568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2313</c:v>
                </c:pt>
                <c:pt idx="128">
                  <c:v>0</c:v>
                </c:pt>
                <c:pt idx="129">
                  <c:v>6954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8750</c:v>
                </c:pt>
                <c:pt idx="134">
                  <c:v>13187</c:v>
                </c:pt>
                <c:pt idx="135">
                  <c:v>1420</c:v>
                </c:pt>
                <c:pt idx="136">
                  <c:v>6498</c:v>
                </c:pt>
                <c:pt idx="137">
                  <c:v>13179</c:v>
                </c:pt>
                <c:pt idx="138">
                  <c:v>4793</c:v>
                </c:pt>
                <c:pt idx="139">
                  <c:v>9237</c:v>
                </c:pt>
                <c:pt idx="140">
                  <c:v>11869</c:v>
                </c:pt>
                <c:pt idx="141">
                  <c:v>0</c:v>
                </c:pt>
                <c:pt idx="142">
                  <c:v>1366</c:v>
                </c:pt>
                <c:pt idx="143">
                  <c:v>3237</c:v>
                </c:pt>
                <c:pt idx="144">
                  <c:v>10987</c:v>
                </c:pt>
                <c:pt idx="145">
                  <c:v>12669</c:v>
                </c:pt>
                <c:pt idx="146">
                  <c:v>5815</c:v>
                </c:pt>
                <c:pt idx="147">
                  <c:v>11597</c:v>
                </c:pt>
                <c:pt idx="148">
                  <c:v>14590</c:v>
                </c:pt>
                <c:pt idx="149">
                  <c:v>1485</c:v>
                </c:pt>
                <c:pt idx="150">
                  <c:v>0</c:v>
                </c:pt>
                <c:pt idx="151">
                  <c:v>9615</c:v>
                </c:pt>
                <c:pt idx="152">
                  <c:v>7067</c:v>
                </c:pt>
                <c:pt idx="153">
                  <c:v>9355</c:v>
                </c:pt>
                <c:pt idx="154">
                  <c:v>6477</c:v>
                </c:pt>
                <c:pt idx="155">
                  <c:v>2063</c:v>
                </c:pt>
                <c:pt idx="156">
                  <c:v>1986</c:v>
                </c:pt>
                <c:pt idx="157">
                  <c:v>2939</c:v>
                </c:pt>
                <c:pt idx="158">
                  <c:v>2547</c:v>
                </c:pt>
                <c:pt idx="159">
                  <c:v>8543</c:v>
                </c:pt>
                <c:pt idx="160">
                  <c:v>14427</c:v>
                </c:pt>
                <c:pt idx="161">
                  <c:v>22382</c:v>
                </c:pt>
                <c:pt idx="162">
                  <c:v>11973</c:v>
                </c:pt>
                <c:pt idx="163">
                  <c:v>13805</c:v>
                </c:pt>
                <c:pt idx="164">
                  <c:v>4522</c:v>
                </c:pt>
                <c:pt idx="165">
                  <c:v>6088</c:v>
                </c:pt>
                <c:pt idx="166">
                  <c:v>7185</c:v>
                </c:pt>
                <c:pt idx="167">
                  <c:v>12965</c:v>
                </c:pt>
                <c:pt idx="168">
                  <c:v>6091</c:v>
                </c:pt>
                <c:pt idx="169">
                  <c:v>3169</c:v>
                </c:pt>
                <c:pt idx="170">
                  <c:v>28</c:v>
                </c:pt>
                <c:pt idx="171">
                  <c:v>17951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32753"/>
        <c:axId val="33882462"/>
      </c:lineChart>
      <c:catAx>
        <c:axId val="80327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33882462"/>
        <c:crosses val="autoZero"/>
        <c:auto val="1"/>
        <c:lblAlgn val="ctr"/>
        <c:lblOffset val="100"/>
        <c:noMultiLvlLbl val="0"/>
      </c:catAx>
      <c:valAx>
        <c:axId val="3388246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  <a:ea typeface="DejaVu Sans"/>
              </a:defRPr>
            </a:pPr>
          </a:p>
        </c:txPr>
        <c:crossAx val="8032753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'2023'!$C$306:$C$335</c:f>
              <c:numCache>
                <c:formatCode>General</c:formatCode>
                <c:ptCount val="30"/>
                <c:pt idx="0">
                  <c:v>14153</c:v>
                </c:pt>
                <c:pt idx="1">
                  <c:v>12295</c:v>
                </c:pt>
                <c:pt idx="2">
                  <c:v>6057</c:v>
                </c:pt>
                <c:pt idx="3">
                  <c:v>12515</c:v>
                </c:pt>
                <c:pt idx="4">
                  <c:v>14032</c:v>
                </c:pt>
                <c:pt idx="5">
                  <c:v>14275</c:v>
                </c:pt>
                <c:pt idx="6">
                  <c:v>12377</c:v>
                </c:pt>
                <c:pt idx="7">
                  <c:v>8748</c:v>
                </c:pt>
                <c:pt idx="8">
                  <c:v>7266</c:v>
                </c:pt>
                <c:pt idx="9">
                  <c:v>1617</c:v>
                </c:pt>
                <c:pt idx="10">
                  <c:v>11922</c:v>
                </c:pt>
                <c:pt idx="11">
                  <c:v>6998</c:v>
                </c:pt>
                <c:pt idx="12">
                  <c:v>6765</c:v>
                </c:pt>
                <c:pt idx="13">
                  <c:v>11452</c:v>
                </c:pt>
                <c:pt idx="14">
                  <c:v>7378</c:v>
                </c:pt>
                <c:pt idx="15">
                  <c:v>6015</c:v>
                </c:pt>
                <c:pt idx="16">
                  <c:v>1341</c:v>
                </c:pt>
                <c:pt idx="17">
                  <c:v>2072</c:v>
                </c:pt>
                <c:pt idx="18">
                  <c:v>3257</c:v>
                </c:pt>
                <c:pt idx="19">
                  <c:v>15366</c:v>
                </c:pt>
                <c:pt idx="20">
                  <c:v>14188</c:v>
                </c:pt>
                <c:pt idx="21">
                  <c:v>8568</c:v>
                </c:pt>
                <c:pt idx="22">
                  <c:v>7600</c:v>
                </c:pt>
                <c:pt idx="23">
                  <c:v>7834</c:v>
                </c:pt>
                <c:pt idx="24">
                  <c:v>14102</c:v>
                </c:pt>
                <c:pt idx="25">
                  <c:v>14177</c:v>
                </c:pt>
                <c:pt idx="26">
                  <c:v>11855</c:v>
                </c:pt>
                <c:pt idx="27">
                  <c:v>10674</c:v>
                </c:pt>
                <c:pt idx="28">
                  <c:v>8846</c:v>
                </c:pt>
                <c:pt idx="29">
                  <c:v>5536</c:v>
                </c:pt>
              </c:numCache>
            </c:numRef>
          </c:val>
        </c:ser>
        <c:gapWidth val="100"/>
        <c:overlap val="0"/>
        <c:axId val="76959207"/>
        <c:axId val="6030222"/>
      </c:barChart>
      <c:catAx>
        <c:axId val="7695920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030222"/>
        <c:crosses val="autoZero"/>
        <c:auto val="1"/>
        <c:lblAlgn val="ctr"/>
        <c:lblOffset val="100"/>
        <c:noMultiLvlLbl val="0"/>
      </c:catAx>
      <c:valAx>
        <c:axId val="60302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695920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'2023'!$G$306:$G$335</c:f>
              <c:numCache>
                <c:formatCode>General</c:formatCode>
                <c:ptCount val="30"/>
                <c:pt idx="0">
                  <c:v>9.91</c:v>
                </c:pt>
                <c:pt idx="1">
                  <c:v>8.61</c:v>
                </c:pt>
                <c:pt idx="2">
                  <c:v>4.24</c:v>
                </c:pt>
                <c:pt idx="3">
                  <c:v>8.76</c:v>
                </c:pt>
                <c:pt idx="4">
                  <c:v>9.82</c:v>
                </c:pt>
                <c:pt idx="5">
                  <c:v>9.99</c:v>
                </c:pt>
                <c:pt idx="6">
                  <c:v>8.66</c:v>
                </c:pt>
                <c:pt idx="7">
                  <c:v>6.12</c:v>
                </c:pt>
                <c:pt idx="8">
                  <c:v>5.09</c:v>
                </c:pt>
                <c:pt idx="9">
                  <c:v>1.13</c:v>
                </c:pt>
                <c:pt idx="10">
                  <c:v>8.35</c:v>
                </c:pt>
                <c:pt idx="11">
                  <c:v>4.9</c:v>
                </c:pt>
                <c:pt idx="12">
                  <c:v>4.74</c:v>
                </c:pt>
                <c:pt idx="13">
                  <c:v>8.02</c:v>
                </c:pt>
                <c:pt idx="14">
                  <c:v>5.16</c:v>
                </c:pt>
                <c:pt idx="15">
                  <c:v>4.21</c:v>
                </c:pt>
                <c:pt idx="16">
                  <c:v>0.94</c:v>
                </c:pt>
                <c:pt idx="17">
                  <c:v>1.45</c:v>
                </c:pt>
                <c:pt idx="18">
                  <c:v>2.28</c:v>
                </c:pt>
                <c:pt idx="19">
                  <c:v>10.76</c:v>
                </c:pt>
                <c:pt idx="20">
                  <c:v>9.93</c:v>
                </c:pt>
                <c:pt idx="21">
                  <c:v>6</c:v>
                </c:pt>
                <c:pt idx="22">
                  <c:v>5.32</c:v>
                </c:pt>
                <c:pt idx="23">
                  <c:v>5.48</c:v>
                </c:pt>
                <c:pt idx="24">
                  <c:v>9.87</c:v>
                </c:pt>
                <c:pt idx="25">
                  <c:v>9.92</c:v>
                </c:pt>
                <c:pt idx="26">
                  <c:v>8.3</c:v>
                </c:pt>
                <c:pt idx="27">
                  <c:v>7.47</c:v>
                </c:pt>
                <c:pt idx="28">
                  <c:v>6.19</c:v>
                </c:pt>
                <c:pt idx="29">
                  <c:v>3.88</c:v>
                </c:pt>
              </c:numCache>
            </c:numRef>
          </c:val>
        </c:ser>
        <c:gapWidth val="100"/>
        <c:overlap val="0"/>
        <c:axId val="96593570"/>
        <c:axId val="4438147"/>
      </c:barChart>
      <c:catAx>
        <c:axId val="965935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438147"/>
        <c:crosses val="autoZero"/>
        <c:auto val="1"/>
        <c:lblAlgn val="ctr"/>
        <c:lblOffset val="100"/>
        <c:noMultiLvlLbl val="0"/>
      </c:catAx>
      <c:valAx>
        <c:axId val="44381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659357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'2023'!$B$336:$B$366</c:f>
              <c:strCache>
                <c:ptCount val="31"/>
                <c:pt idx="0">
                  <c:v>12/01/23</c:v>
                </c:pt>
                <c:pt idx="1">
                  <c:v>12/02/23</c:v>
                </c:pt>
                <c:pt idx="2">
                  <c:v>12/03/23</c:v>
                </c:pt>
                <c:pt idx="3">
                  <c:v>12/04/23</c:v>
                </c:pt>
                <c:pt idx="4">
                  <c:v>12/05/23</c:v>
                </c:pt>
                <c:pt idx="5">
                  <c:v>12/06/23</c:v>
                </c:pt>
                <c:pt idx="6">
                  <c:v>12/07/23</c:v>
                </c:pt>
                <c:pt idx="7">
                  <c:v>12/08/23</c:v>
                </c:pt>
                <c:pt idx="8">
                  <c:v>12/09/23</c:v>
                </c:pt>
                <c:pt idx="9">
                  <c:v>12/10/23</c:v>
                </c:pt>
                <c:pt idx="10">
                  <c:v>12/11/23</c:v>
                </c:pt>
                <c:pt idx="11">
                  <c:v>12/12/23</c:v>
                </c:pt>
                <c:pt idx="12">
                  <c:v>12/13/23</c:v>
                </c:pt>
                <c:pt idx="13">
                  <c:v>12/14/23</c:v>
                </c:pt>
                <c:pt idx="14">
                  <c:v>12/15/23</c:v>
                </c:pt>
                <c:pt idx="15">
                  <c:v>12/16/23</c:v>
                </c:pt>
                <c:pt idx="16">
                  <c:v>12/17/23</c:v>
                </c:pt>
                <c:pt idx="17">
                  <c:v>12/18/23</c:v>
                </c:pt>
                <c:pt idx="18">
                  <c:v>12/19/23</c:v>
                </c:pt>
                <c:pt idx="19">
                  <c:v>12/20/23</c:v>
                </c:pt>
                <c:pt idx="20">
                  <c:v>12/21/23</c:v>
                </c:pt>
                <c:pt idx="21">
                  <c:v>12/22/23</c:v>
                </c:pt>
                <c:pt idx="22">
                  <c:v>12/23/23</c:v>
                </c:pt>
                <c:pt idx="23">
                  <c:v>12/24/23</c:v>
                </c:pt>
                <c:pt idx="24">
                  <c:v>12/25/23</c:v>
                </c:pt>
                <c:pt idx="25">
                  <c:v>12/26/23</c:v>
                </c:pt>
                <c:pt idx="26">
                  <c:v>12/27/23</c:v>
                </c:pt>
                <c:pt idx="27">
                  <c:v>12/28/23</c:v>
                </c:pt>
                <c:pt idx="28">
                  <c:v>12/29/23</c:v>
                </c:pt>
                <c:pt idx="29">
                  <c:v>12/30/23</c:v>
                </c:pt>
                <c:pt idx="30">
                  <c:v>12/31/23</c:v>
                </c:pt>
              </c:strCache>
            </c:strRef>
          </c:cat>
          <c:val>
            <c:numRef>
              <c:f>'2023'!$C$336:$C$366</c:f>
              <c:numCache>
                <c:formatCode>General</c:formatCode>
                <c:ptCount val="31"/>
                <c:pt idx="0">
                  <c:v>4381</c:v>
                </c:pt>
                <c:pt idx="1">
                  <c:v>10122</c:v>
                </c:pt>
                <c:pt idx="2">
                  <c:v>2707</c:v>
                </c:pt>
                <c:pt idx="3">
                  <c:v>13160</c:v>
                </c:pt>
                <c:pt idx="4">
                  <c:v>9178</c:v>
                </c:pt>
                <c:pt idx="5">
                  <c:v>9634</c:v>
                </c:pt>
                <c:pt idx="6">
                  <c:v>9948</c:v>
                </c:pt>
                <c:pt idx="7">
                  <c:v>3237</c:v>
                </c:pt>
                <c:pt idx="8">
                  <c:v>2466</c:v>
                </c:pt>
                <c:pt idx="9">
                  <c:v>12727</c:v>
                </c:pt>
                <c:pt idx="10">
                  <c:v>3557</c:v>
                </c:pt>
                <c:pt idx="11">
                  <c:v>11813</c:v>
                </c:pt>
                <c:pt idx="12">
                  <c:v>11543</c:v>
                </c:pt>
                <c:pt idx="13">
                  <c:v>8233</c:v>
                </c:pt>
                <c:pt idx="14">
                  <c:v>1690</c:v>
                </c:pt>
                <c:pt idx="15">
                  <c:v>8914</c:v>
                </c:pt>
                <c:pt idx="16">
                  <c:v>13058</c:v>
                </c:pt>
                <c:pt idx="17">
                  <c:v>9118</c:v>
                </c:pt>
                <c:pt idx="18">
                  <c:v>11468</c:v>
                </c:pt>
                <c:pt idx="19">
                  <c:v>11133</c:v>
                </c:pt>
                <c:pt idx="20">
                  <c:v>6271</c:v>
                </c:pt>
                <c:pt idx="21">
                  <c:v>2580</c:v>
                </c:pt>
                <c:pt idx="22">
                  <c:v>8949</c:v>
                </c:pt>
                <c:pt idx="23">
                  <c:v>18356</c:v>
                </c:pt>
                <c:pt idx="24">
                  <c:v>13921</c:v>
                </c:pt>
                <c:pt idx="25">
                  <c:v>8262</c:v>
                </c:pt>
                <c:pt idx="26">
                  <c:v>15924</c:v>
                </c:pt>
                <c:pt idx="27">
                  <c:v>14538</c:v>
                </c:pt>
                <c:pt idx="28">
                  <c:v>8781</c:v>
                </c:pt>
                <c:pt idx="29">
                  <c:v>7553</c:v>
                </c:pt>
                <c:pt idx="30">
                  <c:v>12951</c:v>
                </c:pt>
              </c:numCache>
            </c:numRef>
          </c:val>
        </c:ser>
        <c:gapWidth val="100"/>
        <c:overlap val="0"/>
        <c:axId val="13715487"/>
        <c:axId val="17329819"/>
      </c:barChart>
      <c:catAx>
        <c:axId val="13715487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7329819"/>
        <c:crosses val="autoZero"/>
        <c:auto val="1"/>
        <c:lblAlgn val="ctr"/>
        <c:lblOffset val="100"/>
        <c:noMultiLvlLbl val="0"/>
      </c:catAx>
      <c:valAx>
        <c:axId val="1732981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71548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'2024'!$C$1</c:f>
              <c:strCache>
                <c:ptCount val="1"/>
                <c:pt idx="0">
                  <c:v>Steps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'2024'!$C$2:$C$32</c:f>
              <c:numCache>
                <c:formatCode>General</c:formatCode>
                <c:ptCount val="31"/>
                <c:pt idx="0">
                  <c:v>8510</c:v>
                </c:pt>
                <c:pt idx="1">
                  <c:v>18869</c:v>
                </c:pt>
                <c:pt idx="2">
                  <c:v>12201</c:v>
                </c:pt>
                <c:pt idx="3">
                  <c:v>14829</c:v>
                </c:pt>
                <c:pt idx="4">
                  <c:v>11969</c:v>
                </c:pt>
                <c:pt idx="5">
                  <c:v>13285</c:v>
                </c:pt>
                <c:pt idx="6">
                  <c:v>12059</c:v>
                </c:pt>
                <c:pt idx="7">
                  <c:v>3248</c:v>
                </c:pt>
                <c:pt idx="8">
                  <c:v>3342</c:v>
                </c:pt>
                <c:pt idx="9">
                  <c:v>21305</c:v>
                </c:pt>
                <c:pt idx="10">
                  <c:v>10723</c:v>
                </c:pt>
                <c:pt idx="11">
                  <c:v>8210</c:v>
                </c:pt>
                <c:pt idx="12">
                  <c:v>3582</c:v>
                </c:pt>
                <c:pt idx="13">
                  <c:v>20898</c:v>
                </c:pt>
                <c:pt idx="14">
                  <c:v>15008</c:v>
                </c:pt>
                <c:pt idx="15">
                  <c:v>12268</c:v>
                </c:pt>
                <c:pt idx="16">
                  <c:v>15032</c:v>
                </c:pt>
                <c:pt idx="17">
                  <c:v>9445</c:v>
                </c:pt>
                <c:pt idx="18">
                  <c:v>7205</c:v>
                </c:pt>
                <c:pt idx="19">
                  <c:v>232</c:v>
                </c:pt>
                <c:pt idx="20">
                  <c:v>2021</c:v>
                </c:pt>
                <c:pt idx="21">
                  <c:v>6086</c:v>
                </c:pt>
                <c:pt idx="22">
                  <c:v>2921</c:v>
                </c:pt>
                <c:pt idx="23">
                  <c:v>4838</c:v>
                </c:pt>
                <c:pt idx="24">
                  <c:v>4118</c:v>
                </c:pt>
                <c:pt idx="25">
                  <c:v>2947</c:v>
                </c:pt>
                <c:pt idx="26">
                  <c:v>14297</c:v>
                </c:pt>
                <c:pt idx="27">
                  <c:v>4041</c:v>
                </c:pt>
                <c:pt idx="28">
                  <c:v>9209</c:v>
                </c:pt>
                <c:pt idx="29">
                  <c:v>14592</c:v>
                </c:pt>
                <c:pt idx="30">
                  <c:v>11770</c:v>
                </c:pt>
              </c:numCache>
            </c:numRef>
          </c:val>
        </c:ser>
        <c:gapWidth val="100"/>
        <c:overlap val="0"/>
        <c:axId val="88719126"/>
        <c:axId val="99169967"/>
      </c:barChart>
      <c:catAx>
        <c:axId val="8871912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169967"/>
        <c:crosses val="autoZero"/>
        <c:auto val="1"/>
        <c:lblAlgn val="ctr"/>
        <c:lblOffset val="100"/>
        <c:noMultiLvlLbl val="0"/>
      </c:catAx>
      <c:valAx>
        <c:axId val="991699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7191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'2024'!$B$33:$B$61</c:f>
              <c:strCache>
                <c:ptCount val="29"/>
                <c:pt idx="0">
                  <c:v>02/01/24</c:v>
                </c:pt>
                <c:pt idx="1">
                  <c:v>02/02/24</c:v>
                </c:pt>
                <c:pt idx="2">
                  <c:v>02/03/24</c:v>
                </c:pt>
                <c:pt idx="3">
                  <c:v>02/04/24</c:v>
                </c:pt>
                <c:pt idx="4">
                  <c:v>02/05/24</c:v>
                </c:pt>
                <c:pt idx="5">
                  <c:v>02/06/24</c:v>
                </c:pt>
                <c:pt idx="6">
                  <c:v>02/07/24</c:v>
                </c:pt>
                <c:pt idx="7">
                  <c:v>02/08/24</c:v>
                </c:pt>
                <c:pt idx="8">
                  <c:v>02/09/24</c:v>
                </c:pt>
                <c:pt idx="9">
                  <c:v>02/10/24</c:v>
                </c:pt>
                <c:pt idx="10">
                  <c:v>02/11/24</c:v>
                </c:pt>
                <c:pt idx="11">
                  <c:v>02/12/24</c:v>
                </c:pt>
                <c:pt idx="12">
                  <c:v>02/13/24</c:v>
                </c:pt>
                <c:pt idx="13">
                  <c:v>02/14/24</c:v>
                </c:pt>
                <c:pt idx="14">
                  <c:v>02/15/24</c:v>
                </c:pt>
                <c:pt idx="15">
                  <c:v>02/16/24</c:v>
                </c:pt>
                <c:pt idx="16">
                  <c:v>02/17/24</c:v>
                </c:pt>
                <c:pt idx="17">
                  <c:v>02/18/24</c:v>
                </c:pt>
                <c:pt idx="18">
                  <c:v>02/19/24</c:v>
                </c:pt>
                <c:pt idx="19">
                  <c:v>02/20/24</c:v>
                </c:pt>
                <c:pt idx="20">
                  <c:v>02/21/24</c:v>
                </c:pt>
                <c:pt idx="21">
                  <c:v>02/22/24</c:v>
                </c:pt>
                <c:pt idx="22">
                  <c:v>02/23/24</c:v>
                </c:pt>
                <c:pt idx="23">
                  <c:v>02/24/24</c:v>
                </c:pt>
                <c:pt idx="24">
                  <c:v>02/25/24</c:v>
                </c:pt>
                <c:pt idx="25">
                  <c:v>02/26/24</c:v>
                </c:pt>
                <c:pt idx="26">
                  <c:v>02/27/24</c:v>
                </c:pt>
                <c:pt idx="27">
                  <c:v>02/28/24</c:v>
                </c:pt>
                <c:pt idx="28">
                  <c:v>02/29/24</c:v>
                </c:pt>
              </c:strCache>
            </c:strRef>
          </c:cat>
          <c:val>
            <c:numRef>
              <c:f>'2024'!$C$33:$C$61</c:f>
              <c:numCache>
                <c:formatCode>General</c:formatCode>
                <c:ptCount val="29"/>
                <c:pt idx="0">
                  <c:v>10201</c:v>
                </c:pt>
                <c:pt idx="1">
                  <c:v>3121</c:v>
                </c:pt>
                <c:pt idx="2">
                  <c:v>13359</c:v>
                </c:pt>
                <c:pt idx="3">
                  <c:v>14848</c:v>
                </c:pt>
                <c:pt idx="4">
                  <c:v>8749</c:v>
                </c:pt>
                <c:pt idx="5">
                  <c:v>11444</c:v>
                </c:pt>
                <c:pt idx="6">
                  <c:v>19327</c:v>
                </c:pt>
                <c:pt idx="7">
                  <c:v>16297</c:v>
                </c:pt>
                <c:pt idx="8">
                  <c:v>3956</c:v>
                </c:pt>
                <c:pt idx="9">
                  <c:v>21204</c:v>
                </c:pt>
                <c:pt idx="10">
                  <c:v>11674</c:v>
                </c:pt>
                <c:pt idx="11">
                  <c:v>13036</c:v>
                </c:pt>
                <c:pt idx="12">
                  <c:v>15019</c:v>
                </c:pt>
                <c:pt idx="13">
                  <c:v>8549</c:v>
                </c:pt>
                <c:pt idx="14">
                  <c:v>11964</c:v>
                </c:pt>
                <c:pt idx="15">
                  <c:v>5322</c:v>
                </c:pt>
                <c:pt idx="16">
                  <c:v>16961</c:v>
                </c:pt>
                <c:pt idx="17">
                  <c:v>7575</c:v>
                </c:pt>
                <c:pt idx="18">
                  <c:v>6383</c:v>
                </c:pt>
                <c:pt idx="19">
                  <c:v>10643</c:v>
                </c:pt>
                <c:pt idx="20">
                  <c:v>4816</c:v>
                </c:pt>
                <c:pt idx="21">
                  <c:v>3463</c:v>
                </c:pt>
                <c:pt idx="22">
                  <c:v>6475</c:v>
                </c:pt>
                <c:pt idx="23">
                  <c:v>10763</c:v>
                </c:pt>
                <c:pt idx="24">
                  <c:v>30612</c:v>
                </c:pt>
                <c:pt idx="25">
                  <c:v>6541</c:v>
                </c:pt>
                <c:pt idx="26">
                  <c:v>16626</c:v>
                </c:pt>
                <c:pt idx="27">
                  <c:v>10313</c:v>
                </c:pt>
                <c:pt idx="28">
                  <c:v>14249</c:v>
                </c:pt>
              </c:numCache>
            </c:numRef>
          </c:val>
        </c:ser>
        <c:gapWidth val="100"/>
        <c:overlap val="0"/>
        <c:axId val="11979849"/>
        <c:axId val="25092889"/>
      </c:barChart>
      <c:catAx>
        <c:axId val="11979849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5092889"/>
        <c:crosses val="autoZero"/>
        <c:auto val="1"/>
        <c:lblAlgn val="ctr"/>
        <c:lblOffset val="100"/>
        <c:noMultiLvlLbl val="0"/>
      </c:catAx>
      <c:valAx>
        <c:axId val="250928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197984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view3D>
      <c:rotX val="11"/>
      <c:rotY val="25"/>
      <c:rAngAx val="1"/>
      <c:perspective val="40"/>
    </c:view3D>
    <c:floor>
      <c:spPr>
        <a:solidFill>
          <a:srgbClr val="cccccc"/>
        </a:solidFill>
        <a:ln w="0">
          <a:noFill/>
        </a:ln>
      </c:spPr>
    </c:floor>
    <c:sideWall>
      <c:spPr>
        <a:noFill/>
        <a:ln w="0">
          <a:solidFill>
            <a:srgbClr val="b3b3b3"/>
          </a:solidFill>
        </a:ln>
      </c:spPr>
    </c:sideWall>
    <c:backWall>
      <c:spPr>
        <a:noFill/>
        <a:ln w="0">
          <a:solidFill>
            <a:srgbClr val="b3b3b3"/>
          </a:solidFill>
        </a:ln>
      </c:spPr>
    </c:backWall>
    <c:plotArea>
      <c:bar3D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'2024'!$B$62:$B$92</c:f>
              <c:strCache>
                <c:ptCount val="31"/>
                <c:pt idx="0">
                  <c:v>03/01/24</c:v>
                </c:pt>
                <c:pt idx="1">
                  <c:v>03/02/24</c:v>
                </c:pt>
                <c:pt idx="2">
                  <c:v>03/03/24</c:v>
                </c:pt>
                <c:pt idx="3">
                  <c:v>03/04/24</c:v>
                </c:pt>
                <c:pt idx="4">
                  <c:v>03/05/24</c:v>
                </c:pt>
                <c:pt idx="5">
                  <c:v>03/06/24</c:v>
                </c:pt>
                <c:pt idx="6">
                  <c:v>03/07/24</c:v>
                </c:pt>
                <c:pt idx="7">
                  <c:v>03/08/24</c:v>
                </c:pt>
                <c:pt idx="8">
                  <c:v>03/09/24</c:v>
                </c:pt>
                <c:pt idx="9">
                  <c:v>03/10/24</c:v>
                </c:pt>
                <c:pt idx="10">
                  <c:v>03/11/24</c:v>
                </c:pt>
                <c:pt idx="11">
                  <c:v>03/12/24</c:v>
                </c:pt>
                <c:pt idx="12">
                  <c:v>03/13/24</c:v>
                </c:pt>
                <c:pt idx="13">
                  <c:v>03/14/24</c:v>
                </c:pt>
                <c:pt idx="14">
                  <c:v>03/15/24</c:v>
                </c:pt>
                <c:pt idx="15">
                  <c:v>03/16/24</c:v>
                </c:pt>
                <c:pt idx="16">
                  <c:v>03/17/24</c:v>
                </c:pt>
                <c:pt idx="17">
                  <c:v>03/18/24</c:v>
                </c:pt>
                <c:pt idx="18">
                  <c:v>03/19/24</c:v>
                </c:pt>
                <c:pt idx="19">
                  <c:v>03/20/24</c:v>
                </c:pt>
                <c:pt idx="20">
                  <c:v>03/21/24</c:v>
                </c:pt>
                <c:pt idx="21">
                  <c:v>03/22/24</c:v>
                </c:pt>
                <c:pt idx="22">
                  <c:v>03/23/24</c:v>
                </c:pt>
                <c:pt idx="23">
                  <c:v>03/24/24</c:v>
                </c:pt>
                <c:pt idx="24">
                  <c:v>03/25/24</c:v>
                </c:pt>
                <c:pt idx="25">
                  <c:v>03/26/24</c:v>
                </c:pt>
                <c:pt idx="26">
                  <c:v>03/27/24</c:v>
                </c:pt>
                <c:pt idx="27">
                  <c:v>03/28/24</c:v>
                </c:pt>
                <c:pt idx="28">
                  <c:v>03/29/24</c:v>
                </c:pt>
                <c:pt idx="29">
                  <c:v>03/30/24</c:v>
                </c:pt>
                <c:pt idx="30">
                  <c:v>03/31/24</c:v>
                </c:pt>
              </c:strCache>
            </c:strRef>
          </c:cat>
          <c:val>
            <c:numRef>
              <c:f>'2024'!$C$62:$C$92</c:f>
              <c:numCache>
                <c:formatCode>General</c:formatCode>
                <c:ptCount val="31"/>
                <c:pt idx="0">
                  <c:v>3318</c:v>
                </c:pt>
                <c:pt idx="1">
                  <c:v>1358</c:v>
                </c:pt>
                <c:pt idx="2">
                  <c:v>18513</c:v>
                </c:pt>
                <c:pt idx="3">
                  <c:v>17319</c:v>
                </c:pt>
                <c:pt idx="4">
                  <c:v>3112</c:v>
                </c:pt>
                <c:pt idx="5">
                  <c:v>8152</c:v>
                </c:pt>
                <c:pt idx="6">
                  <c:v>4754</c:v>
                </c:pt>
                <c:pt idx="7">
                  <c:v>5104</c:v>
                </c:pt>
                <c:pt idx="8">
                  <c:v>17321</c:v>
                </c:pt>
                <c:pt idx="9">
                  <c:v>33862</c:v>
                </c:pt>
                <c:pt idx="10">
                  <c:v>12096</c:v>
                </c:pt>
                <c:pt idx="11">
                  <c:v>12505</c:v>
                </c:pt>
                <c:pt idx="12">
                  <c:v>5805</c:v>
                </c:pt>
                <c:pt idx="13">
                  <c:v>1290</c:v>
                </c:pt>
                <c:pt idx="14">
                  <c:v>1887</c:v>
                </c:pt>
                <c:pt idx="15">
                  <c:v>1150</c:v>
                </c:pt>
                <c:pt idx="16">
                  <c:v>9331</c:v>
                </c:pt>
                <c:pt idx="17">
                  <c:v>15097</c:v>
                </c:pt>
                <c:pt idx="18">
                  <c:v>12575</c:v>
                </c:pt>
                <c:pt idx="19">
                  <c:v>8653</c:v>
                </c:pt>
                <c:pt idx="20">
                  <c:v>8521</c:v>
                </c:pt>
                <c:pt idx="21">
                  <c:v>15786</c:v>
                </c:pt>
                <c:pt idx="22">
                  <c:v>15913</c:v>
                </c:pt>
                <c:pt idx="23">
                  <c:v>19484</c:v>
                </c:pt>
                <c:pt idx="24">
                  <c:v>4827</c:v>
                </c:pt>
                <c:pt idx="25">
                  <c:v>9609</c:v>
                </c:pt>
                <c:pt idx="26">
                  <c:v>8463</c:v>
                </c:pt>
                <c:pt idx="27">
                  <c:v>13875</c:v>
                </c:pt>
                <c:pt idx="28">
                  <c:v>7307</c:v>
                </c:pt>
                <c:pt idx="29">
                  <c:v>14553</c:v>
                </c:pt>
                <c:pt idx="30">
                  <c:v>32273</c:v>
                </c:pt>
              </c:numCache>
            </c:numRef>
          </c:val>
        </c:ser>
        <c:gapWidth val="100"/>
        <c:shape val="box"/>
        <c:axId val="61724939"/>
        <c:axId val="43564720"/>
        <c:axId val="0"/>
      </c:bar3DChart>
      <c:catAx>
        <c:axId val="61724939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3564720"/>
        <c:crosses val="autoZero"/>
        <c:auto val="1"/>
        <c:lblAlgn val="ctr"/>
        <c:lblOffset val="100"/>
        <c:noMultiLvlLbl val="0"/>
      </c:catAx>
      <c:valAx>
        <c:axId val="435647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1724939"/>
        <c:crosses val="autoZero"/>
        <c:crossBetween val="between"/>
      </c:valAx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'2024'!$B$93:$B$122</c:f>
              <c:strCache>
                <c:ptCount val="30"/>
                <c:pt idx="0">
                  <c:v>04/01/24</c:v>
                </c:pt>
                <c:pt idx="1">
                  <c:v>04/02/24</c:v>
                </c:pt>
                <c:pt idx="2">
                  <c:v>04/03/24</c:v>
                </c:pt>
                <c:pt idx="3">
                  <c:v>04/04/24</c:v>
                </c:pt>
                <c:pt idx="4">
                  <c:v>04/05/24</c:v>
                </c:pt>
                <c:pt idx="5">
                  <c:v>04/06/24</c:v>
                </c:pt>
                <c:pt idx="6">
                  <c:v>04/07/24</c:v>
                </c:pt>
                <c:pt idx="7">
                  <c:v>04/08/24</c:v>
                </c:pt>
                <c:pt idx="8">
                  <c:v>04/09/24</c:v>
                </c:pt>
                <c:pt idx="9">
                  <c:v>04/10/24</c:v>
                </c:pt>
                <c:pt idx="10">
                  <c:v>04/11/24</c:v>
                </c:pt>
                <c:pt idx="11">
                  <c:v>04/12/24</c:v>
                </c:pt>
                <c:pt idx="12">
                  <c:v>04/13/24</c:v>
                </c:pt>
                <c:pt idx="13">
                  <c:v>04/14/24</c:v>
                </c:pt>
                <c:pt idx="14">
                  <c:v>04/15/24</c:v>
                </c:pt>
                <c:pt idx="15">
                  <c:v>04/16/24</c:v>
                </c:pt>
                <c:pt idx="16">
                  <c:v>04/17/24</c:v>
                </c:pt>
                <c:pt idx="17">
                  <c:v>04/18/24</c:v>
                </c:pt>
                <c:pt idx="18">
                  <c:v>04/19/24</c:v>
                </c:pt>
                <c:pt idx="19">
                  <c:v>04/20/24</c:v>
                </c:pt>
                <c:pt idx="20">
                  <c:v>04/21/24</c:v>
                </c:pt>
                <c:pt idx="21">
                  <c:v>04/22/24</c:v>
                </c:pt>
                <c:pt idx="22">
                  <c:v>04/23/24</c:v>
                </c:pt>
                <c:pt idx="23">
                  <c:v>04/24/24</c:v>
                </c:pt>
                <c:pt idx="24">
                  <c:v>04/25/24</c:v>
                </c:pt>
                <c:pt idx="25">
                  <c:v>04/26/24</c:v>
                </c:pt>
                <c:pt idx="26">
                  <c:v>04/27/24</c:v>
                </c:pt>
                <c:pt idx="27">
                  <c:v>04/28/24</c:v>
                </c:pt>
                <c:pt idx="28">
                  <c:v>04/29/24</c:v>
                </c:pt>
                <c:pt idx="29">
                  <c:v>04/30/24</c:v>
                </c:pt>
              </c:strCache>
            </c:strRef>
          </c:cat>
          <c:val>
            <c:numRef>
              <c:f>'2024'!$C$93:$C$122</c:f>
              <c:numCache>
                <c:formatCode>General</c:formatCode>
                <c:ptCount val="30"/>
                <c:pt idx="0">
                  <c:v>19096</c:v>
                </c:pt>
                <c:pt idx="1">
                  <c:v>20551</c:v>
                </c:pt>
                <c:pt idx="2">
                  <c:v>19617</c:v>
                </c:pt>
                <c:pt idx="3">
                  <c:v>14829</c:v>
                </c:pt>
                <c:pt idx="4">
                  <c:v>15819</c:v>
                </c:pt>
                <c:pt idx="5">
                  <c:v>23191</c:v>
                </c:pt>
                <c:pt idx="6">
                  <c:v>27814</c:v>
                </c:pt>
                <c:pt idx="7">
                  <c:v>16899</c:v>
                </c:pt>
                <c:pt idx="8">
                  <c:v>11589</c:v>
                </c:pt>
                <c:pt idx="9">
                  <c:v>12404</c:v>
                </c:pt>
                <c:pt idx="10">
                  <c:v>8956</c:v>
                </c:pt>
                <c:pt idx="11">
                  <c:v>7409</c:v>
                </c:pt>
                <c:pt idx="12">
                  <c:v>17891</c:v>
                </c:pt>
                <c:pt idx="13">
                  <c:v>12342</c:v>
                </c:pt>
                <c:pt idx="14">
                  <c:v>18487</c:v>
                </c:pt>
                <c:pt idx="15">
                  <c:v>13526</c:v>
                </c:pt>
                <c:pt idx="16">
                  <c:v>10765</c:v>
                </c:pt>
                <c:pt idx="17">
                  <c:v>7144</c:v>
                </c:pt>
                <c:pt idx="18">
                  <c:v>12273</c:v>
                </c:pt>
                <c:pt idx="19">
                  <c:v>7066</c:v>
                </c:pt>
                <c:pt idx="20">
                  <c:v>12639</c:v>
                </c:pt>
                <c:pt idx="21">
                  <c:v>19710</c:v>
                </c:pt>
                <c:pt idx="22">
                  <c:v>17562</c:v>
                </c:pt>
                <c:pt idx="23">
                  <c:v>16602</c:v>
                </c:pt>
                <c:pt idx="24">
                  <c:v>13718</c:v>
                </c:pt>
                <c:pt idx="25">
                  <c:v>5074</c:v>
                </c:pt>
                <c:pt idx="26">
                  <c:v>15218</c:v>
                </c:pt>
                <c:pt idx="27">
                  <c:v>20057</c:v>
                </c:pt>
                <c:pt idx="28">
                  <c:v>16868</c:v>
                </c:pt>
                <c:pt idx="29">
                  <c:v>6032</c:v>
                </c:pt>
              </c:numCache>
            </c:numRef>
          </c:val>
        </c:ser>
        <c:gapWidth val="100"/>
        <c:overlap val="0"/>
        <c:axId val="70318628"/>
        <c:axId val="80908627"/>
      </c:barChart>
      <c:catAx>
        <c:axId val="70318628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0908627"/>
        <c:crosses val="autoZero"/>
        <c:auto val="1"/>
        <c:lblAlgn val="ctr"/>
        <c:lblOffset val="100"/>
        <c:noMultiLvlLbl val="0"/>
      </c:catAx>
      <c:valAx>
        <c:axId val="809086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031862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'2024'!$B$123:$B$153</c:f>
              <c:strCache>
                <c:ptCount val="31"/>
                <c:pt idx="0">
                  <c:v>05/01/24</c:v>
                </c:pt>
                <c:pt idx="1">
                  <c:v>05/02/24</c:v>
                </c:pt>
                <c:pt idx="2">
                  <c:v>05/03/24</c:v>
                </c:pt>
                <c:pt idx="3">
                  <c:v>05/04/24</c:v>
                </c:pt>
                <c:pt idx="4">
                  <c:v>05/05/24</c:v>
                </c:pt>
                <c:pt idx="5">
                  <c:v>05/06/24</c:v>
                </c:pt>
                <c:pt idx="6">
                  <c:v>05/07/24</c:v>
                </c:pt>
                <c:pt idx="7">
                  <c:v>05/08/24</c:v>
                </c:pt>
                <c:pt idx="8">
                  <c:v>05/09/24</c:v>
                </c:pt>
                <c:pt idx="9">
                  <c:v>05/10/24</c:v>
                </c:pt>
                <c:pt idx="10">
                  <c:v>05/11/24</c:v>
                </c:pt>
                <c:pt idx="11">
                  <c:v>05/12/24</c:v>
                </c:pt>
                <c:pt idx="12">
                  <c:v>05/13/24</c:v>
                </c:pt>
                <c:pt idx="13">
                  <c:v>05/14/24</c:v>
                </c:pt>
                <c:pt idx="14">
                  <c:v>05/15/24</c:v>
                </c:pt>
                <c:pt idx="15">
                  <c:v>05/16/24</c:v>
                </c:pt>
                <c:pt idx="16">
                  <c:v>05/17/24</c:v>
                </c:pt>
                <c:pt idx="17">
                  <c:v>05/18/24</c:v>
                </c:pt>
                <c:pt idx="18">
                  <c:v>05/19/24</c:v>
                </c:pt>
                <c:pt idx="19">
                  <c:v>05/20/24</c:v>
                </c:pt>
                <c:pt idx="20">
                  <c:v>05/21/24</c:v>
                </c:pt>
                <c:pt idx="21">
                  <c:v>05/22/24</c:v>
                </c:pt>
                <c:pt idx="22">
                  <c:v>05/23/24</c:v>
                </c:pt>
                <c:pt idx="23">
                  <c:v>05/24/24</c:v>
                </c:pt>
                <c:pt idx="24">
                  <c:v>05/25/24</c:v>
                </c:pt>
                <c:pt idx="25">
                  <c:v>05/26/24</c:v>
                </c:pt>
                <c:pt idx="26">
                  <c:v>05/27/24</c:v>
                </c:pt>
                <c:pt idx="27">
                  <c:v>05/28/24</c:v>
                </c:pt>
                <c:pt idx="28">
                  <c:v>05/29/24</c:v>
                </c:pt>
                <c:pt idx="29">
                  <c:v>05/30/24</c:v>
                </c:pt>
                <c:pt idx="30">
                  <c:v>05/31/24</c:v>
                </c:pt>
              </c:strCache>
            </c:strRef>
          </c:cat>
          <c:val>
            <c:numRef>
              <c:f>'2024'!$C$123:$C$153</c:f>
              <c:numCache>
                <c:formatCode>General</c:formatCode>
                <c:ptCount val="31"/>
                <c:pt idx="0">
                  <c:v>11526</c:v>
                </c:pt>
                <c:pt idx="1">
                  <c:v>20571</c:v>
                </c:pt>
                <c:pt idx="2">
                  <c:v>980</c:v>
                </c:pt>
                <c:pt idx="3">
                  <c:v>1531</c:v>
                </c:pt>
                <c:pt idx="4">
                  <c:v>13791</c:v>
                </c:pt>
                <c:pt idx="5">
                  <c:v>10668</c:v>
                </c:pt>
                <c:pt idx="6">
                  <c:v>8166</c:v>
                </c:pt>
                <c:pt idx="7">
                  <c:v>12884</c:v>
                </c:pt>
                <c:pt idx="8">
                  <c:v>7209</c:v>
                </c:pt>
                <c:pt idx="9">
                  <c:v>2226</c:v>
                </c:pt>
                <c:pt idx="10">
                  <c:v>14057</c:v>
                </c:pt>
                <c:pt idx="11">
                  <c:v>7673</c:v>
                </c:pt>
                <c:pt idx="12">
                  <c:v>14535</c:v>
                </c:pt>
                <c:pt idx="13">
                  <c:v>8304</c:v>
                </c:pt>
                <c:pt idx="14">
                  <c:v>11696</c:v>
                </c:pt>
                <c:pt idx="15">
                  <c:v>12332</c:v>
                </c:pt>
                <c:pt idx="16">
                  <c:v>10741</c:v>
                </c:pt>
                <c:pt idx="17">
                  <c:v>12736</c:v>
                </c:pt>
                <c:pt idx="18">
                  <c:v>1343</c:v>
                </c:pt>
                <c:pt idx="19">
                  <c:v>16175</c:v>
                </c:pt>
                <c:pt idx="20">
                  <c:v>18417</c:v>
                </c:pt>
                <c:pt idx="21">
                  <c:v>9763</c:v>
                </c:pt>
                <c:pt idx="22">
                  <c:v>19082</c:v>
                </c:pt>
                <c:pt idx="23">
                  <c:v>7225</c:v>
                </c:pt>
                <c:pt idx="24">
                  <c:v>29630</c:v>
                </c:pt>
                <c:pt idx="25">
                  <c:v>7657</c:v>
                </c:pt>
                <c:pt idx="26">
                  <c:v>10959</c:v>
                </c:pt>
                <c:pt idx="27">
                  <c:v>17571</c:v>
                </c:pt>
                <c:pt idx="28">
                  <c:v>15707</c:v>
                </c:pt>
                <c:pt idx="29">
                  <c:v>5774</c:v>
                </c:pt>
                <c:pt idx="30">
                  <c:v>11615</c:v>
                </c:pt>
              </c:numCache>
            </c:numRef>
          </c:val>
        </c:ser>
        <c:gapWidth val="100"/>
        <c:overlap val="0"/>
        <c:axId val="58697066"/>
        <c:axId val="60136745"/>
      </c:barChart>
      <c:catAx>
        <c:axId val="58697066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0136745"/>
        <c:crosses val="autoZero"/>
        <c:auto val="1"/>
        <c:lblAlgn val="ctr"/>
        <c:lblOffset val="100"/>
        <c:noMultiLvlLbl val="0"/>
      </c:catAx>
      <c:valAx>
        <c:axId val="601367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869706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'2024'!$C$154:$C$183</c:f>
              <c:numCache>
                <c:formatCode>General</c:formatCode>
                <c:ptCount val="30"/>
                <c:pt idx="0">
                  <c:v>11746</c:v>
                </c:pt>
                <c:pt idx="1">
                  <c:v>15212</c:v>
                </c:pt>
                <c:pt idx="2">
                  <c:v>7194</c:v>
                </c:pt>
                <c:pt idx="3">
                  <c:v>12537</c:v>
                </c:pt>
                <c:pt idx="4">
                  <c:v>13640</c:v>
                </c:pt>
                <c:pt idx="5">
                  <c:v>18761</c:v>
                </c:pt>
                <c:pt idx="6">
                  <c:v>15730</c:v>
                </c:pt>
                <c:pt idx="7">
                  <c:v>13028</c:v>
                </c:pt>
                <c:pt idx="8">
                  <c:v>18156</c:v>
                </c:pt>
                <c:pt idx="9">
                  <c:v>14882</c:v>
                </c:pt>
                <c:pt idx="10">
                  <c:v>12004</c:v>
                </c:pt>
                <c:pt idx="11">
                  <c:v>16471</c:v>
                </c:pt>
                <c:pt idx="12">
                  <c:v>19546</c:v>
                </c:pt>
                <c:pt idx="13">
                  <c:v>7680</c:v>
                </c:pt>
                <c:pt idx="14">
                  <c:v>8098</c:v>
                </c:pt>
                <c:pt idx="15">
                  <c:v>10642</c:v>
                </c:pt>
                <c:pt idx="16">
                  <c:v>14536</c:v>
                </c:pt>
                <c:pt idx="17">
                  <c:v>14828</c:v>
                </c:pt>
                <c:pt idx="18">
                  <c:v>12462</c:v>
                </c:pt>
                <c:pt idx="19">
                  <c:v>9880</c:v>
                </c:pt>
                <c:pt idx="20">
                  <c:v>19992</c:v>
                </c:pt>
                <c:pt idx="21">
                  <c:v>8119</c:v>
                </c:pt>
                <c:pt idx="22">
                  <c:v>18283</c:v>
                </c:pt>
                <c:pt idx="23">
                  <c:v>17360</c:v>
                </c:pt>
                <c:pt idx="24">
                  <c:v>9618</c:v>
                </c:pt>
                <c:pt idx="25">
                  <c:v>11879</c:v>
                </c:pt>
                <c:pt idx="26">
                  <c:v>6922</c:v>
                </c:pt>
                <c:pt idx="27">
                  <c:v>9935</c:v>
                </c:pt>
                <c:pt idx="28">
                  <c:v>13350</c:v>
                </c:pt>
                <c:pt idx="29">
                  <c:v>16713</c:v>
                </c:pt>
              </c:numCache>
            </c:numRef>
          </c:val>
        </c:ser>
        <c:gapWidth val="100"/>
        <c:overlap val="0"/>
        <c:axId val="25620889"/>
        <c:axId val="8412644"/>
      </c:barChart>
      <c:catAx>
        <c:axId val="2562088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12644"/>
        <c:crosses val="autoZero"/>
        <c:auto val="1"/>
        <c:lblAlgn val="ctr"/>
        <c:lblOffset val="100"/>
        <c:noMultiLvlLbl val="0"/>
      </c:catAx>
      <c:valAx>
        <c:axId val="841264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562088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'2024'!$B$184:$B$214</c:f>
              <c:strCache>
                <c:ptCount val="31"/>
                <c:pt idx="0">
                  <c:v>07/01/24</c:v>
                </c:pt>
                <c:pt idx="1">
                  <c:v>07/02/24</c:v>
                </c:pt>
                <c:pt idx="2">
                  <c:v>07/03/24</c:v>
                </c:pt>
                <c:pt idx="3">
                  <c:v>07/04/24</c:v>
                </c:pt>
                <c:pt idx="4">
                  <c:v>07/05/24</c:v>
                </c:pt>
                <c:pt idx="5">
                  <c:v>07/06/24</c:v>
                </c:pt>
                <c:pt idx="6">
                  <c:v>07/07/24</c:v>
                </c:pt>
                <c:pt idx="7">
                  <c:v>07/08/24</c:v>
                </c:pt>
                <c:pt idx="8">
                  <c:v>07/09/24</c:v>
                </c:pt>
                <c:pt idx="9">
                  <c:v>07/10/24</c:v>
                </c:pt>
                <c:pt idx="10">
                  <c:v>07/11/24</c:v>
                </c:pt>
                <c:pt idx="11">
                  <c:v>07/12/24</c:v>
                </c:pt>
                <c:pt idx="12">
                  <c:v>07/13/24</c:v>
                </c:pt>
                <c:pt idx="13">
                  <c:v>07/14/24</c:v>
                </c:pt>
                <c:pt idx="14">
                  <c:v>07/15/24</c:v>
                </c:pt>
                <c:pt idx="15">
                  <c:v>07/16/24</c:v>
                </c:pt>
                <c:pt idx="16">
                  <c:v>07/17/24</c:v>
                </c:pt>
                <c:pt idx="17">
                  <c:v>07/18/24</c:v>
                </c:pt>
                <c:pt idx="18">
                  <c:v>07/19/24</c:v>
                </c:pt>
                <c:pt idx="19">
                  <c:v>07/20/24</c:v>
                </c:pt>
                <c:pt idx="20">
                  <c:v>07/21/24</c:v>
                </c:pt>
                <c:pt idx="21">
                  <c:v>07/22/24</c:v>
                </c:pt>
                <c:pt idx="22">
                  <c:v>07/23/24</c:v>
                </c:pt>
                <c:pt idx="23">
                  <c:v>07/24/24</c:v>
                </c:pt>
                <c:pt idx="24">
                  <c:v>07/25/24</c:v>
                </c:pt>
                <c:pt idx="25">
                  <c:v>07/26/24</c:v>
                </c:pt>
                <c:pt idx="26">
                  <c:v>07/27/24</c:v>
                </c:pt>
                <c:pt idx="27">
                  <c:v>07/28/24</c:v>
                </c:pt>
                <c:pt idx="28">
                  <c:v>07/29/24</c:v>
                </c:pt>
                <c:pt idx="29">
                  <c:v>07/30/24</c:v>
                </c:pt>
                <c:pt idx="30">
                  <c:v>07/31/24</c:v>
                </c:pt>
              </c:strCache>
            </c:strRef>
          </c:cat>
          <c:val>
            <c:numRef>
              <c:f>'2024'!$C$184:$C$214</c:f>
              <c:numCache>
                <c:formatCode>General</c:formatCode>
                <c:ptCount val="31"/>
                <c:pt idx="0">
                  <c:v>13391</c:v>
                </c:pt>
                <c:pt idx="1">
                  <c:v>14610</c:v>
                </c:pt>
                <c:pt idx="2">
                  <c:v>15233</c:v>
                </c:pt>
                <c:pt idx="3">
                  <c:v>19775</c:v>
                </c:pt>
                <c:pt idx="4">
                  <c:v>9756</c:v>
                </c:pt>
                <c:pt idx="5">
                  <c:v>6450</c:v>
                </c:pt>
                <c:pt idx="6">
                  <c:v>6234</c:v>
                </c:pt>
                <c:pt idx="7">
                  <c:v>21048</c:v>
                </c:pt>
                <c:pt idx="8">
                  <c:v>10923</c:v>
                </c:pt>
                <c:pt idx="9">
                  <c:v>17364</c:v>
                </c:pt>
                <c:pt idx="10">
                  <c:v>17883</c:v>
                </c:pt>
                <c:pt idx="11">
                  <c:v>6615</c:v>
                </c:pt>
                <c:pt idx="12">
                  <c:v>22577</c:v>
                </c:pt>
                <c:pt idx="13">
                  <c:v>8463</c:v>
                </c:pt>
                <c:pt idx="14">
                  <c:v>15301</c:v>
                </c:pt>
                <c:pt idx="15">
                  <c:v>18355</c:v>
                </c:pt>
                <c:pt idx="16">
                  <c:v>17421</c:v>
                </c:pt>
                <c:pt idx="17">
                  <c:v>14689</c:v>
                </c:pt>
                <c:pt idx="18">
                  <c:v>6958</c:v>
                </c:pt>
                <c:pt idx="19">
                  <c:v>10295</c:v>
                </c:pt>
                <c:pt idx="20">
                  <c:v>31785</c:v>
                </c:pt>
                <c:pt idx="21">
                  <c:v>16465</c:v>
                </c:pt>
                <c:pt idx="22">
                  <c:v>13207</c:v>
                </c:pt>
                <c:pt idx="23">
                  <c:v>21669</c:v>
                </c:pt>
                <c:pt idx="24">
                  <c:v>9354</c:v>
                </c:pt>
                <c:pt idx="25">
                  <c:v>13691</c:v>
                </c:pt>
                <c:pt idx="26">
                  <c:v>9259</c:v>
                </c:pt>
                <c:pt idx="27">
                  <c:v>18099</c:v>
                </c:pt>
                <c:pt idx="28">
                  <c:v>18249</c:v>
                </c:pt>
                <c:pt idx="29">
                  <c:v>13288</c:v>
                </c:pt>
                <c:pt idx="30">
                  <c:v>13428</c:v>
                </c:pt>
              </c:numCache>
            </c:numRef>
          </c:val>
        </c:ser>
        <c:gapWidth val="100"/>
        <c:overlap val="0"/>
        <c:axId val="61673684"/>
        <c:axId val="99371120"/>
      </c:barChart>
      <c:catAx>
        <c:axId val="6167368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371120"/>
        <c:crosses val="autoZero"/>
        <c:auto val="1"/>
        <c:lblAlgn val="ctr"/>
        <c:lblOffset val="100"/>
        <c:noMultiLvlLbl val="0"/>
      </c:catAx>
      <c:valAx>
        <c:axId val="993711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167368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'2024'!$B$215:$B$245</c:f>
              <c:strCache>
                <c:ptCount val="31"/>
                <c:pt idx="0">
                  <c:v>08/01/24</c:v>
                </c:pt>
                <c:pt idx="1">
                  <c:v>08/02/24</c:v>
                </c:pt>
                <c:pt idx="2">
                  <c:v>08/03/24</c:v>
                </c:pt>
                <c:pt idx="3">
                  <c:v>08/04/24</c:v>
                </c:pt>
                <c:pt idx="4">
                  <c:v>08/05/24</c:v>
                </c:pt>
                <c:pt idx="5">
                  <c:v>08/06/24</c:v>
                </c:pt>
                <c:pt idx="6">
                  <c:v>08/07/24</c:v>
                </c:pt>
                <c:pt idx="7">
                  <c:v>08/08/24</c:v>
                </c:pt>
                <c:pt idx="8">
                  <c:v>08/09/24</c:v>
                </c:pt>
                <c:pt idx="9">
                  <c:v>08/10/24</c:v>
                </c:pt>
                <c:pt idx="10">
                  <c:v>08/11/24</c:v>
                </c:pt>
                <c:pt idx="11">
                  <c:v>08/12/24</c:v>
                </c:pt>
                <c:pt idx="12">
                  <c:v>08/13/24</c:v>
                </c:pt>
                <c:pt idx="13">
                  <c:v>08/14/24</c:v>
                </c:pt>
                <c:pt idx="14">
                  <c:v>08/15/24</c:v>
                </c:pt>
                <c:pt idx="15">
                  <c:v>08/16/24</c:v>
                </c:pt>
                <c:pt idx="16">
                  <c:v>08/17/24</c:v>
                </c:pt>
                <c:pt idx="17">
                  <c:v>08/18/24</c:v>
                </c:pt>
                <c:pt idx="18">
                  <c:v>08/19/24</c:v>
                </c:pt>
                <c:pt idx="19">
                  <c:v>08/20/24</c:v>
                </c:pt>
                <c:pt idx="20">
                  <c:v>08/21/24</c:v>
                </c:pt>
                <c:pt idx="21">
                  <c:v>08/22/24</c:v>
                </c:pt>
                <c:pt idx="22">
                  <c:v>08/23/24</c:v>
                </c:pt>
                <c:pt idx="23">
                  <c:v>08/24/24</c:v>
                </c:pt>
                <c:pt idx="24">
                  <c:v>08/25/24</c:v>
                </c:pt>
                <c:pt idx="25">
                  <c:v>08/26/24</c:v>
                </c:pt>
                <c:pt idx="26">
                  <c:v>08/27/24</c:v>
                </c:pt>
                <c:pt idx="27">
                  <c:v>08/28/24</c:v>
                </c:pt>
                <c:pt idx="28">
                  <c:v>08/29/24</c:v>
                </c:pt>
                <c:pt idx="29">
                  <c:v>08/30/24</c:v>
                </c:pt>
                <c:pt idx="30">
                  <c:v>08/31/24</c:v>
                </c:pt>
              </c:strCache>
            </c:strRef>
          </c:cat>
          <c:val>
            <c:numRef>
              <c:f>'2024'!$C$215:$C$245</c:f>
              <c:numCache>
                <c:formatCode>General</c:formatCode>
                <c:ptCount val="31"/>
                <c:pt idx="0">
                  <c:v>10504</c:v>
                </c:pt>
                <c:pt idx="1">
                  <c:v>12410</c:v>
                </c:pt>
                <c:pt idx="2">
                  <c:v>25878</c:v>
                </c:pt>
                <c:pt idx="3">
                  <c:v>36952</c:v>
                </c:pt>
                <c:pt idx="4">
                  <c:v>14614</c:v>
                </c:pt>
                <c:pt idx="5">
                  <c:v>8219</c:v>
                </c:pt>
                <c:pt idx="6">
                  <c:v>7829</c:v>
                </c:pt>
                <c:pt idx="7">
                  <c:v>16113</c:v>
                </c:pt>
                <c:pt idx="8">
                  <c:v>6525</c:v>
                </c:pt>
                <c:pt idx="9">
                  <c:v>7617</c:v>
                </c:pt>
                <c:pt idx="10">
                  <c:v>22999</c:v>
                </c:pt>
                <c:pt idx="11">
                  <c:v>13968</c:v>
                </c:pt>
                <c:pt idx="12">
                  <c:v>12670</c:v>
                </c:pt>
                <c:pt idx="13">
                  <c:v>14111</c:v>
                </c:pt>
                <c:pt idx="14">
                  <c:v>12241</c:v>
                </c:pt>
                <c:pt idx="15">
                  <c:v>10927</c:v>
                </c:pt>
                <c:pt idx="16">
                  <c:v>23910</c:v>
                </c:pt>
                <c:pt idx="17">
                  <c:v>30490</c:v>
                </c:pt>
                <c:pt idx="18">
                  <c:v>9533</c:v>
                </c:pt>
                <c:pt idx="19">
                  <c:v>11589</c:v>
                </c:pt>
                <c:pt idx="20">
                  <c:v>7147</c:v>
                </c:pt>
                <c:pt idx="21">
                  <c:v>6433</c:v>
                </c:pt>
                <c:pt idx="22">
                  <c:v>6027</c:v>
                </c:pt>
                <c:pt idx="23">
                  <c:v>18949</c:v>
                </c:pt>
                <c:pt idx="24">
                  <c:v>6446</c:v>
                </c:pt>
                <c:pt idx="25">
                  <c:v>12402</c:v>
                </c:pt>
                <c:pt idx="26">
                  <c:v>6327</c:v>
                </c:pt>
                <c:pt idx="27">
                  <c:v>12222</c:v>
                </c:pt>
                <c:pt idx="28">
                  <c:v>9380</c:v>
                </c:pt>
                <c:pt idx="29">
                  <c:v>12018</c:v>
                </c:pt>
                <c:pt idx="30">
                  <c:v>14281</c:v>
                </c:pt>
              </c:numCache>
            </c:numRef>
          </c:val>
        </c:ser>
        <c:gapWidth val="100"/>
        <c:overlap val="0"/>
        <c:axId val="84608652"/>
        <c:axId val="15691272"/>
      </c:barChart>
      <c:catAx>
        <c:axId val="84608652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691272"/>
        <c:crosses val="autoZero"/>
        <c:auto val="1"/>
        <c:lblAlgn val="ctr"/>
        <c:lblOffset val="100"/>
        <c:noMultiLvlLbl val="0"/>
      </c:catAx>
      <c:valAx>
        <c:axId val="1569127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460865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'2024'!$B$246:$B$275</c:f>
              <c:strCache>
                <c:ptCount val="30"/>
                <c:pt idx="0">
                  <c:v>09/01/24</c:v>
                </c:pt>
                <c:pt idx="1">
                  <c:v>09/02/24</c:v>
                </c:pt>
                <c:pt idx="2">
                  <c:v>09/03/24</c:v>
                </c:pt>
                <c:pt idx="3">
                  <c:v>09/04/24</c:v>
                </c:pt>
                <c:pt idx="4">
                  <c:v>09/05/24</c:v>
                </c:pt>
                <c:pt idx="5">
                  <c:v>09/06/24</c:v>
                </c:pt>
                <c:pt idx="6">
                  <c:v>09/07/24</c:v>
                </c:pt>
                <c:pt idx="7">
                  <c:v>09/08/24</c:v>
                </c:pt>
                <c:pt idx="8">
                  <c:v>09/09/24</c:v>
                </c:pt>
                <c:pt idx="9">
                  <c:v>09/10/24</c:v>
                </c:pt>
                <c:pt idx="10">
                  <c:v>09/11/24</c:v>
                </c:pt>
                <c:pt idx="11">
                  <c:v>09/12/24</c:v>
                </c:pt>
                <c:pt idx="12">
                  <c:v>09/13/24</c:v>
                </c:pt>
                <c:pt idx="13">
                  <c:v>09/14/24</c:v>
                </c:pt>
                <c:pt idx="14">
                  <c:v>09/15/24</c:v>
                </c:pt>
                <c:pt idx="15">
                  <c:v>09/16/24</c:v>
                </c:pt>
                <c:pt idx="16">
                  <c:v>09/17/24</c:v>
                </c:pt>
                <c:pt idx="17">
                  <c:v>09/18/24</c:v>
                </c:pt>
                <c:pt idx="18">
                  <c:v>09/19/24</c:v>
                </c:pt>
                <c:pt idx="19">
                  <c:v>09/20/24</c:v>
                </c:pt>
                <c:pt idx="20">
                  <c:v>09/21/24</c:v>
                </c:pt>
                <c:pt idx="21">
                  <c:v>09/22/24</c:v>
                </c:pt>
                <c:pt idx="22">
                  <c:v>09/23/24</c:v>
                </c:pt>
                <c:pt idx="23">
                  <c:v>09/24/24</c:v>
                </c:pt>
                <c:pt idx="24">
                  <c:v>09/25/24</c:v>
                </c:pt>
                <c:pt idx="25">
                  <c:v>09/26/24</c:v>
                </c:pt>
                <c:pt idx="26">
                  <c:v>09/27/24</c:v>
                </c:pt>
                <c:pt idx="27">
                  <c:v>09/28/24</c:v>
                </c:pt>
                <c:pt idx="28">
                  <c:v>09/29/24</c:v>
                </c:pt>
                <c:pt idx="29">
                  <c:v>09/30/24</c:v>
                </c:pt>
              </c:strCache>
            </c:strRef>
          </c:cat>
          <c:val>
            <c:numRef>
              <c:f>'2024'!$C$246:$C$275</c:f>
              <c:numCache>
                <c:formatCode>General</c:formatCode>
                <c:ptCount val="30"/>
                <c:pt idx="0">
                  <c:v>18525</c:v>
                </c:pt>
                <c:pt idx="1">
                  <c:v>14379</c:v>
                </c:pt>
                <c:pt idx="2">
                  <c:v>9415</c:v>
                </c:pt>
                <c:pt idx="3">
                  <c:v>13692</c:v>
                </c:pt>
                <c:pt idx="4">
                  <c:v>20275</c:v>
                </c:pt>
                <c:pt idx="5">
                  <c:v>7745</c:v>
                </c:pt>
                <c:pt idx="6">
                  <c:v>13616</c:v>
                </c:pt>
                <c:pt idx="7">
                  <c:v>7406</c:v>
                </c:pt>
                <c:pt idx="8">
                  <c:v>14550</c:v>
                </c:pt>
                <c:pt idx="9">
                  <c:v>7849</c:v>
                </c:pt>
                <c:pt idx="10">
                  <c:v>18789</c:v>
                </c:pt>
                <c:pt idx="11">
                  <c:v>7866</c:v>
                </c:pt>
                <c:pt idx="12">
                  <c:v>17716</c:v>
                </c:pt>
                <c:pt idx="13">
                  <c:v>8054</c:v>
                </c:pt>
                <c:pt idx="14">
                  <c:v>32254</c:v>
                </c:pt>
                <c:pt idx="15">
                  <c:v>11074</c:v>
                </c:pt>
                <c:pt idx="16">
                  <c:v>13075</c:v>
                </c:pt>
                <c:pt idx="17">
                  <c:v>6830</c:v>
                </c:pt>
                <c:pt idx="18">
                  <c:v>6876</c:v>
                </c:pt>
                <c:pt idx="19">
                  <c:v>9537</c:v>
                </c:pt>
                <c:pt idx="20">
                  <c:v>38505</c:v>
                </c:pt>
                <c:pt idx="21">
                  <c:v>37530</c:v>
                </c:pt>
                <c:pt idx="22">
                  <c:v>17583</c:v>
                </c:pt>
                <c:pt idx="23">
                  <c:v>15465</c:v>
                </c:pt>
                <c:pt idx="24">
                  <c:v>9548</c:v>
                </c:pt>
                <c:pt idx="25">
                  <c:v>8798</c:v>
                </c:pt>
                <c:pt idx="26">
                  <c:v>17556</c:v>
                </c:pt>
                <c:pt idx="27">
                  <c:v>34786</c:v>
                </c:pt>
                <c:pt idx="28">
                  <c:v>26991</c:v>
                </c:pt>
                <c:pt idx="29">
                  <c:v>7106</c:v>
                </c:pt>
              </c:numCache>
            </c:numRef>
          </c:val>
        </c:ser>
        <c:gapWidth val="100"/>
        <c:overlap val="0"/>
        <c:axId val="57089374"/>
        <c:axId val="24445280"/>
      </c:barChart>
      <c:catAx>
        <c:axId val="5708937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4445280"/>
        <c:crosses val="autoZero"/>
        <c:auto val="1"/>
        <c:lblAlgn val="ctr"/>
        <c:lblOffset val="100"/>
        <c:noMultiLvlLbl val="0"/>
      </c:catAx>
      <c:valAx>
        <c:axId val="2444528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08937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'2024'!$B$276:$B$306</c:f>
              <c:strCache>
                <c:ptCount val="31"/>
                <c:pt idx="0">
                  <c:v>10/01/24</c:v>
                </c:pt>
                <c:pt idx="1">
                  <c:v>10/02/24</c:v>
                </c:pt>
                <c:pt idx="2">
                  <c:v>10/03/24</c:v>
                </c:pt>
                <c:pt idx="3">
                  <c:v>10/04/24</c:v>
                </c:pt>
                <c:pt idx="4">
                  <c:v>10/05/24</c:v>
                </c:pt>
                <c:pt idx="5">
                  <c:v>10/06/24</c:v>
                </c:pt>
                <c:pt idx="6">
                  <c:v>10/07/24</c:v>
                </c:pt>
                <c:pt idx="7">
                  <c:v>10/08/24</c:v>
                </c:pt>
                <c:pt idx="8">
                  <c:v>10/09/24</c:v>
                </c:pt>
                <c:pt idx="9">
                  <c:v>10/10/24</c:v>
                </c:pt>
                <c:pt idx="10">
                  <c:v>10/11/24</c:v>
                </c:pt>
                <c:pt idx="11">
                  <c:v>10/12/24</c:v>
                </c:pt>
                <c:pt idx="12">
                  <c:v>10/13/24</c:v>
                </c:pt>
                <c:pt idx="13">
                  <c:v>10/14/24</c:v>
                </c:pt>
                <c:pt idx="14">
                  <c:v>10/15/24</c:v>
                </c:pt>
                <c:pt idx="15">
                  <c:v>10/16/24</c:v>
                </c:pt>
                <c:pt idx="16">
                  <c:v>10/17/24</c:v>
                </c:pt>
                <c:pt idx="17">
                  <c:v>10/18/24</c:v>
                </c:pt>
                <c:pt idx="18">
                  <c:v>10/19/24</c:v>
                </c:pt>
                <c:pt idx="19">
                  <c:v>10/20/24</c:v>
                </c:pt>
                <c:pt idx="20">
                  <c:v>10/21/24</c:v>
                </c:pt>
                <c:pt idx="21">
                  <c:v>10/22/24</c:v>
                </c:pt>
                <c:pt idx="22">
                  <c:v>10/23/24</c:v>
                </c:pt>
                <c:pt idx="23">
                  <c:v>10/24/24</c:v>
                </c:pt>
                <c:pt idx="24">
                  <c:v>10/25/24</c:v>
                </c:pt>
                <c:pt idx="25">
                  <c:v>10/26/24</c:v>
                </c:pt>
                <c:pt idx="26">
                  <c:v>10/27/24</c:v>
                </c:pt>
                <c:pt idx="27">
                  <c:v>10/28/24</c:v>
                </c:pt>
                <c:pt idx="28">
                  <c:v>10/29/24</c:v>
                </c:pt>
                <c:pt idx="29">
                  <c:v>10/30/24</c:v>
                </c:pt>
                <c:pt idx="30">
                  <c:v>10/31/24</c:v>
                </c:pt>
              </c:strCache>
            </c:strRef>
          </c:cat>
          <c:val>
            <c:numRef>
              <c:f>'2024'!$C$276:$C$306</c:f>
              <c:numCache>
                <c:formatCode>General</c:formatCode>
                <c:ptCount val="31"/>
                <c:pt idx="0">
                  <c:v>14386</c:v>
                </c:pt>
                <c:pt idx="1">
                  <c:v>15705</c:v>
                </c:pt>
                <c:pt idx="2">
                  <c:v>8832</c:v>
                </c:pt>
                <c:pt idx="3">
                  <c:v>15115</c:v>
                </c:pt>
                <c:pt idx="4">
                  <c:v>18615</c:v>
                </c:pt>
                <c:pt idx="5">
                  <c:v>15409</c:v>
                </c:pt>
                <c:pt idx="6">
                  <c:v>14895</c:v>
                </c:pt>
                <c:pt idx="7">
                  <c:v>10517</c:v>
                </c:pt>
                <c:pt idx="8">
                  <c:v>8406</c:v>
                </c:pt>
                <c:pt idx="9">
                  <c:v>15416</c:v>
                </c:pt>
                <c:pt idx="10">
                  <c:v>11057</c:v>
                </c:pt>
                <c:pt idx="11">
                  <c:v>11336</c:v>
                </c:pt>
                <c:pt idx="12">
                  <c:v>22191</c:v>
                </c:pt>
                <c:pt idx="13">
                  <c:v>11751</c:v>
                </c:pt>
                <c:pt idx="14">
                  <c:v>8075</c:v>
                </c:pt>
                <c:pt idx="15">
                  <c:v>9031</c:v>
                </c:pt>
                <c:pt idx="16">
                  <c:v>18740</c:v>
                </c:pt>
                <c:pt idx="17">
                  <c:v>7726</c:v>
                </c:pt>
                <c:pt idx="18">
                  <c:v>30221</c:v>
                </c:pt>
                <c:pt idx="19">
                  <c:v>18521</c:v>
                </c:pt>
                <c:pt idx="20">
                  <c:v>13325</c:v>
                </c:pt>
                <c:pt idx="21">
                  <c:v>13755</c:v>
                </c:pt>
                <c:pt idx="22">
                  <c:v>17480</c:v>
                </c:pt>
                <c:pt idx="23">
                  <c:v>17339</c:v>
                </c:pt>
                <c:pt idx="24">
                  <c:v>10171</c:v>
                </c:pt>
                <c:pt idx="25">
                  <c:v>7863</c:v>
                </c:pt>
                <c:pt idx="26">
                  <c:v>18117</c:v>
                </c:pt>
                <c:pt idx="27">
                  <c:v>11639</c:v>
                </c:pt>
                <c:pt idx="28">
                  <c:v>11023</c:v>
                </c:pt>
                <c:pt idx="29">
                  <c:v>15066</c:v>
                </c:pt>
                <c:pt idx="30">
                  <c:v>6615</c:v>
                </c:pt>
              </c:numCache>
            </c:numRef>
          </c:val>
        </c:ser>
        <c:gapWidth val="100"/>
        <c:overlap val="0"/>
        <c:axId val="76082279"/>
        <c:axId val="37557273"/>
      </c:barChart>
      <c:catAx>
        <c:axId val="76082279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7557273"/>
        <c:crosses val="autoZero"/>
        <c:auto val="1"/>
        <c:lblAlgn val="ctr"/>
        <c:lblOffset val="100"/>
        <c:noMultiLvlLbl val="0"/>
      </c:catAx>
      <c:valAx>
        <c:axId val="3755727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608227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'2024'!$B$307:$B$336</c:f>
              <c:strCache>
                <c:ptCount val="30"/>
                <c:pt idx="0">
                  <c:v>11/01/24</c:v>
                </c:pt>
                <c:pt idx="1">
                  <c:v>11/02/24</c:v>
                </c:pt>
                <c:pt idx="2">
                  <c:v>11/03/24</c:v>
                </c:pt>
                <c:pt idx="3">
                  <c:v>11/04/24</c:v>
                </c:pt>
                <c:pt idx="4">
                  <c:v>11/05/24</c:v>
                </c:pt>
                <c:pt idx="5">
                  <c:v>11/06/24</c:v>
                </c:pt>
                <c:pt idx="6">
                  <c:v>11/07/24</c:v>
                </c:pt>
                <c:pt idx="7">
                  <c:v>11/08/24</c:v>
                </c:pt>
                <c:pt idx="8">
                  <c:v>11/09/24</c:v>
                </c:pt>
                <c:pt idx="9">
                  <c:v>11/10/24</c:v>
                </c:pt>
                <c:pt idx="10">
                  <c:v>11/11/24</c:v>
                </c:pt>
                <c:pt idx="11">
                  <c:v>11/12/24</c:v>
                </c:pt>
                <c:pt idx="12">
                  <c:v>11/13/24</c:v>
                </c:pt>
                <c:pt idx="13">
                  <c:v>11/14/24</c:v>
                </c:pt>
                <c:pt idx="14">
                  <c:v>11/15/24</c:v>
                </c:pt>
                <c:pt idx="15">
                  <c:v>11/16/24</c:v>
                </c:pt>
                <c:pt idx="16">
                  <c:v>11/17/24</c:v>
                </c:pt>
                <c:pt idx="17">
                  <c:v>11/18/24</c:v>
                </c:pt>
                <c:pt idx="18">
                  <c:v>11/19/24</c:v>
                </c:pt>
                <c:pt idx="19">
                  <c:v>11/20/24</c:v>
                </c:pt>
                <c:pt idx="20">
                  <c:v>11/21/24</c:v>
                </c:pt>
                <c:pt idx="21">
                  <c:v>11/22/24</c:v>
                </c:pt>
                <c:pt idx="22">
                  <c:v>11/23/24</c:v>
                </c:pt>
                <c:pt idx="23">
                  <c:v>11/24/24</c:v>
                </c:pt>
                <c:pt idx="24">
                  <c:v>11/25/24</c:v>
                </c:pt>
                <c:pt idx="25">
                  <c:v>11/26/24</c:v>
                </c:pt>
                <c:pt idx="26">
                  <c:v>11/27/24</c:v>
                </c:pt>
                <c:pt idx="27">
                  <c:v>11/28/24</c:v>
                </c:pt>
                <c:pt idx="28">
                  <c:v>11/29/24</c:v>
                </c:pt>
                <c:pt idx="29">
                  <c:v>11/30/24</c:v>
                </c:pt>
              </c:strCache>
            </c:strRef>
          </c:cat>
          <c:val>
            <c:numRef>
              <c:f>'2024'!$C$307:$C$336</c:f>
              <c:numCache>
                <c:formatCode>General</c:formatCode>
                <c:ptCount val="30"/>
                <c:pt idx="0">
                  <c:v>9827</c:v>
                </c:pt>
                <c:pt idx="1">
                  <c:v>13862</c:v>
                </c:pt>
                <c:pt idx="2">
                  <c:v>13377</c:v>
                </c:pt>
                <c:pt idx="3">
                  <c:v>24629</c:v>
                </c:pt>
                <c:pt idx="4">
                  <c:v>13381</c:v>
                </c:pt>
                <c:pt idx="5">
                  <c:v>20808</c:v>
                </c:pt>
                <c:pt idx="6">
                  <c:v>14526</c:v>
                </c:pt>
                <c:pt idx="7">
                  <c:v>15900</c:v>
                </c:pt>
                <c:pt idx="8">
                  <c:v>9751</c:v>
                </c:pt>
                <c:pt idx="9">
                  <c:v>8938</c:v>
                </c:pt>
                <c:pt idx="10">
                  <c:v>15856</c:v>
                </c:pt>
                <c:pt idx="11">
                  <c:v>15910</c:v>
                </c:pt>
                <c:pt idx="12">
                  <c:v>19374</c:v>
                </c:pt>
                <c:pt idx="13">
                  <c:v>15352</c:v>
                </c:pt>
                <c:pt idx="14">
                  <c:v>16732</c:v>
                </c:pt>
                <c:pt idx="15">
                  <c:v>7421</c:v>
                </c:pt>
                <c:pt idx="16">
                  <c:v>16461</c:v>
                </c:pt>
                <c:pt idx="17">
                  <c:v>18451</c:v>
                </c:pt>
                <c:pt idx="18">
                  <c:v>13113</c:v>
                </c:pt>
                <c:pt idx="19">
                  <c:v>15066</c:v>
                </c:pt>
                <c:pt idx="20">
                  <c:v>7993</c:v>
                </c:pt>
                <c:pt idx="21">
                  <c:v>7761</c:v>
                </c:pt>
                <c:pt idx="22">
                  <c:v>23110</c:v>
                </c:pt>
                <c:pt idx="23">
                  <c:v>18458</c:v>
                </c:pt>
                <c:pt idx="24">
                  <c:v>15987</c:v>
                </c:pt>
                <c:pt idx="25">
                  <c:v>15586</c:v>
                </c:pt>
                <c:pt idx="26">
                  <c:v>13668</c:v>
                </c:pt>
                <c:pt idx="27">
                  <c:v>6040</c:v>
                </c:pt>
                <c:pt idx="28">
                  <c:v>8840</c:v>
                </c:pt>
                <c:pt idx="29">
                  <c:v>6425</c:v>
                </c:pt>
              </c:numCache>
            </c:numRef>
          </c:val>
        </c:ser>
        <c:gapWidth val="100"/>
        <c:overlap val="0"/>
        <c:axId val="31186158"/>
        <c:axId val="7981366"/>
      </c:barChart>
      <c:catAx>
        <c:axId val="31186158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981366"/>
        <c:crosses val="autoZero"/>
        <c:auto val="1"/>
        <c:lblAlgn val="ctr"/>
        <c:lblOffset val="100"/>
        <c:noMultiLvlLbl val="0"/>
      </c:catAx>
      <c:valAx>
        <c:axId val="798136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118615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'2024'!$B$337:$B$367</c:f>
              <c:strCache>
                <c:ptCount val="31"/>
                <c:pt idx="0">
                  <c:v>12/01/24</c:v>
                </c:pt>
                <c:pt idx="1">
                  <c:v>12/02/24</c:v>
                </c:pt>
                <c:pt idx="2">
                  <c:v>12/03/24</c:v>
                </c:pt>
                <c:pt idx="3">
                  <c:v>12/04/24</c:v>
                </c:pt>
                <c:pt idx="4">
                  <c:v>12/05/24</c:v>
                </c:pt>
                <c:pt idx="5">
                  <c:v>12/06/24</c:v>
                </c:pt>
                <c:pt idx="6">
                  <c:v>12/07/24</c:v>
                </c:pt>
                <c:pt idx="7">
                  <c:v>12/08/24</c:v>
                </c:pt>
                <c:pt idx="8">
                  <c:v>12/09/24</c:v>
                </c:pt>
                <c:pt idx="9">
                  <c:v>12/10/24</c:v>
                </c:pt>
                <c:pt idx="10">
                  <c:v>12/11/24</c:v>
                </c:pt>
                <c:pt idx="11">
                  <c:v>12/12/24</c:v>
                </c:pt>
                <c:pt idx="12">
                  <c:v>12/13/24</c:v>
                </c:pt>
                <c:pt idx="13">
                  <c:v>12/14/24</c:v>
                </c:pt>
                <c:pt idx="14">
                  <c:v>12/15/24</c:v>
                </c:pt>
                <c:pt idx="15">
                  <c:v>12/16/24</c:v>
                </c:pt>
                <c:pt idx="16">
                  <c:v>12/17/24</c:v>
                </c:pt>
                <c:pt idx="17">
                  <c:v>12/18/24</c:v>
                </c:pt>
                <c:pt idx="18">
                  <c:v>12/19/24</c:v>
                </c:pt>
                <c:pt idx="19">
                  <c:v>12/20/24</c:v>
                </c:pt>
                <c:pt idx="20">
                  <c:v>12/21/24</c:v>
                </c:pt>
                <c:pt idx="21">
                  <c:v>12/22/24</c:v>
                </c:pt>
                <c:pt idx="22">
                  <c:v>12/23/24</c:v>
                </c:pt>
                <c:pt idx="23">
                  <c:v>12/24/24</c:v>
                </c:pt>
                <c:pt idx="24">
                  <c:v>12/25/24</c:v>
                </c:pt>
                <c:pt idx="25">
                  <c:v>12/26/24</c:v>
                </c:pt>
                <c:pt idx="26">
                  <c:v>12/27/24</c:v>
                </c:pt>
                <c:pt idx="27">
                  <c:v>12/28/24</c:v>
                </c:pt>
                <c:pt idx="28">
                  <c:v>12/29/24</c:v>
                </c:pt>
                <c:pt idx="29">
                  <c:v>12/30/24</c:v>
                </c:pt>
                <c:pt idx="30">
                  <c:v>12/31/24</c:v>
                </c:pt>
              </c:strCache>
            </c:strRef>
          </c:cat>
          <c:val>
            <c:numRef>
              <c:f>'2024'!$C$337:$C$367</c:f>
              <c:numCache>
                <c:formatCode>General</c:formatCode>
                <c:ptCount val="31"/>
                <c:pt idx="0">
                  <c:v>7259</c:v>
                </c:pt>
                <c:pt idx="1">
                  <c:v>11017</c:v>
                </c:pt>
                <c:pt idx="2">
                  <c:v>14017</c:v>
                </c:pt>
                <c:pt idx="3">
                  <c:v>14463</c:v>
                </c:pt>
                <c:pt idx="4">
                  <c:v>6673</c:v>
                </c:pt>
                <c:pt idx="5">
                  <c:v>9317</c:v>
                </c:pt>
                <c:pt idx="6">
                  <c:v>10205</c:v>
                </c:pt>
                <c:pt idx="7">
                  <c:v>17066</c:v>
                </c:pt>
                <c:pt idx="8">
                  <c:v>13353</c:v>
                </c:pt>
                <c:pt idx="9">
                  <c:v>14165</c:v>
                </c:pt>
                <c:pt idx="10">
                  <c:v>15024</c:v>
                </c:pt>
                <c:pt idx="11">
                  <c:v>7356</c:v>
                </c:pt>
                <c:pt idx="12">
                  <c:v>6865</c:v>
                </c:pt>
                <c:pt idx="13">
                  <c:v>18466</c:v>
                </c:pt>
                <c:pt idx="14">
                  <c:v>13874</c:v>
                </c:pt>
                <c:pt idx="15">
                  <c:v>15536</c:v>
                </c:pt>
                <c:pt idx="16">
                  <c:v>14293</c:v>
                </c:pt>
                <c:pt idx="17">
                  <c:v>7090</c:v>
                </c:pt>
                <c:pt idx="18">
                  <c:v>9440</c:v>
                </c:pt>
                <c:pt idx="19">
                  <c:v>6320</c:v>
                </c:pt>
                <c:pt idx="20">
                  <c:v>6092</c:v>
                </c:pt>
                <c:pt idx="21">
                  <c:v>8219</c:v>
                </c:pt>
                <c:pt idx="22">
                  <c:v>6818</c:v>
                </c:pt>
                <c:pt idx="23">
                  <c:v>10071</c:v>
                </c:pt>
                <c:pt idx="24">
                  <c:v>11986</c:v>
                </c:pt>
                <c:pt idx="25">
                  <c:v>8552</c:v>
                </c:pt>
                <c:pt idx="26">
                  <c:v>9571</c:v>
                </c:pt>
                <c:pt idx="27">
                  <c:v>9939</c:v>
                </c:pt>
                <c:pt idx="28">
                  <c:v>9961</c:v>
                </c:pt>
                <c:pt idx="29">
                  <c:v>12529</c:v>
                </c:pt>
                <c:pt idx="30">
                  <c:v>9015</c:v>
                </c:pt>
              </c:numCache>
            </c:numRef>
          </c:val>
        </c:ser>
        <c:gapWidth val="100"/>
        <c:overlap val="0"/>
        <c:axId val="82896564"/>
        <c:axId val="39207524"/>
      </c:barChart>
      <c:catAx>
        <c:axId val="8289656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9207524"/>
        <c:crosses val="autoZero"/>
        <c:auto val="1"/>
        <c:lblAlgn val="ctr"/>
        <c:lblOffset val="100"/>
        <c:noMultiLvlLbl val="0"/>
      </c:catAx>
      <c:valAx>
        <c:axId val="392075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289656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'2025'!$A$2:$A$32</c:f>
              <c:strCache>
                <c:ptCount val="31"/>
                <c:pt idx="0">
                  <c:v>01/01/25</c:v>
                </c:pt>
                <c:pt idx="1">
                  <c:v>01/02/25</c:v>
                </c:pt>
                <c:pt idx="2">
                  <c:v>01/03/25</c:v>
                </c:pt>
                <c:pt idx="3">
                  <c:v>01/04/25</c:v>
                </c:pt>
                <c:pt idx="4">
                  <c:v>01/05/25</c:v>
                </c:pt>
                <c:pt idx="5">
                  <c:v>01/06/25</c:v>
                </c:pt>
                <c:pt idx="6">
                  <c:v>01/07/25</c:v>
                </c:pt>
                <c:pt idx="7">
                  <c:v>01/08/25</c:v>
                </c:pt>
                <c:pt idx="8">
                  <c:v>01/09/25</c:v>
                </c:pt>
                <c:pt idx="9">
                  <c:v>01/10/25</c:v>
                </c:pt>
                <c:pt idx="10">
                  <c:v>01/11/25</c:v>
                </c:pt>
                <c:pt idx="11">
                  <c:v>01/12/25</c:v>
                </c:pt>
                <c:pt idx="12">
                  <c:v>01/13/25</c:v>
                </c:pt>
                <c:pt idx="13">
                  <c:v>01/14/25</c:v>
                </c:pt>
                <c:pt idx="14">
                  <c:v>01/15/25</c:v>
                </c:pt>
                <c:pt idx="15">
                  <c:v>01/16/25</c:v>
                </c:pt>
                <c:pt idx="16">
                  <c:v>01/17/25</c:v>
                </c:pt>
                <c:pt idx="17">
                  <c:v>01/18/25</c:v>
                </c:pt>
                <c:pt idx="18">
                  <c:v>01/19/25</c:v>
                </c:pt>
                <c:pt idx="19">
                  <c:v>01/20/25</c:v>
                </c:pt>
                <c:pt idx="20">
                  <c:v>01/21/25</c:v>
                </c:pt>
                <c:pt idx="21">
                  <c:v>01/22/25</c:v>
                </c:pt>
                <c:pt idx="22">
                  <c:v>01/23/25</c:v>
                </c:pt>
                <c:pt idx="23">
                  <c:v>01/24/25</c:v>
                </c:pt>
                <c:pt idx="24">
                  <c:v>01/25/25</c:v>
                </c:pt>
                <c:pt idx="25">
                  <c:v>01/26/25</c:v>
                </c:pt>
                <c:pt idx="26">
                  <c:v>01/27/25</c:v>
                </c:pt>
                <c:pt idx="27">
                  <c:v>01/28/25</c:v>
                </c:pt>
                <c:pt idx="28">
                  <c:v>01/29/25</c:v>
                </c:pt>
                <c:pt idx="29">
                  <c:v>01/30/25</c:v>
                </c:pt>
                <c:pt idx="30">
                  <c:v>01/31/25</c:v>
                </c:pt>
              </c:strCache>
            </c:strRef>
          </c:cat>
          <c:val>
            <c:numRef>
              <c:f>'2025'!$B$2:$B$32</c:f>
              <c:numCache>
                <c:formatCode>General</c:formatCode>
                <c:ptCount val="31"/>
                <c:pt idx="0">
                  <c:v>13784</c:v>
                </c:pt>
                <c:pt idx="1">
                  <c:v>6818</c:v>
                </c:pt>
                <c:pt idx="2">
                  <c:v>6024</c:v>
                </c:pt>
                <c:pt idx="3">
                  <c:v>10736</c:v>
                </c:pt>
                <c:pt idx="4">
                  <c:v>12505</c:v>
                </c:pt>
                <c:pt idx="5">
                  <c:v>9593</c:v>
                </c:pt>
                <c:pt idx="6">
                  <c:v>20928</c:v>
                </c:pt>
                <c:pt idx="7">
                  <c:v>16517</c:v>
                </c:pt>
                <c:pt idx="8">
                  <c:v>7215</c:v>
                </c:pt>
                <c:pt idx="9">
                  <c:v>15165</c:v>
                </c:pt>
                <c:pt idx="10">
                  <c:v>8721</c:v>
                </c:pt>
                <c:pt idx="11">
                  <c:v>9639</c:v>
                </c:pt>
                <c:pt idx="12">
                  <c:v>10770</c:v>
                </c:pt>
                <c:pt idx="13">
                  <c:v>13917</c:v>
                </c:pt>
                <c:pt idx="14">
                  <c:v>16078</c:v>
                </c:pt>
                <c:pt idx="15">
                  <c:v>8257</c:v>
                </c:pt>
                <c:pt idx="16">
                  <c:v>6805</c:v>
                </c:pt>
                <c:pt idx="17">
                  <c:v>15713</c:v>
                </c:pt>
                <c:pt idx="18">
                  <c:v>11461</c:v>
                </c:pt>
                <c:pt idx="19">
                  <c:v>15170</c:v>
                </c:pt>
                <c:pt idx="20">
                  <c:v>18385</c:v>
                </c:pt>
                <c:pt idx="21">
                  <c:v>16906</c:v>
                </c:pt>
                <c:pt idx="22">
                  <c:v>13181</c:v>
                </c:pt>
                <c:pt idx="23">
                  <c:v>7951</c:v>
                </c:pt>
                <c:pt idx="24">
                  <c:v>8283</c:v>
                </c:pt>
                <c:pt idx="25">
                  <c:v>20581</c:v>
                </c:pt>
                <c:pt idx="26">
                  <c:v>13949</c:v>
                </c:pt>
                <c:pt idx="27">
                  <c:v>14572</c:v>
                </c:pt>
                <c:pt idx="28">
                  <c:v>6474</c:v>
                </c:pt>
                <c:pt idx="29">
                  <c:v>6464</c:v>
                </c:pt>
                <c:pt idx="30">
                  <c:v>6101</c:v>
                </c:pt>
              </c:numCache>
            </c:numRef>
          </c:val>
        </c:ser>
        <c:gapWidth val="100"/>
        <c:overlap val="0"/>
        <c:axId val="42152656"/>
        <c:axId val="51200582"/>
      </c:barChart>
      <c:catAx>
        <c:axId val="42152656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1200582"/>
        <c:crosses val="autoZero"/>
        <c:auto val="1"/>
        <c:lblAlgn val="ctr"/>
        <c:lblOffset val="100"/>
        <c:noMultiLvlLbl val="0"/>
      </c:catAx>
      <c:valAx>
        <c:axId val="5120058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215265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'2025'!$A$33:$A$60</c:f>
              <c:strCache>
                <c:ptCount val="28"/>
                <c:pt idx="0">
                  <c:v>02/01/25</c:v>
                </c:pt>
                <c:pt idx="1">
                  <c:v>02/02/25</c:v>
                </c:pt>
                <c:pt idx="2">
                  <c:v>02/03/25</c:v>
                </c:pt>
                <c:pt idx="3">
                  <c:v>02/04/25</c:v>
                </c:pt>
                <c:pt idx="4">
                  <c:v>02/05/25</c:v>
                </c:pt>
                <c:pt idx="5">
                  <c:v>02/06/25</c:v>
                </c:pt>
                <c:pt idx="6">
                  <c:v>02/07/25</c:v>
                </c:pt>
                <c:pt idx="7">
                  <c:v>02/08/25</c:v>
                </c:pt>
                <c:pt idx="8">
                  <c:v>02/09/25</c:v>
                </c:pt>
                <c:pt idx="9">
                  <c:v>02/10/25</c:v>
                </c:pt>
                <c:pt idx="10">
                  <c:v>02/11/25</c:v>
                </c:pt>
                <c:pt idx="11">
                  <c:v>02/12/25</c:v>
                </c:pt>
                <c:pt idx="12">
                  <c:v>02/13/25</c:v>
                </c:pt>
                <c:pt idx="13">
                  <c:v>02/14/25</c:v>
                </c:pt>
                <c:pt idx="14">
                  <c:v>02/15/25</c:v>
                </c:pt>
                <c:pt idx="15">
                  <c:v>02/16/25</c:v>
                </c:pt>
                <c:pt idx="16">
                  <c:v>02/17/25</c:v>
                </c:pt>
                <c:pt idx="17">
                  <c:v>02/18/25</c:v>
                </c:pt>
                <c:pt idx="18">
                  <c:v>02/19/25</c:v>
                </c:pt>
                <c:pt idx="19">
                  <c:v>02/20/25</c:v>
                </c:pt>
                <c:pt idx="20">
                  <c:v>02/21/25</c:v>
                </c:pt>
                <c:pt idx="21">
                  <c:v>02/22/25</c:v>
                </c:pt>
                <c:pt idx="22">
                  <c:v>02/23/25</c:v>
                </c:pt>
                <c:pt idx="23">
                  <c:v>02/24/25</c:v>
                </c:pt>
                <c:pt idx="24">
                  <c:v>02/25/25</c:v>
                </c:pt>
                <c:pt idx="25">
                  <c:v>02/26/25</c:v>
                </c:pt>
                <c:pt idx="26">
                  <c:v>02/27/25</c:v>
                </c:pt>
                <c:pt idx="27">
                  <c:v>02/28/25</c:v>
                </c:pt>
              </c:strCache>
            </c:strRef>
          </c:cat>
          <c:val>
            <c:numRef>
              <c:f>'2025'!$B$33:$B$60</c:f>
              <c:numCache>
                <c:formatCode>General</c:formatCode>
                <c:ptCount val="28"/>
                <c:pt idx="0">
                  <c:v>13120</c:v>
                </c:pt>
                <c:pt idx="1">
                  <c:v>11592</c:v>
                </c:pt>
                <c:pt idx="2">
                  <c:v>10837</c:v>
                </c:pt>
                <c:pt idx="3">
                  <c:v>8603</c:v>
                </c:pt>
                <c:pt idx="4">
                  <c:v>10684</c:v>
                </c:pt>
                <c:pt idx="5">
                  <c:v>11122</c:v>
                </c:pt>
                <c:pt idx="6">
                  <c:v>6974</c:v>
                </c:pt>
                <c:pt idx="7">
                  <c:v>9575</c:v>
                </c:pt>
                <c:pt idx="8">
                  <c:v>15107</c:v>
                </c:pt>
                <c:pt idx="9">
                  <c:v>10005</c:v>
                </c:pt>
                <c:pt idx="10">
                  <c:v>12169</c:v>
                </c:pt>
                <c:pt idx="11">
                  <c:v>6090</c:v>
                </c:pt>
                <c:pt idx="12">
                  <c:v>3470</c:v>
                </c:pt>
                <c:pt idx="13">
                  <c:v>3290</c:v>
                </c:pt>
                <c:pt idx="14">
                  <c:v>1673</c:v>
                </c:pt>
                <c:pt idx="15">
                  <c:v>1545</c:v>
                </c:pt>
                <c:pt idx="16">
                  <c:v>4129</c:v>
                </c:pt>
                <c:pt idx="17">
                  <c:v>5800</c:v>
                </c:pt>
                <c:pt idx="18">
                  <c:v>9947</c:v>
                </c:pt>
                <c:pt idx="19">
                  <c:v>11875</c:v>
                </c:pt>
                <c:pt idx="20">
                  <c:v>8471</c:v>
                </c:pt>
                <c:pt idx="21">
                  <c:v>9777</c:v>
                </c:pt>
                <c:pt idx="22">
                  <c:v>35041</c:v>
                </c:pt>
                <c:pt idx="23">
                  <c:v>14085</c:v>
                </c:pt>
                <c:pt idx="24">
                  <c:v>19483</c:v>
                </c:pt>
                <c:pt idx="25">
                  <c:v>10970</c:v>
                </c:pt>
                <c:pt idx="26">
                  <c:v>15818</c:v>
                </c:pt>
                <c:pt idx="27">
                  <c:v>7371</c:v>
                </c:pt>
              </c:numCache>
            </c:numRef>
          </c:val>
        </c:ser>
        <c:gapWidth val="100"/>
        <c:overlap val="0"/>
        <c:axId val="88462838"/>
        <c:axId val="42948089"/>
      </c:barChart>
      <c:catAx>
        <c:axId val="88462838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2948089"/>
        <c:crosses val="autoZero"/>
        <c:auto val="1"/>
        <c:lblAlgn val="ctr"/>
        <c:lblOffset val="100"/>
        <c:noMultiLvlLbl val="0"/>
      </c:catAx>
      <c:valAx>
        <c:axId val="429480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846283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'2025'!$A$61:$A$91</c:f>
              <c:strCache>
                <c:ptCount val="31"/>
                <c:pt idx="0">
                  <c:v>03/01/25</c:v>
                </c:pt>
                <c:pt idx="1">
                  <c:v>03/02/25</c:v>
                </c:pt>
                <c:pt idx="2">
                  <c:v>03/03/25</c:v>
                </c:pt>
                <c:pt idx="3">
                  <c:v>03/04/25</c:v>
                </c:pt>
                <c:pt idx="4">
                  <c:v>03/05/25</c:v>
                </c:pt>
                <c:pt idx="5">
                  <c:v>03/06/25</c:v>
                </c:pt>
                <c:pt idx="6">
                  <c:v>03/07/25</c:v>
                </c:pt>
                <c:pt idx="7">
                  <c:v>03/08/25</c:v>
                </c:pt>
                <c:pt idx="8">
                  <c:v>03/09/25</c:v>
                </c:pt>
                <c:pt idx="9">
                  <c:v>03/10/25</c:v>
                </c:pt>
                <c:pt idx="10">
                  <c:v>03/11/25</c:v>
                </c:pt>
                <c:pt idx="11">
                  <c:v>03/12/25</c:v>
                </c:pt>
                <c:pt idx="12">
                  <c:v>03/13/25</c:v>
                </c:pt>
                <c:pt idx="13">
                  <c:v>03/14/25</c:v>
                </c:pt>
                <c:pt idx="14">
                  <c:v>03/15/25</c:v>
                </c:pt>
                <c:pt idx="15">
                  <c:v>03/16/25</c:v>
                </c:pt>
                <c:pt idx="16">
                  <c:v>03/17/25</c:v>
                </c:pt>
                <c:pt idx="17">
                  <c:v>03/18/25</c:v>
                </c:pt>
                <c:pt idx="18">
                  <c:v>03/19/25</c:v>
                </c:pt>
                <c:pt idx="19">
                  <c:v>03/20/25</c:v>
                </c:pt>
                <c:pt idx="20">
                  <c:v>03/21/25</c:v>
                </c:pt>
                <c:pt idx="21">
                  <c:v>03/22/25</c:v>
                </c:pt>
                <c:pt idx="22">
                  <c:v>03/23/25</c:v>
                </c:pt>
                <c:pt idx="23">
                  <c:v>03/24/25</c:v>
                </c:pt>
                <c:pt idx="24">
                  <c:v>03/25/25</c:v>
                </c:pt>
                <c:pt idx="25">
                  <c:v>03/26/25</c:v>
                </c:pt>
                <c:pt idx="26">
                  <c:v>03/27/25</c:v>
                </c:pt>
                <c:pt idx="27">
                  <c:v>03/28/25</c:v>
                </c:pt>
                <c:pt idx="28">
                  <c:v>03/29/25</c:v>
                </c:pt>
                <c:pt idx="29">
                  <c:v>03/30/25</c:v>
                </c:pt>
                <c:pt idx="30">
                  <c:v>03/31/25</c:v>
                </c:pt>
              </c:strCache>
            </c:strRef>
          </c:cat>
          <c:val>
            <c:numRef>
              <c:f>'2025'!$B$61:$B$91</c:f>
              <c:numCache>
                <c:formatCode>General</c:formatCode>
                <c:ptCount val="31"/>
                <c:pt idx="0">
                  <c:v>8342</c:v>
                </c:pt>
                <c:pt idx="1">
                  <c:v>9702</c:v>
                </c:pt>
                <c:pt idx="2">
                  <c:v>20650</c:v>
                </c:pt>
                <c:pt idx="3">
                  <c:v>17337</c:v>
                </c:pt>
                <c:pt idx="4">
                  <c:v>20365</c:v>
                </c:pt>
                <c:pt idx="5">
                  <c:v>13937</c:v>
                </c:pt>
                <c:pt idx="6">
                  <c:v>14934</c:v>
                </c:pt>
                <c:pt idx="7">
                  <c:v>15352</c:v>
                </c:pt>
                <c:pt idx="8">
                  <c:v>9565</c:v>
                </c:pt>
                <c:pt idx="9">
                  <c:v>19479</c:v>
                </c:pt>
                <c:pt idx="10">
                  <c:v>17792</c:v>
                </c:pt>
                <c:pt idx="11">
                  <c:v>16955</c:v>
                </c:pt>
                <c:pt idx="12">
                  <c:v>15136</c:v>
                </c:pt>
                <c:pt idx="13">
                  <c:v>16298</c:v>
                </c:pt>
                <c:pt idx="14">
                  <c:v>6524</c:v>
                </c:pt>
                <c:pt idx="15">
                  <c:v>12307</c:v>
                </c:pt>
                <c:pt idx="16">
                  <c:v>11699</c:v>
                </c:pt>
                <c:pt idx="17">
                  <c:v>12915</c:v>
                </c:pt>
                <c:pt idx="18">
                  <c:v>18645</c:v>
                </c:pt>
                <c:pt idx="19">
                  <c:v>18885</c:v>
                </c:pt>
                <c:pt idx="20">
                  <c:v>17981</c:v>
                </c:pt>
                <c:pt idx="21">
                  <c:v>16046</c:v>
                </c:pt>
                <c:pt idx="22">
                  <c:v>13064</c:v>
                </c:pt>
                <c:pt idx="23">
                  <c:v>15542</c:v>
                </c:pt>
                <c:pt idx="24">
                  <c:v>10476</c:v>
                </c:pt>
                <c:pt idx="25">
                  <c:v>16571</c:v>
                </c:pt>
                <c:pt idx="26">
                  <c:v>11344</c:v>
                </c:pt>
                <c:pt idx="27">
                  <c:v>14400</c:v>
                </c:pt>
                <c:pt idx="28">
                  <c:v>19853</c:v>
                </c:pt>
                <c:pt idx="29">
                  <c:v>9929</c:v>
                </c:pt>
                <c:pt idx="30">
                  <c:v>11060</c:v>
                </c:pt>
              </c:numCache>
            </c:numRef>
          </c:val>
        </c:ser>
        <c:gapWidth val="100"/>
        <c:overlap val="0"/>
        <c:axId val="27952671"/>
        <c:axId val="15324776"/>
      </c:barChart>
      <c:catAx>
        <c:axId val="27952671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5324776"/>
        <c:crosses val="autoZero"/>
        <c:auto val="1"/>
        <c:lblAlgn val="ctr"/>
        <c:lblOffset val="100"/>
        <c:noMultiLvlLbl val="0"/>
      </c:catAx>
      <c:valAx>
        <c:axId val="1532477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795267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'2025'!$A$92:$A$121</c:f>
              <c:strCache>
                <c:ptCount val="30"/>
                <c:pt idx="0">
                  <c:v>04/01/25</c:v>
                </c:pt>
                <c:pt idx="1">
                  <c:v>04/02/25</c:v>
                </c:pt>
                <c:pt idx="2">
                  <c:v>04/03/25</c:v>
                </c:pt>
                <c:pt idx="3">
                  <c:v>04/04/25</c:v>
                </c:pt>
                <c:pt idx="4">
                  <c:v>04/05/25</c:v>
                </c:pt>
                <c:pt idx="5">
                  <c:v>04/06/25</c:v>
                </c:pt>
                <c:pt idx="6">
                  <c:v>04/07/25</c:v>
                </c:pt>
                <c:pt idx="7">
                  <c:v>04/08/25</c:v>
                </c:pt>
                <c:pt idx="8">
                  <c:v>04/09/25</c:v>
                </c:pt>
                <c:pt idx="9">
                  <c:v>04/10/25</c:v>
                </c:pt>
                <c:pt idx="10">
                  <c:v>04/11/25</c:v>
                </c:pt>
                <c:pt idx="11">
                  <c:v>04/12/25</c:v>
                </c:pt>
                <c:pt idx="12">
                  <c:v>04/13/25</c:v>
                </c:pt>
                <c:pt idx="13">
                  <c:v>04/14/25</c:v>
                </c:pt>
                <c:pt idx="14">
                  <c:v>04/15/25</c:v>
                </c:pt>
                <c:pt idx="15">
                  <c:v>04/16/25</c:v>
                </c:pt>
                <c:pt idx="16">
                  <c:v>04/17/25</c:v>
                </c:pt>
                <c:pt idx="17">
                  <c:v>04/18/25</c:v>
                </c:pt>
                <c:pt idx="18">
                  <c:v>04/19/25</c:v>
                </c:pt>
                <c:pt idx="19">
                  <c:v>04/20/25</c:v>
                </c:pt>
                <c:pt idx="20">
                  <c:v>04/21/25</c:v>
                </c:pt>
                <c:pt idx="21">
                  <c:v>04/22/25</c:v>
                </c:pt>
                <c:pt idx="22">
                  <c:v>04/23/25</c:v>
                </c:pt>
                <c:pt idx="23">
                  <c:v>04/24/25</c:v>
                </c:pt>
                <c:pt idx="24">
                  <c:v>04/25/25</c:v>
                </c:pt>
                <c:pt idx="25">
                  <c:v>04/26/25</c:v>
                </c:pt>
                <c:pt idx="26">
                  <c:v>04/27/25</c:v>
                </c:pt>
                <c:pt idx="27">
                  <c:v>04/28/25</c:v>
                </c:pt>
                <c:pt idx="28">
                  <c:v>04/29/25</c:v>
                </c:pt>
                <c:pt idx="29">
                  <c:v>04/30/25</c:v>
                </c:pt>
              </c:strCache>
            </c:strRef>
          </c:cat>
          <c:val>
            <c:numRef>
              <c:f>'2025'!$B$92:$B$121</c:f>
              <c:numCache>
                <c:formatCode>General</c:formatCode>
                <c:ptCount val="30"/>
                <c:pt idx="0">
                  <c:v>14492</c:v>
                </c:pt>
                <c:pt idx="1">
                  <c:v>16876</c:v>
                </c:pt>
                <c:pt idx="2">
                  <c:v>17808</c:v>
                </c:pt>
                <c:pt idx="3">
                  <c:v>17179</c:v>
                </c:pt>
                <c:pt idx="4">
                  <c:v>17725</c:v>
                </c:pt>
                <c:pt idx="5">
                  <c:v>14272</c:v>
                </c:pt>
                <c:pt idx="6">
                  <c:v>18385</c:v>
                </c:pt>
                <c:pt idx="7">
                  <c:v>17585</c:v>
                </c:pt>
                <c:pt idx="8">
                  <c:v>18871</c:v>
                </c:pt>
                <c:pt idx="9">
                  <c:v>8516</c:v>
                </c:pt>
                <c:pt idx="10">
                  <c:v>17078</c:v>
                </c:pt>
                <c:pt idx="11">
                  <c:v>16319</c:v>
                </c:pt>
                <c:pt idx="12">
                  <c:v>13962</c:v>
                </c:pt>
                <c:pt idx="13">
                  <c:v>18519</c:v>
                </c:pt>
                <c:pt idx="14">
                  <c:v>9751</c:v>
                </c:pt>
                <c:pt idx="15">
                  <c:v>19558</c:v>
                </c:pt>
                <c:pt idx="16">
                  <c:v>12518</c:v>
                </c:pt>
                <c:pt idx="17">
                  <c:v>14421</c:v>
                </c:pt>
                <c:pt idx="18">
                  <c:v>21588</c:v>
                </c:pt>
                <c:pt idx="19">
                  <c:v>18309</c:v>
                </c:pt>
                <c:pt idx="20">
                  <c:v>19338</c:v>
                </c:pt>
                <c:pt idx="21">
                  <c:v>22882</c:v>
                </c:pt>
                <c:pt idx="22">
                  <c:v>16835</c:v>
                </c:pt>
                <c:pt idx="23">
                  <c:v>13835</c:v>
                </c:pt>
                <c:pt idx="24">
                  <c:v>8406</c:v>
                </c:pt>
                <c:pt idx="25">
                  <c:v>20775</c:v>
                </c:pt>
                <c:pt idx="26">
                  <c:v>10049</c:v>
                </c:pt>
                <c:pt idx="27">
                  <c:v>12099</c:v>
                </c:pt>
                <c:pt idx="28">
                  <c:v>12168</c:v>
                </c:pt>
                <c:pt idx="29">
                  <c:v>17848</c:v>
                </c:pt>
              </c:numCache>
            </c:numRef>
          </c:val>
        </c:ser>
        <c:gapWidth val="100"/>
        <c:overlap val="0"/>
        <c:axId val="23043936"/>
        <c:axId val="68041998"/>
      </c:barChart>
      <c:catAx>
        <c:axId val="23043936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041998"/>
        <c:crosses val="autoZero"/>
        <c:auto val="1"/>
        <c:lblAlgn val="ctr"/>
        <c:lblOffset val="100"/>
        <c:noMultiLvlLbl val="0"/>
      </c:catAx>
      <c:valAx>
        <c:axId val="680419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304393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'2025'!$B$122:$B$152</c:f>
              <c:numCache>
                <c:formatCode>General</c:formatCode>
                <c:ptCount val="31"/>
                <c:pt idx="0">
                  <c:v>26057</c:v>
                </c:pt>
                <c:pt idx="1">
                  <c:v>15733</c:v>
                </c:pt>
                <c:pt idx="2">
                  <c:v>16511</c:v>
                </c:pt>
                <c:pt idx="3">
                  <c:v>22755</c:v>
                </c:pt>
                <c:pt idx="4">
                  <c:v>18076</c:v>
                </c:pt>
                <c:pt idx="5">
                  <c:v>20112</c:v>
                </c:pt>
                <c:pt idx="6">
                  <c:v>17419</c:v>
                </c:pt>
                <c:pt idx="7">
                  <c:v>14390</c:v>
                </c:pt>
                <c:pt idx="8">
                  <c:v>13802</c:v>
                </c:pt>
                <c:pt idx="9">
                  <c:v>13592</c:v>
                </c:pt>
                <c:pt idx="10">
                  <c:v>25471</c:v>
                </c:pt>
                <c:pt idx="11">
                  <c:v>13819</c:v>
                </c:pt>
                <c:pt idx="12">
                  <c:v>10568</c:v>
                </c:pt>
                <c:pt idx="13">
                  <c:v>17632</c:v>
                </c:pt>
                <c:pt idx="14">
                  <c:v>17719</c:v>
                </c:pt>
                <c:pt idx="15">
                  <c:v>15492</c:v>
                </c:pt>
                <c:pt idx="16">
                  <c:v>6304</c:v>
                </c:pt>
                <c:pt idx="17">
                  <c:v>12475</c:v>
                </c:pt>
                <c:pt idx="18">
                  <c:v>14354</c:v>
                </c:pt>
                <c:pt idx="19">
                  <c:v>16110</c:v>
                </c:pt>
                <c:pt idx="20">
                  <c:v>23071</c:v>
                </c:pt>
                <c:pt idx="21">
                  <c:v>12099</c:v>
                </c:pt>
                <c:pt idx="22">
                  <c:v>9124</c:v>
                </c:pt>
                <c:pt idx="23">
                  <c:v>12578</c:v>
                </c:pt>
                <c:pt idx="24">
                  <c:v>6360</c:v>
                </c:pt>
                <c:pt idx="25">
                  <c:v>12548</c:v>
                </c:pt>
                <c:pt idx="26">
                  <c:v>20227</c:v>
                </c:pt>
                <c:pt idx="27">
                  <c:v>18364</c:v>
                </c:pt>
                <c:pt idx="28">
                  <c:v>13624</c:v>
                </c:pt>
                <c:pt idx="29">
                  <c:v>15138</c:v>
                </c:pt>
                <c:pt idx="30">
                  <c:v>8966</c:v>
                </c:pt>
              </c:numCache>
            </c:numRef>
          </c:val>
        </c:ser>
        <c:gapWidth val="100"/>
        <c:overlap val="0"/>
        <c:axId val="99915423"/>
        <c:axId val="62104481"/>
      </c:barChart>
      <c:catAx>
        <c:axId val="999154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2104481"/>
        <c:crosses val="autoZero"/>
        <c:auto val="1"/>
        <c:lblAlgn val="ctr"/>
        <c:lblOffset val="100"/>
        <c:noMultiLvlLbl val="0"/>
      </c:catAx>
      <c:valAx>
        <c:axId val="621044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991542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'2025'!$B$153:$B$182</c:f>
              <c:numCache>
                <c:formatCode>General</c:formatCode>
                <c:ptCount val="30"/>
                <c:pt idx="0">
                  <c:v>19584</c:v>
                </c:pt>
                <c:pt idx="1">
                  <c:v>14622</c:v>
                </c:pt>
                <c:pt idx="2">
                  <c:v>18795</c:v>
                </c:pt>
                <c:pt idx="3">
                  <c:v>11112</c:v>
                </c:pt>
                <c:pt idx="4">
                  <c:v>15438</c:v>
                </c:pt>
                <c:pt idx="5">
                  <c:v>14993</c:v>
                </c:pt>
                <c:pt idx="6">
                  <c:v>16502</c:v>
                </c:pt>
                <c:pt idx="7">
                  <c:v>10076</c:v>
                </c:pt>
                <c:pt idx="8">
                  <c:v>13220</c:v>
                </c:pt>
                <c:pt idx="9">
                  <c:v>11844</c:v>
                </c:pt>
                <c:pt idx="10">
                  <c:v>14149</c:v>
                </c:pt>
                <c:pt idx="11">
                  <c:v>20710</c:v>
                </c:pt>
                <c:pt idx="12">
                  <c:v>13284</c:v>
                </c:pt>
                <c:pt idx="13">
                  <c:v>14873</c:v>
                </c:pt>
                <c:pt idx="14">
                  <c:v>39987</c:v>
                </c:pt>
                <c:pt idx="15">
                  <c:v>18053</c:v>
                </c:pt>
                <c:pt idx="16">
                  <c:v>19559</c:v>
                </c:pt>
                <c:pt idx="17">
                  <c:v>14879</c:v>
                </c:pt>
                <c:pt idx="18">
                  <c:v>11312</c:v>
                </c:pt>
                <c:pt idx="19">
                  <c:v>18600</c:v>
                </c:pt>
                <c:pt idx="20">
                  <c:v>8969</c:v>
                </c:pt>
                <c:pt idx="21">
                  <c:v>16150</c:v>
                </c:pt>
                <c:pt idx="22">
                  <c:v>12522</c:v>
                </c:pt>
                <c:pt idx="23">
                  <c:v>12899</c:v>
                </c:pt>
                <c:pt idx="24">
                  <c:v>11961</c:v>
                </c:pt>
                <c:pt idx="25">
                  <c:v>18372</c:v>
                </c:pt>
                <c:pt idx="26">
                  <c:v>15653</c:v>
                </c:pt>
                <c:pt idx="27">
                  <c:v>19236</c:v>
                </c:pt>
                <c:pt idx="28">
                  <c:v>12182</c:v>
                </c:pt>
                <c:pt idx="29">
                  <c:v>11216</c:v>
                </c:pt>
              </c:numCache>
            </c:numRef>
          </c:val>
        </c:ser>
        <c:gapWidth val="100"/>
        <c:overlap val="0"/>
        <c:axId val="33896194"/>
        <c:axId val="68689597"/>
      </c:barChart>
      <c:catAx>
        <c:axId val="3389619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8689597"/>
        <c:crosses val="autoZero"/>
        <c:auto val="1"/>
        <c:lblAlgn val="ctr"/>
        <c:lblOffset val="100"/>
        <c:noMultiLvlLbl val="0"/>
      </c:catAx>
      <c:valAx>
        <c:axId val="6868959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389619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'2025'!$A$183:$A$213</c:f>
              <c:strCache>
                <c:ptCount val="31"/>
                <c:pt idx="0">
                  <c:v>07/01/25</c:v>
                </c:pt>
                <c:pt idx="1">
                  <c:v>07/02/25</c:v>
                </c:pt>
                <c:pt idx="2">
                  <c:v>07/03/25</c:v>
                </c:pt>
                <c:pt idx="3">
                  <c:v>07/04/25</c:v>
                </c:pt>
                <c:pt idx="4">
                  <c:v>07/05/25</c:v>
                </c:pt>
                <c:pt idx="5">
                  <c:v>07/06/25</c:v>
                </c:pt>
                <c:pt idx="6">
                  <c:v>07/07/25</c:v>
                </c:pt>
                <c:pt idx="7">
                  <c:v>07/08/25</c:v>
                </c:pt>
                <c:pt idx="8">
                  <c:v>07/09/25</c:v>
                </c:pt>
                <c:pt idx="9">
                  <c:v>07/10/25</c:v>
                </c:pt>
                <c:pt idx="10">
                  <c:v>07/11/25</c:v>
                </c:pt>
                <c:pt idx="11">
                  <c:v>07/12/25</c:v>
                </c:pt>
                <c:pt idx="12">
                  <c:v>07/13/25</c:v>
                </c:pt>
                <c:pt idx="13">
                  <c:v>07/14/25</c:v>
                </c:pt>
                <c:pt idx="14">
                  <c:v>07/15/25</c:v>
                </c:pt>
                <c:pt idx="15">
                  <c:v>07/16/25</c:v>
                </c:pt>
                <c:pt idx="16">
                  <c:v>07/17/25</c:v>
                </c:pt>
                <c:pt idx="17">
                  <c:v>07/18/25</c:v>
                </c:pt>
                <c:pt idx="18">
                  <c:v>07/19/25</c:v>
                </c:pt>
                <c:pt idx="19">
                  <c:v>07/20/25</c:v>
                </c:pt>
                <c:pt idx="20">
                  <c:v>07/21/25</c:v>
                </c:pt>
                <c:pt idx="21">
                  <c:v>07/22/25</c:v>
                </c:pt>
                <c:pt idx="22">
                  <c:v>07/23/25</c:v>
                </c:pt>
                <c:pt idx="23">
                  <c:v>07/24/25</c:v>
                </c:pt>
                <c:pt idx="24">
                  <c:v>07/25/25</c:v>
                </c:pt>
                <c:pt idx="25">
                  <c:v>07/26/25</c:v>
                </c:pt>
                <c:pt idx="26">
                  <c:v>07/27/25</c:v>
                </c:pt>
                <c:pt idx="27">
                  <c:v>07/28/25</c:v>
                </c:pt>
                <c:pt idx="28">
                  <c:v>07/29/25</c:v>
                </c:pt>
                <c:pt idx="29">
                  <c:v>07/30/25</c:v>
                </c:pt>
                <c:pt idx="30">
                  <c:v>07/31/25</c:v>
                </c:pt>
              </c:strCache>
            </c:strRef>
          </c:cat>
          <c:val>
            <c:numRef>
              <c:f>'2025'!$B$183:$B$213</c:f>
              <c:numCache>
                <c:formatCode>General</c:formatCode>
                <c:ptCount val="31"/>
                <c:pt idx="0">
                  <c:v>14665</c:v>
                </c:pt>
                <c:pt idx="1">
                  <c:v>12384</c:v>
                </c:pt>
                <c:pt idx="2">
                  <c:v>11409</c:v>
                </c:pt>
                <c:pt idx="3">
                  <c:v>11217</c:v>
                </c:pt>
                <c:pt idx="4">
                  <c:v>8775</c:v>
                </c:pt>
                <c:pt idx="5">
                  <c:v>26189</c:v>
                </c:pt>
                <c:pt idx="6">
                  <c:v>14778</c:v>
                </c:pt>
                <c:pt idx="7">
                  <c:v>14223</c:v>
                </c:pt>
                <c:pt idx="8">
                  <c:v>15516</c:v>
                </c:pt>
                <c:pt idx="9">
                  <c:v>24228</c:v>
                </c:pt>
                <c:pt idx="10">
                  <c:v>18527</c:v>
                </c:pt>
                <c:pt idx="11">
                  <c:v>38713</c:v>
                </c:pt>
                <c:pt idx="12">
                  <c:v>11693</c:v>
                </c:pt>
                <c:pt idx="13">
                  <c:v>16035</c:v>
                </c:pt>
                <c:pt idx="14">
                  <c:v>16361</c:v>
                </c:pt>
                <c:pt idx="15">
                  <c:v>20237</c:v>
                </c:pt>
                <c:pt idx="16">
                  <c:v>17060</c:v>
                </c:pt>
                <c:pt idx="17">
                  <c:v>13672</c:v>
                </c:pt>
                <c:pt idx="18">
                  <c:v>25344</c:v>
                </c:pt>
                <c:pt idx="19">
                  <c:v>17585</c:v>
                </c:pt>
                <c:pt idx="20">
                  <c:v>14315</c:v>
                </c:pt>
                <c:pt idx="21">
                  <c:v>11222</c:v>
                </c:pt>
                <c:pt idx="22">
                  <c:v>10732</c:v>
                </c:pt>
                <c:pt idx="23">
                  <c:v>9826</c:v>
                </c:pt>
                <c:pt idx="24">
                  <c:v>11248</c:v>
                </c:pt>
                <c:pt idx="25">
                  <c:v>14276</c:v>
                </c:pt>
                <c:pt idx="26">
                  <c:v>39431</c:v>
                </c:pt>
                <c:pt idx="27">
                  <c:v>19163</c:v>
                </c:pt>
                <c:pt idx="28">
                  <c:v>19098</c:v>
                </c:pt>
                <c:pt idx="29">
                  <c:v>15522</c:v>
                </c:pt>
                <c:pt idx="30">
                  <c:v>14245</c:v>
                </c:pt>
              </c:numCache>
            </c:numRef>
          </c:val>
        </c:ser>
        <c:gapWidth val="100"/>
        <c:overlap val="0"/>
        <c:axId val="12593451"/>
        <c:axId val="92619424"/>
      </c:barChart>
      <c:catAx>
        <c:axId val="12593451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2619424"/>
        <c:crosses val="autoZero"/>
        <c:auto val="1"/>
        <c:lblAlgn val="ctr"/>
        <c:lblOffset val="100"/>
        <c:noMultiLvlLbl val="0"/>
      </c:catAx>
      <c:valAx>
        <c:axId val="926194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25934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'2025'!$A$214:$A$244</c:f>
              <c:strCache>
                <c:ptCount val="31"/>
                <c:pt idx="0">
                  <c:v>08/01/25</c:v>
                </c:pt>
                <c:pt idx="1">
                  <c:v>08/02/25</c:v>
                </c:pt>
                <c:pt idx="2">
                  <c:v>08/03/25</c:v>
                </c:pt>
                <c:pt idx="3">
                  <c:v>08/04/25</c:v>
                </c:pt>
                <c:pt idx="4">
                  <c:v>08/05/25</c:v>
                </c:pt>
                <c:pt idx="5">
                  <c:v>08/06/25</c:v>
                </c:pt>
                <c:pt idx="6">
                  <c:v>08/07/25</c:v>
                </c:pt>
                <c:pt idx="7">
                  <c:v>08/08/25</c:v>
                </c:pt>
                <c:pt idx="8">
                  <c:v>08/09/25</c:v>
                </c:pt>
                <c:pt idx="9">
                  <c:v>08/10/25</c:v>
                </c:pt>
                <c:pt idx="10">
                  <c:v>08/11/25</c:v>
                </c:pt>
                <c:pt idx="11">
                  <c:v>08/12/25</c:v>
                </c:pt>
                <c:pt idx="12">
                  <c:v>08/13/25</c:v>
                </c:pt>
                <c:pt idx="13">
                  <c:v>08/14/25</c:v>
                </c:pt>
                <c:pt idx="14">
                  <c:v>08/15/25</c:v>
                </c:pt>
                <c:pt idx="15">
                  <c:v>08/16/25</c:v>
                </c:pt>
                <c:pt idx="16">
                  <c:v>08/17/25</c:v>
                </c:pt>
                <c:pt idx="17">
                  <c:v>08/18/25</c:v>
                </c:pt>
                <c:pt idx="18">
                  <c:v>08/19/25</c:v>
                </c:pt>
                <c:pt idx="19">
                  <c:v>08/20/25</c:v>
                </c:pt>
                <c:pt idx="20">
                  <c:v>08/21/25</c:v>
                </c:pt>
                <c:pt idx="21">
                  <c:v>08/22/25</c:v>
                </c:pt>
                <c:pt idx="22">
                  <c:v>08/23/25</c:v>
                </c:pt>
                <c:pt idx="23">
                  <c:v>08/24/25</c:v>
                </c:pt>
                <c:pt idx="24">
                  <c:v>08/25/25</c:v>
                </c:pt>
                <c:pt idx="25">
                  <c:v>08/26/25</c:v>
                </c:pt>
                <c:pt idx="26">
                  <c:v>08/27/25</c:v>
                </c:pt>
                <c:pt idx="27">
                  <c:v>08/28/25</c:v>
                </c:pt>
                <c:pt idx="28">
                  <c:v>08/29/25</c:v>
                </c:pt>
                <c:pt idx="29">
                  <c:v>08/30/25</c:v>
                </c:pt>
                <c:pt idx="30">
                  <c:v>08/31/25</c:v>
                </c:pt>
              </c:strCache>
            </c:strRef>
          </c:cat>
          <c:val>
            <c:numRef>
              <c:f>'2025'!$B$214:$B$244</c:f>
              <c:numCache>
                <c:formatCode>General</c:formatCode>
                <c:ptCount val="31"/>
                <c:pt idx="0">
                  <c:v>11912</c:v>
                </c:pt>
                <c:pt idx="1">
                  <c:v>7422</c:v>
                </c:pt>
                <c:pt idx="2">
                  <c:v>31769</c:v>
                </c:pt>
                <c:pt idx="3">
                  <c:v>13947</c:v>
                </c:pt>
                <c:pt idx="4">
                  <c:v>18990</c:v>
                </c:pt>
                <c:pt idx="5">
                  <c:v>14853</c:v>
                </c:pt>
                <c:pt idx="6">
                  <c:v>13150</c:v>
                </c:pt>
                <c:pt idx="7">
                  <c:v>14559</c:v>
                </c:pt>
                <c:pt idx="8">
                  <c:v>47526</c:v>
                </c:pt>
                <c:pt idx="9">
                  <c:v>21084</c:v>
                </c:pt>
                <c:pt idx="10">
                  <c:v>13942</c:v>
                </c:pt>
                <c:pt idx="11">
                  <c:v>9822</c:v>
                </c:pt>
                <c:pt idx="12">
                  <c:v>10696</c:v>
                </c:pt>
                <c:pt idx="13">
                  <c:v>17219</c:v>
                </c:pt>
                <c:pt idx="14">
                  <c:v>8824</c:v>
                </c:pt>
                <c:pt idx="15">
                  <c:v>13183</c:v>
                </c:pt>
                <c:pt idx="16">
                  <c:v>27035</c:v>
                </c:pt>
                <c:pt idx="17">
                  <c:v>13480</c:v>
                </c:pt>
                <c:pt idx="18">
                  <c:v>13311</c:v>
                </c:pt>
                <c:pt idx="19">
                  <c:v>11891</c:v>
                </c:pt>
                <c:pt idx="20">
                  <c:v>23946</c:v>
                </c:pt>
                <c:pt idx="21">
                  <c:v>10378</c:v>
                </c:pt>
                <c:pt idx="22">
                  <c:v>7183</c:v>
                </c:pt>
                <c:pt idx="23">
                  <c:v>27514</c:v>
                </c:pt>
                <c:pt idx="24">
                  <c:v>16655</c:v>
                </c:pt>
                <c:pt idx="25">
                  <c:v>17716</c:v>
                </c:pt>
                <c:pt idx="26">
                  <c:v>17554</c:v>
                </c:pt>
                <c:pt idx="27">
                  <c:v>15977</c:v>
                </c:pt>
                <c:pt idx="28">
                  <c:v>16204</c:v>
                </c:pt>
                <c:pt idx="29">
                  <c:v>31975</c:v>
                </c:pt>
                <c:pt idx="30">
                  <c:v>22036</c:v>
                </c:pt>
              </c:numCache>
            </c:numRef>
          </c:val>
        </c:ser>
        <c:gapWidth val="100"/>
        <c:overlap val="0"/>
        <c:axId val="38577557"/>
        <c:axId val="65237622"/>
      </c:barChart>
      <c:catAx>
        <c:axId val="38577557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5237622"/>
        <c:crosses val="autoZero"/>
        <c:auto val="1"/>
        <c:lblAlgn val="ctr"/>
        <c:lblOffset val="100"/>
        <c:noMultiLvlLbl val="0"/>
      </c:catAx>
      <c:valAx>
        <c:axId val="652376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857755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'2025'!$A$245:$A$274</c:f>
              <c:strCache>
                <c:ptCount val="30"/>
                <c:pt idx="0">
                  <c:v>09/01/25</c:v>
                </c:pt>
                <c:pt idx="1">
                  <c:v>09/02/25</c:v>
                </c:pt>
                <c:pt idx="2">
                  <c:v>09/03/25</c:v>
                </c:pt>
                <c:pt idx="3">
                  <c:v>09/04/25</c:v>
                </c:pt>
                <c:pt idx="4">
                  <c:v>09/05/25</c:v>
                </c:pt>
                <c:pt idx="5">
                  <c:v>09/06/25</c:v>
                </c:pt>
                <c:pt idx="6">
                  <c:v>09/07/25</c:v>
                </c:pt>
                <c:pt idx="7">
                  <c:v>09/08/25</c:v>
                </c:pt>
                <c:pt idx="8">
                  <c:v>09/09/25</c:v>
                </c:pt>
                <c:pt idx="9">
                  <c:v>09/10/25</c:v>
                </c:pt>
                <c:pt idx="10">
                  <c:v>09/11/25</c:v>
                </c:pt>
                <c:pt idx="11">
                  <c:v>09/12/25</c:v>
                </c:pt>
                <c:pt idx="12">
                  <c:v>09/13/25</c:v>
                </c:pt>
                <c:pt idx="13">
                  <c:v>09/14/25</c:v>
                </c:pt>
                <c:pt idx="14">
                  <c:v>09/15/25</c:v>
                </c:pt>
                <c:pt idx="15">
                  <c:v>09/16/25</c:v>
                </c:pt>
                <c:pt idx="16">
                  <c:v>09/17/25</c:v>
                </c:pt>
                <c:pt idx="17">
                  <c:v>09/18/25</c:v>
                </c:pt>
                <c:pt idx="18">
                  <c:v>09/19/25</c:v>
                </c:pt>
                <c:pt idx="19">
                  <c:v>09/20/25</c:v>
                </c:pt>
                <c:pt idx="20">
                  <c:v>09/21/25</c:v>
                </c:pt>
                <c:pt idx="21">
                  <c:v>09/22/25</c:v>
                </c:pt>
                <c:pt idx="22">
                  <c:v>09/23/25</c:v>
                </c:pt>
                <c:pt idx="23">
                  <c:v>09/24/25</c:v>
                </c:pt>
                <c:pt idx="24">
                  <c:v>09/25/25</c:v>
                </c:pt>
                <c:pt idx="25">
                  <c:v>09/26/25</c:v>
                </c:pt>
                <c:pt idx="26">
                  <c:v>09/27/25</c:v>
                </c:pt>
                <c:pt idx="27">
                  <c:v>09/28/25</c:v>
                </c:pt>
                <c:pt idx="28">
                  <c:v>09/29/25</c:v>
                </c:pt>
                <c:pt idx="29">
                  <c:v>09/30/25</c:v>
                </c:pt>
              </c:strCache>
            </c:strRef>
          </c:cat>
          <c:val>
            <c:numRef>
              <c:f>'2025'!$B$245:$B$274</c:f>
              <c:numCache>
                <c:formatCode>General</c:formatCode>
                <c:ptCount val="30"/>
                <c:pt idx="0">
                  <c:v>10006</c:v>
                </c:pt>
                <c:pt idx="1">
                  <c:v>20823</c:v>
                </c:pt>
                <c:pt idx="2">
                  <c:v>13224</c:v>
                </c:pt>
                <c:pt idx="3">
                  <c:v>6794</c:v>
                </c:pt>
                <c:pt idx="4">
                  <c:v>8058</c:v>
                </c:pt>
                <c:pt idx="5">
                  <c:v>31088</c:v>
                </c:pt>
                <c:pt idx="6">
                  <c:v>17005</c:v>
                </c:pt>
                <c:pt idx="7">
                  <c:v>20301</c:v>
                </c:pt>
                <c:pt idx="8">
                  <c:v>12454</c:v>
                </c:pt>
                <c:pt idx="9">
                  <c:v>10014</c:v>
                </c:pt>
                <c:pt idx="10">
                  <c:v>7383</c:v>
                </c:pt>
                <c:pt idx="11">
                  <c:v>14111</c:v>
                </c:pt>
                <c:pt idx="12">
                  <c:v>13938</c:v>
                </c:pt>
                <c:pt idx="13">
                  <c:v>8096</c:v>
                </c:pt>
                <c:pt idx="14">
                  <c:v>13140</c:v>
                </c:pt>
                <c:pt idx="15">
                  <c:v>15074</c:v>
                </c:pt>
                <c:pt idx="16">
                  <c:v>16350</c:v>
                </c:pt>
                <c:pt idx="17">
                  <c:v>13309</c:v>
                </c:pt>
                <c:pt idx="18">
                  <c:v>6518</c:v>
                </c:pt>
                <c:pt idx="19">
                  <c:v>10674</c:v>
                </c:pt>
                <c:pt idx="20">
                  <c:v>29721</c:v>
                </c:pt>
                <c:pt idx="21">
                  <c:v>13781</c:v>
                </c:pt>
                <c:pt idx="22">
                  <c:v>21498</c:v>
                </c:pt>
                <c:pt idx="23">
                  <c:v>18661</c:v>
                </c:pt>
                <c:pt idx="24">
                  <c:v>15997</c:v>
                </c:pt>
                <c:pt idx="25">
                  <c:v>15243</c:v>
                </c:pt>
                <c:pt idx="26">
                  <c:v>11283</c:v>
                </c:pt>
                <c:pt idx="27">
                  <c:v>14377</c:v>
                </c:pt>
                <c:pt idx="28">
                  <c:v>14559</c:v>
                </c:pt>
                <c:pt idx="29">
                  <c:v>18370</c:v>
                </c:pt>
              </c:numCache>
            </c:numRef>
          </c:val>
        </c:ser>
        <c:gapWidth val="100"/>
        <c:overlap val="0"/>
        <c:axId val="3272453"/>
        <c:axId val="31303647"/>
      </c:barChart>
      <c:catAx>
        <c:axId val="3272453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1303647"/>
        <c:crosses val="autoZero"/>
        <c:auto val="1"/>
        <c:lblAlgn val="ctr"/>
        <c:lblOffset val="100"/>
        <c:noMultiLvlLbl val="0"/>
      </c:catAx>
      <c:valAx>
        <c:axId val="3130364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27245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'2025'!$A$275:$A$305</c:f>
              <c:strCache>
                <c:ptCount val="31"/>
                <c:pt idx="0">
                  <c:v>10/01/25</c:v>
                </c:pt>
                <c:pt idx="1">
                  <c:v>10/02/25</c:v>
                </c:pt>
                <c:pt idx="2">
                  <c:v>10/03/25</c:v>
                </c:pt>
                <c:pt idx="3">
                  <c:v>10/04/25</c:v>
                </c:pt>
                <c:pt idx="4">
                  <c:v>10/05/25</c:v>
                </c:pt>
                <c:pt idx="5">
                  <c:v>10/06/25</c:v>
                </c:pt>
                <c:pt idx="6">
                  <c:v>10/07/25</c:v>
                </c:pt>
                <c:pt idx="7">
                  <c:v>10/08/25</c:v>
                </c:pt>
                <c:pt idx="8">
                  <c:v>10/09/25</c:v>
                </c:pt>
                <c:pt idx="9">
                  <c:v>10/10/25</c:v>
                </c:pt>
                <c:pt idx="10">
                  <c:v>10/11/25</c:v>
                </c:pt>
                <c:pt idx="11">
                  <c:v>10/12/25</c:v>
                </c:pt>
                <c:pt idx="12">
                  <c:v>10/13/25</c:v>
                </c:pt>
                <c:pt idx="13">
                  <c:v>10/14/25</c:v>
                </c:pt>
                <c:pt idx="14">
                  <c:v>10/15/25</c:v>
                </c:pt>
                <c:pt idx="15">
                  <c:v>10/16/25</c:v>
                </c:pt>
                <c:pt idx="16">
                  <c:v>10/17/25</c:v>
                </c:pt>
                <c:pt idx="17">
                  <c:v>10/18/25</c:v>
                </c:pt>
                <c:pt idx="18">
                  <c:v>10/19/25</c:v>
                </c:pt>
                <c:pt idx="19">
                  <c:v>10/20/25</c:v>
                </c:pt>
                <c:pt idx="20">
                  <c:v>10/21/25</c:v>
                </c:pt>
                <c:pt idx="21">
                  <c:v>10/22/25</c:v>
                </c:pt>
                <c:pt idx="22">
                  <c:v>10/23/25</c:v>
                </c:pt>
                <c:pt idx="23">
                  <c:v>10/24/25</c:v>
                </c:pt>
                <c:pt idx="24">
                  <c:v>10/25/25</c:v>
                </c:pt>
                <c:pt idx="25">
                  <c:v>10/26/25</c:v>
                </c:pt>
                <c:pt idx="26">
                  <c:v>10/27/25</c:v>
                </c:pt>
                <c:pt idx="27">
                  <c:v>10/28/25</c:v>
                </c:pt>
                <c:pt idx="28">
                  <c:v>10/29/25</c:v>
                </c:pt>
                <c:pt idx="29">
                  <c:v>10/30/25</c:v>
                </c:pt>
                <c:pt idx="30">
                  <c:v>10/31/25</c:v>
                </c:pt>
              </c:strCache>
            </c:strRef>
          </c:cat>
          <c:val>
            <c:numRef>
              <c:f>'2025'!$B$275:$B$305</c:f>
              <c:numCache>
                <c:formatCode>General</c:formatCode>
                <c:ptCount val="31"/>
                <c:pt idx="0">
                  <c:v>16738</c:v>
                </c:pt>
                <c:pt idx="1">
                  <c:v>11458</c:v>
                </c:pt>
                <c:pt idx="2">
                  <c:v>16242</c:v>
                </c:pt>
                <c:pt idx="3">
                  <c:v>6599</c:v>
                </c:pt>
                <c:pt idx="4">
                  <c:v>11039</c:v>
                </c:pt>
                <c:pt idx="5">
                  <c:v>14570</c:v>
                </c:pt>
                <c:pt idx="6">
                  <c:v>14519</c:v>
                </c:pt>
                <c:pt idx="7">
                  <c:v>18203</c:v>
                </c:pt>
                <c:pt idx="8">
                  <c:v>18438</c:v>
                </c:pt>
                <c:pt idx="9">
                  <c:v>11899</c:v>
                </c:pt>
                <c:pt idx="10">
                  <c:v>9419</c:v>
                </c:pt>
                <c:pt idx="11">
                  <c:v>21760</c:v>
                </c:pt>
                <c:pt idx="12">
                  <c:v>19915</c:v>
                </c:pt>
                <c:pt idx="13">
                  <c:v>17235</c:v>
                </c:pt>
                <c:pt idx="14">
                  <c:v>13930</c:v>
                </c:pt>
                <c:pt idx="15">
                  <c:v>21080</c:v>
                </c:pt>
                <c:pt idx="16">
                  <c:v>7545</c:v>
                </c:pt>
                <c:pt idx="17">
                  <c:v>17279</c:v>
                </c:pt>
                <c:pt idx="18">
                  <c:v>18268</c:v>
                </c:pt>
                <c:pt idx="19">
                  <c:v>18120</c:v>
                </c:pt>
                <c:pt idx="20">
                  <c:v>21041</c:v>
                </c:pt>
                <c:pt idx="21">
                  <c:v>15475</c:v>
                </c:pt>
                <c:pt idx="22">
                  <c:v>18343</c:v>
                </c:pt>
                <c:pt idx="23">
                  <c:v>10953</c:v>
                </c:pt>
                <c:pt idx="24">
                  <c:v>17241</c:v>
                </c:pt>
                <c:pt idx="25">
                  <c:v>7530</c:v>
                </c:pt>
                <c:pt idx="26">
                  <c:v>14033</c:v>
                </c:pt>
                <c:pt idx="27">
                  <c:v>14517</c:v>
                </c:pt>
                <c:pt idx="28">
                  <c:v>16297</c:v>
                </c:pt>
                <c:pt idx="29">
                  <c:v>15096</c:v>
                </c:pt>
                <c:pt idx="30">
                  <c:v>8969</c:v>
                </c:pt>
              </c:numCache>
            </c:numRef>
          </c:val>
        </c:ser>
        <c:gapWidth val="100"/>
        <c:overlap val="0"/>
        <c:axId val="4873598"/>
        <c:axId val="29478512"/>
      </c:barChart>
      <c:catAx>
        <c:axId val="4873598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9478512"/>
        <c:crosses val="autoZero"/>
        <c:auto val="1"/>
        <c:lblAlgn val="ctr"/>
        <c:lblOffset val="100"/>
        <c:noMultiLvlLbl val="0"/>
      </c:catAx>
      <c:valAx>
        <c:axId val="294785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87359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'2025'!$A$306:$A$335</c:f>
              <c:strCache>
                <c:ptCount val="30"/>
                <c:pt idx="0">
                  <c:v>11/01/25</c:v>
                </c:pt>
                <c:pt idx="1">
                  <c:v>11/02/25</c:v>
                </c:pt>
                <c:pt idx="2">
                  <c:v>11/03/25</c:v>
                </c:pt>
                <c:pt idx="3">
                  <c:v>11/04/25</c:v>
                </c:pt>
                <c:pt idx="4">
                  <c:v>11/05/25</c:v>
                </c:pt>
                <c:pt idx="5">
                  <c:v>11/06/25</c:v>
                </c:pt>
                <c:pt idx="6">
                  <c:v>11/07/25</c:v>
                </c:pt>
                <c:pt idx="7">
                  <c:v>11/08/25</c:v>
                </c:pt>
                <c:pt idx="8">
                  <c:v>11/09/25</c:v>
                </c:pt>
                <c:pt idx="9">
                  <c:v>11/10/25</c:v>
                </c:pt>
                <c:pt idx="10">
                  <c:v>11/11/25</c:v>
                </c:pt>
                <c:pt idx="11">
                  <c:v>11/12/25</c:v>
                </c:pt>
                <c:pt idx="12">
                  <c:v>11/13/25</c:v>
                </c:pt>
                <c:pt idx="13">
                  <c:v>11/14/25</c:v>
                </c:pt>
                <c:pt idx="14">
                  <c:v>11/15/25</c:v>
                </c:pt>
                <c:pt idx="15">
                  <c:v>11/16/25</c:v>
                </c:pt>
                <c:pt idx="16">
                  <c:v>11/17/25</c:v>
                </c:pt>
                <c:pt idx="17">
                  <c:v>11/18/25</c:v>
                </c:pt>
                <c:pt idx="18">
                  <c:v>11/19/25</c:v>
                </c:pt>
                <c:pt idx="19">
                  <c:v>11/20/25</c:v>
                </c:pt>
                <c:pt idx="20">
                  <c:v>11/21/25</c:v>
                </c:pt>
                <c:pt idx="21">
                  <c:v>11/22/25</c:v>
                </c:pt>
                <c:pt idx="22">
                  <c:v>11/23/25</c:v>
                </c:pt>
                <c:pt idx="23">
                  <c:v>11/24/25</c:v>
                </c:pt>
                <c:pt idx="24">
                  <c:v>11/25/25</c:v>
                </c:pt>
                <c:pt idx="25">
                  <c:v>11/26/25</c:v>
                </c:pt>
                <c:pt idx="26">
                  <c:v>11/27/25</c:v>
                </c:pt>
                <c:pt idx="27">
                  <c:v>11/28/25</c:v>
                </c:pt>
                <c:pt idx="28">
                  <c:v>11/29/25</c:v>
                </c:pt>
                <c:pt idx="29">
                  <c:v>11/30/25</c:v>
                </c:pt>
              </c:strCache>
            </c:strRef>
          </c:cat>
          <c:val>
            <c:numRef>
              <c:f>'2025'!$B$306:$B$335</c:f>
              <c:numCache>
                <c:formatCode>General</c:formatCode>
                <c:ptCount val="30"/>
                <c:pt idx="0">
                  <c:v>18311</c:v>
                </c:pt>
                <c:pt idx="1">
                  <c:v>14701</c:v>
                </c:pt>
                <c:pt idx="2">
                  <c:v>13047</c:v>
                </c:pt>
                <c:pt idx="3">
                  <c:v>11180</c:v>
                </c:pt>
                <c:pt idx="4">
                  <c:v>6969</c:v>
                </c:pt>
                <c:pt idx="5">
                  <c:v>7207</c:v>
                </c:pt>
                <c:pt idx="6">
                  <c:v>9616</c:v>
                </c:pt>
                <c:pt idx="7">
                  <c:v>12628</c:v>
                </c:pt>
                <c:pt idx="8">
                  <c:v>15623</c:v>
                </c:pt>
                <c:pt idx="9">
                  <c:v>13313</c:v>
                </c:pt>
                <c:pt idx="10">
                  <c:v>13014</c:v>
                </c:pt>
                <c:pt idx="11">
                  <c:v>14350</c:v>
                </c:pt>
                <c:pt idx="12">
                  <c:v>16725</c:v>
                </c:pt>
                <c:pt idx="13">
                  <c:v>15505</c:v>
                </c:pt>
                <c:pt idx="14">
                  <c:v>10457</c:v>
                </c:pt>
                <c:pt idx="15">
                  <c:v>7748</c:v>
                </c:pt>
                <c:pt idx="16">
                  <c:v>22103</c:v>
                </c:pt>
                <c:pt idx="17">
                  <c:v>13623</c:v>
                </c:pt>
                <c:pt idx="18">
                  <c:v>23189</c:v>
                </c:pt>
                <c:pt idx="19">
                  <c:v>13583</c:v>
                </c:pt>
                <c:pt idx="20">
                  <c:v>11807</c:v>
                </c:pt>
                <c:pt idx="21">
                  <c:v>12097</c:v>
                </c:pt>
                <c:pt idx="22">
                  <c:v>6223</c:v>
                </c:pt>
                <c:pt idx="23">
                  <c:v>27720</c:v>
                </c:pt>
                <c:pt idx="24">
                  <c:v>18949</c:v>
                </c:pt>
                <c:pt idx="25">
                  <c:v>29052</c:v>
                </c:pt>
                <c:pt idx="26">
                  <c:v>16980</c:v>
                </c:pt>
                <c:pt idx="27">
                  <c:v>14653</c:v>
                </c:pt>
                <c:pt idx="28">
                  <c:v>7292</c:v>
                </c:pt>
                <c:pt idx="29">
                  <c:v>17131</c:v>
                </c:pt>
              </c:numCache>
            </c:numRef>
          </c:val>
        </c:ser>
        <c:gapWidth val="100"/>
        <c:overlap val="0"/>
        <c:axId val="58295354"/>
        <c:axId val="63395567"/>
      </c:barChart>
      <c:catAx>
        <c:axId val="5829535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3395567"/>
        <c:crosses val="autoZero"/>
        <c:auto val="1"/>
        <c:lblAlgn val="ctr"/>
        <c:lblOffset val="100"/>
        <c:noMultiLvlLbl val="0"/>
      </c:catAx>
      <c:valAx>
        <c:axId val="633955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829535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'2025'!$B$336:$B$366</c:f>
              <c:numCache>
                <c:formatCode>General</c:formatCode>
                <c:ptCount val="31"/>
                <c:pt idx="0">
                  <c:v>21619</c:v>
                </c:pt>
                <c:pt idx="1">
                  <c:v>22863</c:v>
                </c:pt>
                <c:pt idx="2">
                  <c:v>9109</c:v>
                </c:pt>
                <c:pt idx="3">
                  <c:v>14498</c:v>
                </c:pt>
                <c:pt idx="4">
                  <c:v>20965</c:v>
                </c:pt>
                <c:pt idx="5">
                  <c:v>13044</c:v>
                </c:pt>
                <c:pt idx="6">
                  <c:v>14936</c:v>
                </c:pt>
                <c:pt idx="7">
                  <c:v>9393</c:v>
                </c:pt>
                <c:pt idx="8">
                  <c:v>11314</c:v>
                </c:pt>
                <c:pt idx="9">
                  <c:v>6206</c:v>
                </c:pt>
                <c:pt idx="10">
                  <c:v>15909</c:v>
                </c:pt>
                <c:pt idx="11">
                  <c:v>14170</c:v>
                </c:pt>
                <c:pt idx="12">
                  <c:v>9147</c:v>
                </c:pt>
                <c:pt idx="13">
                  <c:v>19578</c:v>
                </c:pt>
                <c:pt idx="14">
                  <c:v>13162</c:v>
                </c:pt>
                <c:pt idx="15">
                  <c:v>21983</c:v>
                </c:pt>
                <c:pt idx="16">
                  <c:v>18241</c:v>
                </c:pt>
                <c:pt idx="17">
                  <c:v>18881</c:v>
                </c:pt>
                <c:pt idx="18">
                  <c:v>18120</c:v>
                </c:pt>
                <c:pt idx="19">
                  <c:v>6328</c:v>
                </c:pt>
                <c:pt idx="20">
                  <c:v>15575</c:v>
                </c:pt>
                <c:pt idx="21">
                  <c:v>19353</c:v>
                </c:pt>
                <c:pt idx="22">
                  <c:v>16474</c:v>
                </c:pt>
                <c:pt idx="23">
                  <c:v>6034</c:v>
                </c:pt>
                <c:pt idx="24">
                  <c:v>1422</c:v>
                </c:pt>
                <c:pt idx="25">
                  <c:v>14634</c:v>
                </c:pt>
                <c:pt idx="26">
                  <c:v>11182</c:v>
                </c:pt>
                <c:pt idx="27">
                  <c:v>7573</c:v>
                </c:pt>
                <c:pt idx="28">
                  <c:v>15173</c:v>
                </c:pt>
                <c:pt idx="29">
                  <c:v>5541</c:v>
                </c:pt>
                <c:pt idx="30">
                  <c:v>21824</c:v>
                </c:pt>
              </c:numCache>
            </c:numRef>
          </c:val>
        </c:ser>
        <c:gapWidth val="100"/>
        <c:overlap val="0"/>
        <c:axId val="77535191"/>
        <c:axId val="46964636"/>
      </c:barChart>
      <c:catAx>
        <c:axId val="7753519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6964636"/>
        <c:crosses val="autoZero"/>
        <c:auto val="1"/>
        <c:lblAlgn val="ctr"/>
        <c:lblOffset val="100"/>
        <c:noMultiLvlLbl val="0"/>
      </c:catAx>
      <c:valAx>
        <c:axId val="469646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753519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'2026'!$A$2:$A$32</c:f>
              <c:strCache>
                <c:ptCount val="31"/>
                <c:pt idx="0">
                  <c:v>01/01/26</c:v>
                </c:pt>
                <c:pt idx="1">
                  <c:v>01/02/26</c:v>
                </c:pt>
                <c:pt idx="2">
                  <c:v>01/03/26</c:v>
                </c:pt>
                <c:pt idx="3">
                  <c:v>01/04/26</c:v>
                </c:pt>
                <c:pt idx="4">
                  <c:v>01/05/26</c:v>
                </c:pt>
                <c:pt idx="5">
                  <c:v>01/06/26</c:v>
                </c:pt>
                <c:pt idx="6">
                  <c:v>01/07/26</c:v>
                </c:pt>
                <c:pt idx="7">
                  <c:v>01/08/26</c:v>
                </c:pt>
                <c:pt idx="8">
                  <c:v>01/09/26</c:v>
                </c:pt>
                <c:pt idx="9">
                  <c:v>01/10/26</c:v>
                </c:pt>
                <c:pt idx="10">
                  <c:v>01/11/26</c:v>
                </c:pt>
                <c:pt idx="11">
                  <c:v>01/12/26</c:v>
                </c:pt>
                <c:pt idx="12">
                  <c:v>01/13/26</c:v>
                </c:pt>
                <c:pt idx="13">
                  <c:v>01/14/26</c:v>
                </c:pt>
                <c:pt idx="14">
                  <c:v>01/15/26</c:v>
                </c:pt>
                <c:pt idx="15">
                  <c:v>01/16/26</c:v>
                </c:pt>
                <c:pt idx="16">
                  <c:v>01/17/26</c:v>
                </c:pt>
                <c:pt idx="17">
                  <c:v>01/18/26</c:v>
                </c:pt>
                <c:pt idx="18">
                  <c:v>01/19/26</c:v>
                </c:pt>
                <c:pt idx="19">
                  <c:v>01/20/26</c:v>
                </c:pt>
                <c:pt idx="20">
                  <c:v>01/21/26</c:v>
                </c:pt>
                <c:pt idx="21">
                  <c:v>01/22/26</c:v>
                </c:pt>
                <c:pt idx="22">
                  <c:v>01/23/26</c:v>
                </c:pt>
                <c:pt idx="23">
                  <c:v>01/24/26</c:v>
                </c:pt>
                <c:pt idx="24">
                  <c:v>01/25/26</c:v>
                </c:pt>
                <c:pt idx="25">
                  <c:v>01/26/26</c:v>
                </c:pt>
                <c:pt idx="26">
                  <c:v>01/27/26</c:v>
                </c:pt>
                <c:pt idx="27">
                  <c:v>01/28/26</c:v>
                </c:pt>
                <c:pt idx="28">
                  <c:v>01/29/26</c:v>
                </c:pt>
                <c:pt idx="29">
                  <c:v>01/30/26</c:v>
                </c:pt>
                <c:pt idx="30">
                  <c:v>01/31/26</c:v>
                </c:pt>
              </c:strCache>
            </c:strRef>
          </c:cat>
          <c:val>
            <c:numRef>
              <c:f>'2026'!$B$2:$B$32</c:f>
              <c:numCache>
                <c:formatCode>General</c:formatCode>
                <c:ptCount val="31"/>
                <c:pt idx="0">
                  <c:v>21824</c:v>
                </c:pt>
                <c:pt idx="1">
                  <c:v>12071</c:v>
                </c:pt>
                <c:pt idx="2">
                  <c:v>14091</c:v>
                </c:pt>
                <c:pt idx="3">
                  <c:v>11916</c:v>
                </c:pt>
                <c:pt idx="4">
                  <c:v>17799</c:v>
                </c:pt>
                <c:pt idx="5">
                  <c:v>10747</c:v>
                </c:pt>
                <c:pt idx="6">
                  <c:v>9518</c:v>
                </c:pt>
                <c:pt idx="7">
                  <c:v>10388</c:v>
                </c:pt>
                <c:pt idx="8">
                  <c:v>9591</c:v>
                </c:pt>
                <c:pt idx="9">
                  <c:v>7714</c:v>
                </c:pt>
                <c:pt idx="10">
                  <c:v>12855</c:v>
                </c:pt>
                <c:pt idx="11">
                  <c:v>9785</c:v>
                </c:pt>
                <c:pt idx="12">
                  <c:v>9184</c:v>
                </c:pt>
                <c:pt idx="13">
                  <c:v>16364</c:v>
                </c:pt>
                <c:pt idx="14">
                  <c:v>10732</c:v>
                </c:pt>
                <c:pt idx="15">
                  <c:v>14667</c:v>
                </c:pt>
                <c:pt idx="16">
                  <c:v>18889</c:v>
                </c:pt>
                <c:pt idx="17">
                  <c:v>8030</c:v>
                </c:pt>
                <c:pt idx="18">
                  <c:v>11471</c:v>
                </c:pt>
                <c:pt idx="19">
                  <c:v>7424</c:v>
                </c:pt>
                <c:pt idx="20">
                  <c:v>8220</c:v>
                </c:pt>
                <c:pt idx="21">
                  <c:v>12171</c:v>
                </c:pt>
                <c:pt idx="22">
                  <c:v>11383</c:v>
                </c:pt>
                <c:pt idx="23">
                  <c:v>6037</c:v>
                </c:pt>
                <c:pt idx="24">
                  <c:v>18997</c:v>
                </c:pt>
                <c:pt idx="25">
                  <c:v>7904</c:v>
                </c:pt>
                <c:pt idx="26">
                  <c:v>11575</c:v>
                </c:pt>
                <c:pt idx="27">
                  <c:v>11225</c:v>
                </c:pt>
                <c:pt idx="28">
                  <c:v>10863</c:v>
                </c:pt>
                <c:pt idx="29">
                  <c:v>8950</c:v>
                </c:pt>
                <c:pt idx="30">
                  <c:v>11989</c:v>
                </c:pt>
              </c:numCache>
            </c:numRef>
          </c:val>
        </c:ser>
        <c:gapWidth val="100"/>
        <c:overlap val="0"/>
        <c:axId val="49533359"/>
        <c:axId val="61519122"/>
      </c:barChart>
      <c:catAx>
        <c:axId val="49533359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1519122"/>
        <c:crosses val="autoZero"/>
        <c:auto val="1"/>
        <c:lblAlgn val="ctr"/>
        <c:lblOffset val="100"/>
        <c:noMultiLvlLbl val="0"/>
      </c:catAx>
      <c:valAx>
        <c:axId val="615191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9533359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'2026'!$A$33:$A$60</c:f>
              <c:strCache>
                <c:ptCount val="28"/>
                <c:pt idx="0">
                  <c:v>02/01/26</c:v>
                </c:pt>
                <c:pt idx="1">
                  <c:v>02/02/26</c:v>
                </c:pt>
                <c:pt idx="2">
                  <c:v>02/03/26</c:v>
                </c:pt>
                <c:pt idx="3">
                  <c:v>02/04/26</c:v>
                </c:pt>
                <c:pt idx="4">
                  <c:v>02/05/26</c:v>
                </c:pt>
                <c:pt idx="5">
                  <c:v>02/06/26</c:v>
                </c:pt>
                <c:pt idx="6">
                  <c:v>02/07/26</c:v>
                </c:pt>
                <c:pt idx="7">
                  <c:v>02/08/26</c:v>
                </c:pt>
                <c:pt idx="8">
                  <c:v>02/09/26</c:v>
                </c:pt>
                <c:pt idx="9">
                  <c:v>02/10/26</c:v>
                </c:pt>
                <c:pt idx="10">
                  <c:v>02/11/26</c:v>
                </c:pt>
                <c:pt idx="11">
                  <c:v>02/12/26</c:v>
                </c:pt>
                <c:pt idx="12">
                  <c:v>02/13/26</c:v>
                </c:pt>
                <c:pt idx="13">
                  <c:v>02/14/26</c:v>
                </c:pt>
                <c:pt idx="14">
                  <c:v>02/15/26</c:v>
                </c:pt>
                <c:pt idx="15">
                  <c:v>02/16/26</c:v>
                </c:pt>
                <c:pt idx="16">
                  <c:v>02/17/26</c:v>
                </c:pt>
                <c:pt idx="17">
                  <c:v>02/18/26</c:v>
                </c:pt>
                <c:pt idx="18">
                  <c:v>02/19/26</c:v>
                </c:pt>
                <c:pt idx="19">
                  <c:v>02/20/26</c:v>
                </c:pt>
                <c:pt idx="20">
                  <c:v>02/21/26</c:v>
                </c:pt>
                <c:pt idx="21">
                  <c:v>02/22/26</c:v>
                </c:pt>
                <c:pt idx="22">
                  <c:v>02/23/26</c:v>
                </c:pt>
                <c:pt idx="23">
                  <c:v>02/24/26</c:v>
                </c:pt>
                <c:pt idx="24">
                  <c:v>02/25/26</c:v>
                </c:pt>
                <c:pt idx="25">
                  <c:v>02/26/26</c:v>
                </c:pt>
                <c:pt idx="26">
                  <c:v>02/27/26</c:v>
                </c:pt>
                <c:pt idx="27">
                  <c:v>02/28/26</c:v>
                </c:pt>
              </c:strCache>
            </c:strRef>
          </c:cat>
          <c:val>
            <c:numRef>
              <c:f>'2026'!$B$33:$B$60</c:f>
              <c:numCache>
                <c:formatCode>General</c:formatCode>
                <c:ptCount val="28"/>
                <c:pt idx="0">
                  <c:v>18200</c:v>
                </c:pt>
                <c:pt idx="1">
                  <c:v>9927</c:v>
                </c:pt>
                <c:pt idx="2">
                  <c:v>13922</c:v>
                </c:pt>
                <c:pt idx="3">
                  <c:v>10434</c:v>
                </c:pt>
                <c:pt idx="4">
                  <c:v>11729</c:v>
                </c:pt>
                <c:pt idx="5">
                  <c:v>9553</c:v>
                </c:pt>
                <c:pt idx="6">
                  <c:v>7927</c:v>
                </c:pt>
                <c:pt idx="7">
                  <c:v>15833</c:v>
                </c:pt>
                <c:pt idx="8">
                  <c:v>10534</c:v>
                </c:pt>
                <c:pt idx="9">
                  <c:v>11692</c:v>
                </c:pt>
                <c:pt idx="10">
                  <c:v>18519</c:v>
                </c:pt>
                <c:pt idx="11">
                  <c:v>13842</c:v>
                </c:pt>
                <c:pt idx="12">
                  <c:v>11281</c:v>
                </c:pt>
                <c:pt idx="13">
                  <c:v>12893</c:v>
                </c:pt>
                <c:pt idx="14">
                  <c:v>14400</c:v>
                </c:pt>
                <c:pt idx="15">
                  <c:v>18714</c:v>
                </c:pt>
                <c:pt idx="16">
                  <c:v>8350</c:v>
                </c:pt>
                <c:pt idx="17">
                  <c:v>14200</c:v>
                </c:pt>
                <c:pt idx="18">
                  <c:v>13261</c:v>
                </c:pt>
                <c:pt idx="19">
                  <c:v>7962</c:v>
                </c:pt>
                <c:pt idx="20">
                  <c:v>13035</c:v>
                </c:pt>
                <c:pt idx="21">
                  <c:v>23155</c:v>
                </c:pt>
                <c:pt idx="22">
                  <c:v>12422</c:v>
                </c:pt>
                <c:pt idx="23">
                  <c:v>9190</c:v>
                </c:pt>
                <c:pt idx="24">
                  <c:v>6719</c:v>
                </c:pt>
                <c:pt idx="25">
                  <c:v>12400</c:v>
                </c:pt>
                <c:pt idx="26">
                  <c:v>10769</c:v>
                </c:pt>
                <c:pt idx="27">
                  <c:v>8341</c:v>
                </c:pt>
              </c:numCache>
            </c:numRef>
          </c:val>
        </c:ser>
        <c:gapWidth val="100"/>
        <c:overlap val="0"/>
        <c:axId val="27787320"/>
        <c:axId val="89586454"/>
      </c:barChart>
      <c:catAx>
        <c:axId val="27787320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9586454"/>
        <c:crosses val="autoZero"/>
        <c:auto val="1"/>
        <c:lblAlgn val="ctr"/>
        <c:lblOffset val="100"/>
        <c:noMultiLvlLbl val="0"/>
      </c:catAx>
      <c:valAx>
        <c:axId val="8958645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778732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'2026'!$A$61:$A$91</c:f>
              <c:strCache>
                <c:ptCount val="31"/>
                <c:pt idx="0">
                  <c:v>03/01/26</c:v>
                </c:pt>
                <c:pt idx="1">
                  <c:v>03/02/26</c:v>
                </c:pt>
                <c:pt idx="2">
                  <c:v>03/03/26</c:v>
                </c:pt>
                <c:pt idx="3">
                  <c:v>03/04/26</c:v>
                </c:pt>
                <c:pt idx="4">
                  <c:v>03/05/26</c:v>
                </c:pt>
                <c:pt idx="5">
                  <c:v>03/06/26</c:v>
                </c:pt>
                <c:pt idx="6">
                  <c:v>03/07/26</c:v>
                </c:pt>
                <c:pt idx="7">
                  <c:v>03/08/26</c:v>
                </c:pt>
                <c:pt idx="8">
                  <c:v>03/09/26</c:v>
                </c:pt>
                <c:pt idx="9">
                  <c:v>03/10/26</c:v>
                </c:pt>
                <c:pt idx="10">
                  <c:v>03/11/26</c:v>
                </c:pt>
                <c:pt idx="11">
                  <c:v>03/12/26</c:v>
                </c:pt>
                <c:pt idx="12">
                  <c:v>03/13/26</c:v>
                </c:pt>
                <c:pt idx="13">
                  <c:v>03/14/26</c:v>
                </c:pt>
                <c:pt idx="14">
                  <c:v>03/15/26</c:v>
                </c:pt>
                <c:pt idx="15">
                  <c:v>03/16/26</c:v>
                </c:pt>
                <c:pt idx="16">
                  <c:v>03/17/26</c:v>
                </c:pt>
                <c:pt idx="17">
                  <c:v>03/18/26</c:v>
                </c:pt>
                <c:pt idx="18">
                  <c:v>03/19/26</c:v>
                </c:pt>
                <c:pt idx="19">
                  <c:v>03/20/26</c:v>
                </c:pt>
                <c:pt idx="20">
                  <c:v>03/21/26</c:v>
                </c:pt>
                <c:pt idx="21">
                  <c:v>03/22/26</c:v>
                </c:pt>
                <c:pt idx="22">
                  <c:v>03/23/26</c:v>
                </c:pt>
                <c:pt idx="23">
                  <c:v>03/24/26</c:v>
                </c:pt>
                <c:pt idx="24">
                  <c:v>03/25/26</c:v>
                </c:pt>
                <c:pt idx="25">
                  <c:v>03/26/26</c:v>
                </c:pt>
                <c:pt idx="26">
                  <c:v>03/27/26</c:v>
                </c:pt>
                <c:pt idx="27">
                  <c:v>03/28/26</c:v>
                </c:pt>
                <c:pt idx="28">
                  <c:v>03/29/26</c:v>
                </c:pt>
                <c:pt idx="29">
                  <c:v>03/30/26</c:v>
                </c:pt>
                <c:pt idx="30">
                  <c:v>03/31/26</c:v>
                </c:pt>
              </c:strCache>
            </c:strRef>
          </c:cat>
          <c:val>
            <c:numRef>
              <c:f>'2026'!$B$61:$B$91</c:f>
              <c:numCache>
                <c:formatCode>General</c:formatCode>
                <c:ptCount val="31"/>
                <c:pt idx="0">
                  <c:v>10496</c:v>
                </c:pt>
                <c:pt idx="1">
                  <c:v>7156</c:v>
                </c:pt>
                <c:pt idx="2">
                  <c:v>6414</c:v>
                </c:pt>
                <c:pt idx="3">
                  <c:v>16887</c:v>
                </c:pt>
                <c:pt idx="4">
                  <c:v>12450</c:v>
                </c:pt>
                <c:pt idx="5">
                  <c:v>13553</c:v>
                </c:pt>
                <c:pt idx="6">
                  <c:v>9190</c:v>
                </c:pt>
                <c:pt idx="7">
                  <c:v>18923</c:v>
                </c:pt>
                <c:pt idx="8">
                  <c:v>9396</c:v>
                </c:pt>
                <c:pt idx="9">
                  <c:v>12556</c:v>
                </c:pt>
                <c:pt idx="10">
                  <c:v>9687</c:v>
                </c:pt>
                <c:pt idx="11">
                  <c:v>13779</c:v>
                </c:pt>
                <c:pt idx="12">
                  <c:v>12379</c:v>
                </c:pt>
                <c:pt idx="13">
                  <c:v>8589</c:v>
                </c:pt>
                <c:pt idx="14">
                  <c:v>20099</c:v>
                </c:pt>
                <c:pt idx="15">
                  <c:v>12078</c:v>
                </c:pt>
                <c:pt idx="16">
                  <c:v>11437</c:v>
                </c:pt>
                <c:pt idx="17">
                  <c:v>11195</c:v>
                </c:pt>
                <c:pt idx="18">
                  <c:v>13015</c:v>
                </c:pt>
                <c:pt idx="19">
                  <c:v>15137</c:v>
                </c:pt>
                <c:pt idx="20">
                  <c:v>24431</c:v>
                </c:pt>
                <c:pt idx="21">
                  <c:v>18287</c:v>
                </c:pt>
                <c:pt idx="22">
                  <c:v>20006</c:v>
                </c:pt>
                <c:pt idx="23">
                  <c:v>14277</c:v>
                </c:pt>
                <c:pt idx="24">
                  <c:v>15984</c:v>
                </c:pt>
                <c:pt idx="25">
                  <c:v>19978</c:v>
                </c:pt>
                <c:pt idx="26">
                  <c:v>16385</c:v>
                </c:pt>
                <c:pt idx="27">
                  <c:v>9858</c:v>
                </c:pt>
                <c:pt idx="28">
                  <c:v>7133</c:v>
                </c:pt>
                <c:pt idx="29">
                  <c:v>23518</c:v>
                </c:pt>
                <c:pt idx="30">
                  <c:v>8720</c:v>
                </c:pt>
              </c:numCache>
            </c:numRef>
          </c:val>
        </c:ser>
        <c:gapWidth val="100"/>
        <c:overlap val="0"/>
        <c:axId val="74128114"/>
        <c:axId val="25319689"/>
      </c:barChart>
      <c:catAx>
        <c:axId val="74128114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5319689"/>
        <c:crosses val="autoZero"/>
        <c:auto val="1"/>
        <c:lblAlgn val="ctr"/>
        <c:lblOffset val="100"/>
        <c:noMultiLvlLbl val="0"/>
      </c:catAx>
      <c:valAx>
        <c:axId val="2531968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4128114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'2026'!$A$92:$A$121</c:f>
              <c:strCache>
                <c:ptCount val="30"/>
                <c:pt idx="0">
                  <c:v>04/01/26</c:v>
                </c:pt>
                <c:pt idx="1">
                  <c:v>04/02/26</c:v>
                </c:pt>
                <c:pt idx="2">
                  <c:v>04/03/26</c:v>
                </c:pt>
                <c:pt idx="3">
                  <c:v>04/04/26</c:v>
                </c:pt>
                <c:pt idx="4">
                  <c:v>04/05/26</c:v>
                </c:pt>
                <c:pt idx="5">
                  <c:v>04/06/26</c:v>
                </c:pt>
                <c:pt idx="6">
                  <c:v>04/07/26</c:v>
                </c:pt>
                <c:pt idx="7">
                  <c:v>04/08/26</c:v>
                </c:pt>
                <c:pt idx="8">
                  <c:v>04/09/26</c:v>
                </c:pt>
                <c:pt idx="9">
                  <c:v>04/10/26</c:v>
                </c:pt>
                <c:pt idx="10">
                  <c:v>04/11/26</c:v>
                </c:pt>
                <c:pt idx="11">
                  <c:v>04/12/26</c:v>
                </c:pt>
                <c:pt idx="12">
                  <c:v>04/13/26</c:v>
                </c:pt>
                <c:pt idx="13">
                  <c:v>04/14/26</c:v>
                </c:pt>
                <c:pt idx="14">
                  <c:v>04/15/26</c:v>
                </c:pt>
                <c:pt idx="15">
                  <c:v>04/16/26</c:v>
                </c:pt>
                <c:pt idx="16">
                  <c:v>04/17/26</c:v>
                </c:pt>
                <c:pt idx="17">
                  <c:v>04/18/26</c:v>
                </c:pt>
                <c:pt idx="18">
                  <c:v>04/19/26</c:v>
                </c:pt>
                <c:pt idx="19">
                  <c:v>04/20/26</c:v>
                </c:pt>
                <c:pt idx="20">
                  <c:v>04/21/26</c:v>
                </c:pt>
                <c:pt idx="21">
                  <c:v>04/22/26</c:v>
                </c:pt>
                <c:pt idx="22">
                  <c:v>04/23/26</c:v>
                </c:pt>
                <c:pt idx="23">
                  <c:v>04/24/26</c:v>
                </c:pt>
                <c:pt idx="24">
                  <c:v>04/25/26</c:v>
                </c:pt>
                <c:pt idx="25">
                  <c:v>04/26/26</c:v>
                </c:pt>
                <c:pt idx="26">
                  <c:v>04/27/26</c:v>
                </c:pt>
                <c:pt idx="27">
                  <c:v>04/28/26</c:v>
                </c:pt>
                <c:pt idx="28">
                  <c:v>04/29/26</c:v>
                </c:pt>
                <c:pt idx="29">
                  <c:v>04/30/26</c:v>
                </c:pt>
              </c:strCache>
            </c:strRef>
          </c:cat>
          <c:val>
            <c:numRef>
              <c:f>'2026'!$B$92:$B$121</c:f>
              <c:numCache>
                <c:formatCode>General</c:formatCode>
                <c:ptCount val="30"/>
                <c:pt idx="0">
                  <c:v>14026</c:v>
                </c:pt>
                <c:pt idx="1">
                  <c:v>11514</c:v>
                </c:pt>
                <c:pt idx="2">
                  <c:v>16030</c:v>
                </c:pt>
                <c:pt idx="3">
                  <c:v>14943</c:v>
                </c:pt>
                <c:pt idx="4">
                  <c:v>5143</c:v>
                </c:pt>
                <c:pt idx="5">
                  <c:v>13426</c:v>
                </c:pt>
                <c:pt idx="6">
                  <c:v>7145</c:v>
                </c:pt>
                <c:pt idx="7">
                  <c:v>17016</c:v>
                </c:pt>
                <c:pt idx="8">
                  <c:v>17477</c:v>
                </c:pt>
                <c:pt idx="9">
                  <c:v>10711</c:v>
                </c:pt>
                <c:pt idx="10">
                  <c:v>7251</c:v>
                </c:pt>
                <c:pt idx="11">
                  <c:v>12797</c:v>
                </c:pt>
                <c:pt idx="12">
                  <c:v>34197</c:v>
                </c:pt>
                <c:pt idx="13">
                  <c:v>6490</c:v>
                </c:pt>
                <c:pt idx="14">
                  <c:v>10606</c:v>
                </c:pt>
                <c:pt idx="15">
                  <c:v>15516</c:v>
                </c:pt>
                <c:pt idx="16">
                  <c:v>26238</c:v>
                </c:pt>
                <c:pt idx="17">
                  <c:v>21147</c:v>
                </c:pt>
                <c:pt idx="18">
                  <c:v>2970</c:v>
                </c:pt>
                <c:pt idx="19">
                  <c:v>29122</c:v>
                </c:pt>
                <c:pt idx="20">
                  <c:v>30599</c:v>
                </c:pt>
                <c:pt idx="21">
                  <c:v>15094</c:v>
                </c:pt>
                <c:pt idx="22">
                  <c:v>13230</c:v>
                </c:pt>
                <c:pt idx="23">
                  <c:v>18516</c:v>
                </c:pt>
                <c:pt idx="24">
                  <c:v>16094</c:v>
                </c:pt>
                <c:pt idx="25">
                  <c:v>6175</c:v>
                </c:pt>
                <c:pt idx="26">
                  <c:v>12175</c:v>
                </c:pt>
                <c:pt idx="27">
                  <c:v>16950</c:v>
                </c:pt>
                <c:pt idx="28">
                  <c:v>12553</c:v>
                </c:pt>
                <c:pt idx="29">
                  <c:v>17394</c:v>
                </c:pt>
              </c:numCache>
            </c:numRef>
          </c:val>
        </c:ser>
        <c:gapWidth val="100"/>
        <c:overlap val="0"/>
        <c:axId val="12131303"/>
        <c:axId val="22724567"/>
      </c:barChart>
      <c:catAx>
        <c:axId val="12131303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2724567"/>
        <c:crosses val="autoZero"/>
        <c:auto val="1"/>
        <c:lblAlgn val="ctr"/>
        <c:lblOffset val="100"/>
        <c:noMultiLvlLbl val="0"/>
      </c:catAx>
      <c:valAx>
        <c:axId val="2272456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213130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'2026'!$B$122:$B$152</c:f>
              <c:numCache>
                <c:formatCode>General</c:formatCode>
                <c:ptCount val="31"/>
                <c:pt idx="0">
                  <c:v>3950</c:v>
                </c:pt>
                <c:pt idx="1">
                  <c:v>7912</c:v>
                </c:pt>
                <c:pt idx="2">
                  <c:v>7256</c:v>
                </c:pt>
                <c:pt idx="3">
                  <c:v>9205</c:v>
                </c:pt>
                <c:pt idx="4">
                  <c:v>13708</c:v>
                </c:pt>
                <c:pt idx="5">
                  <c:v>8426</c:v>
                </c:pt>
                <c:pt idx="6">
                  <c:v>12911</c:v>
                </c:pt>
                <c:pt idx="7">
                  <c:v>10374</c:v>
                </c:pt>
                <c:pt idx="8">
                  <c:v>8595</c:v>
                </c:pt>
                <c:pt idx="9">
                  <c:v>21176</c:v>
                </c:pt>
                <c:pt idx="10">
                  <c:v>9553</c:v>
                </c:pt>
                <c:pt idx="11">
                  <c:v>10247</c:v>
                </c:pt>
                <c:pt idx="12">
                  <c:v>15796</c:v>
                </c:pt>
                <c:pt idx="13">
                  <c:v>23722</c:v>
                </c:pt>
                <c:pt idx="14">
                  <c:v>22349</c:v>
                </c:pt>
                <c:pt idx="15">
                  <c:v>6660</c:v>
                </c:pt>
                <c:pt idx="16">
                  <c:v>7239</c:v>
                </c:pt>
                <c:pt idx="17">
                  <c:v>13995</c:v>
                </c:pt>
                <c:pt idx="18">
                  <c:v>11512</c:v>
                </c:pt>
                <c:pt idx="19">
                  <c:v>6463</c:v>
                </c:pt>
                <c:pt idx="20">
                  <c:v>13698</c:v>
                </c:pt>
                <c:pt idx="21">
                  <c:v>11388</c:v>
                </c:pt>
                <c:pt idx="22">
                  <c:v>9587</c:v>
                </c:pt>
                <c:pt idx="23">
                  <c:v>17443</c:v>
                </c:pt>
                <c:pt idx="24">
                  <c:v>6944</c:v>
                </c:pt>
                <c:pt idx="25">
                  <c:v>8284</c:v>
                </c:pt>
                <c:pt idx="26">
                  <c:v>10531</c:v>
                </c:pt>
                <c:pt idx="27">
                  <c:v>13829</c:v>
                </c:pt>
                <c:pt idx="28">
                  <c:v>11750</c:v>
                </c:pt>
                <c:pt idx="29">
                  <c:v>19778</c:v>
                </c:pt>
                <c:pt idx="30">
                  <c:v>26677</c:v>
                </c:pt>
              </c:numCache>
            </c:numRef>
          </c:val>
        </c:ser>
        <c:gapWidth val="100"/>
        <c:overlap val="0"/>
        <c:axId val="86624843"/>
        <c:axId val="73383817"/>
      </c:barChart>
      <c:catAx>
        <c:axId val="8662484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3383817"/>
        <c:crosses val="autoZero"/>
        <c:auto val="1"/>
        <c:lblAlgn val="ctr"/>
        <c:lblOffset val="100"/>
        <c:noMultiLvlLbl val="0"/>
      </c:catAx>
      <c:valAx>
        <c:axId val="733838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6624843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'2026'!$B$153:$B$182</c:f>
              <c:numCache>
                <c:formatCode>General</c:formatCode>
                <c:ptCount val="30"/>
              </c:numCache>
            </c:numRef>
          </c:val>
        </c:ser>
        <c:gapWidth val="100"/>
        <c:overlap val="0"/>
        <c:axId val="80608258"/>
        <c:axId val="71388127"/>
      </c:barChart>
      <c:catAx>
        <c:axId val="8060825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1388127"/>
        <c:crosses val="autoZero"/>
        <c:auto val="1"/>
        <c:lblAlgn val="ctr"/>
        <c:lblOffset val="100"/>
        <c:noMultiLvlLbl val="0"/>
      </c:catAx>
      <c:valAx>
        <c:axId val="713881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060825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'2026'!$A$183:$A$213</c:f>
              <c:strCache>
                <c:ptCount val="31"/>
                <c:pt idx="0">
                  <c:v>07/01/26</c:v>
                </c:pt>
                <c:pt idx="1">
                  <c:v>07/02/26</c:v>
                </c:pt>
                <c:pt idx="2">
                  <c:v>07/03/26</c:v>
                </c:pt>
                <c:pt idx="3">
                  <c:v>07/04/26</c:v>
                </c:pt>
                <c:pt idx="4">
                  <c:v>07/05/26</c:v>
                </c:pt>
                <c:pt idx="5">
                  <c:v>07/06/26</c:v>
                </c:pt>
                <c:pt idx="6">
                  <c:v>07/07/26</c:v>
                </c:pt>
                <c:pt idx="7">
                  <c:v>07/08/26</c:v>
                </c:pt>
                <c:pt idx="8">
                  <c:v>07/09/26</c:v>
                </c:pt>
                <c:pt idx="9">
                  <c:v>07/10/26</c:v>
                </c:pt>
                <c:pt idx="10">
                  <c:v>07/11/26</c:v>
                </c:pt>
                <c:pt idx="11">
                  <c:v>07/12/26</c:v>
                </c:pt>
                <c:pt idx="12">
                  <c:v>07/13/26</c:v>
                </c:pt>
                <c:pt idx="13">
                  <c:v>07/14/26</c:v>
                </c:pt>
                <c:pt idx="14">
                  <c:v>07/15/26</c:v>
                </c:pt>
                <c:pt idx="15">
                  <c:v>07/16/26</c:v>
                </c:pt>
                <c:pt idx="16">
                  <c:v>07/17/26</c:v>
                </c:pt>
                <c:pt idx="17">
                  <c:v>07/18/26</c:v>
                </c:pt>
                <c:pt idx="18">
                  <c:v>07/19/26</c:v>
                </c:pt>
                <c:pt idx="19">
                  <c:v>07/20/26</c:v>
                </c:pt>
                <c:pt idx="20">
                  <c:v>07/21/26</c:v>
                </c:pt>
                <c:pt idx="21">
                  <c:v>07/22/26</c:v>
                </c:pt>
                <c:pt idx="22">
                  <c:v>07/23/26</c:v>
                </c:pt>
                <c:pt idx="23">
                  <c:v>07/24/26</c:v>
                </c:pt>
                <c:pt idx="24">
                  <c:v>07/25/26</c:v>
                </c:pt>
                <c:pt idx="25">
                  <c:v>07/26/26</c:v>
                </c:pt>
                <c:pt idx="26">
                  <c:v>07/27/26</c:v>
                </c:pt>
                <c:pt idx="27">
                  <c:v>07/28/26</c:v>
                </c:pt>
                <c:pt idx="28">
                  <c:v>07/29/26</c:v>
                </c:pt>
                <c:pt idx="29">
                  <c:v>07/30/26</c:v>
                </c:pt>
                <c:pt idx="30">
                  <c:v>07/31/26</c:v>
                </c:pt>
              </c:strCache>
            </c:strRef>
          </c:cat>
          <c:val>
            <c:numRef>
              <c:f>'2026'!$B$183:$B$213</c:f>
              <c:numCache>
                <c:formatCode>General</c:formatCode>
                <c:ptCount val="31"/>
              </c:numCache>
            </c:numRef>
          </c:val>
        </c:ser>
        <c:gapWidth val="100"/>
        <c:overlap val="0"/>
        <c:axId val="16936480"/>
        <c:axId val="14994187"/>
      </c:barChart>
      <c:catAx>
        <c:axId val="16936480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4994187"/>
        <c:crosses val="autoZero"/>
        <c:auto val="1"/>
        <c:lblAlgn val="ctr"/>
        <c:lblOffset val="100"/>
        <c:noMultiLvlLbl val="0"/>
      </c:catAx>
      <c:valAx>
        <c:axId val="149941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6936480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'2026'!$A$214:$A$244</c:f>
              <c:strCache>
                <c:ptCount val="31"/>
                <c:pt idx="0">
                  <c:v>08/01/26</c:v>
                </c:pt>
                <c:pt idx="1">
                  <c:v>08/02/26</c:v>
                </c:pt>
                <c:pt idx="2">
                  <c:v>08/03/26</c:v>
                </c:pt>
                <c:pt idx="3">
                  <c:v>08/04/26</c:v>
                </c:pt>
                <c:pt idx="4">
                  <c:v>08/05/26</c:v>
                </c:pt>
                <c:pt idx="5">
                  <c:v>08/06/26</c:v>
                </c:pt>
                <c:pt idx="6">
                  <c:v>08/07/26</c:v>
                </c:pt>
                <c:pt idx="7">
                  <c:v>08/08/26</c:v>
                </c:pt>
                <c:pt idx="8">
                  <c:v>08/09/26</c:v>
                </c:pt>
                <c:pt idx="9">
                  <c:v>08/10/26</c:v>
                </c:pt>
                <c:pt idx="10">
                  <c:v>08/11/26</c:v>
                </c:pt>
                <c:pt idx="11">
                  <c:v>08/12/26</c:v>
                </c:pt>
                <c:pt idx="12">
                  <c:v>08/13/26</c:v>
                </c:pt>
                <c:pt idx="13">
                  <c:v>08/14/26</c:v>
                </c:pt>
                <c:pt idx="14">
                  <c:v>08/15/26</c:v>
                </c:pt>
                <c:pt idx="15">
                  <c:v>08/16/26</c:v>
                </c:pt>
                <c:pt idx="16">
                  <c:v>08/17/26</c:v>
                </c:pt>
                <c:pt idx="17">
                  <c:v>08/18/26</c:v>
                </c:pt>
                <c:pt idx="18">
                  <c:v>08/19/26</c:v>
                </c:pt>
                <c:pt idx="19">
                  <c:v>08/20/26</c:v>
                </c:pt>
                <c:pt idx="20">
                  <c:v>08/21/26</c:v>
                </c:pt>
                <c:pt idx="21">
                  <c:v>08/22/26</c:v>
                </c:pt>
                <c:pt idx="22">
                  <c:v>08/23/26</c:v>
                </c:pt>
                <c:pt idx="23">
                  <c:v>08/24/26</c:v>
                </c:pt>
                <c:pt idx="24">
                  <c:v>08/25/26</c:v>
                </c:pt>
                <c:pt idx="25">
                  <c:v>08/26/26</c:v>
                </c:pt>
                <c:pt idx="26">
                  <c:v>08/27/26</c:v>
                </c:pt>
                <c:pt idx="27">
                  <c:v>08/28/26</c:v>
                </c:pt>
                <c:pt idx="28">
                  <c:v>08/29/26</c:v>
                </c:pt>
                <c:pt idx="29">
                  <c:v>08/30/26</c:v>
                </c:pt>
                <c:pt idx="30">
                  <c:v>08/31/26</c:v>
                </c:pt>
              </c:strCache>
            </c:strRef>
          </c:cat>
          <c:val>
            <c:numRef>
              <c:f>'2026'!$B$214:$B$244</c:f>
              <c:numCache>
                <c:formatCode>General</c:formatCode>
                <c:ptCount val="31"/>
              </c:numCache>
            </c:numRef>
          </c:val>
        </c:ser>
        <c:gapWidth val="100"/>
        <c:overlap val="0"/>
        <c:axId val="57586237"/>
        <c:axId val="56807888"/>
      </c:barChart>
      <c:catAx>
        <c:axId val="57586237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6807888"/>
        <c:crosses val="autoZero"/>
        <c:auto val="1"/>
        <c:lblAlgn val="ctr"/>
        <c:lblOffset val="100"/>
        <c:noMultiLvlLbl val="0"/>
      </c:catAx>
      <c:valAx>
        <c:axId val="5680788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57586237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'2026'!$A$245:$A$274</c:f>
              <c:strCache>
                <c:ptCount val="30"/>
                <c:pt idx="0">
                  <c:v>09/01/26</c:v>
                </c:pt>
                <c:pt idx="1">
                  <c:v>09/02/26</c:v>
                </c:pt>
                <c:pt idx="2">
                  <c:v>09/03/26</c:v>
                </c:pt>
                <c:pt idx="3">
                  <c:v>09/04/26</c:v>
                </c:pt>
                <c:pt idx="4">
                  <c:v>09/05/26</c:v>
                </c:pt>
                <c:pt idx="5">
                  <c:v>09/06/26</c:v>
                </c:pt>
                <c:pt idx="6">
                  <c:v>09/07/26</c:v>
                </c:pt>
                <c:pt idx="7">
                  <c:v>09/08/26</c:v>
                </c:pt>
                <c:pt idx="8">
                  <c:v>09/09/26</c:v>
                </c:pt>
                <c:pt idx="9">
                  <c:v>09/10/26</c:v>
                </c:pt>
                <c:pt idx="10">
                  <c:v>09/11/26</c:v>
                </c:pt>
                <c:pt idx="11">
                  <c:v>09/12/26</c:v>
                </c:pt>
                <c:pt idx="12">
                  <c:v>09/13/26</c:v>
                </c:pt>
                <c:pt idx="13">
                  <c:v>09/14/26</c:v>
                </c:pt>
                <c:pt idx="14">
                  <c:v>09/15/26</c:v>
                </c:pt>
                <c:pt idx="15">
                  <c:v>09/16/26</c:v>
                </c:pt>
                <c:pt idx="16">
                  <c:v>09/17/26</c:v>
                </c:pt>
                <c:pt idx="17">
                  <c:v>09/18/26</c:v>
                </c:pt>
                <c:pt idx="18">
                  <c:v>09/19/26</c:v>
                </c:pt>
                <c:pt idx="19">
                  <c:v>09/20/26</c:v>
                </c:pt>
                <c:pt idx="20">
                  <c:v>09/21/26</c:v>
                </c:pt>
                <c:pt idx="21">
                  <c:v>09/22/26</c:v>
                </c:pt>
                <c:pt idx="22">
                  <c:v>09/23/26</c:v>
                </c:pt>
                <c:pt idx="23">
                  <c:v>09/24/26</c:v>
                </c:pt>
                <c:pt idx="24">
                  <c:v>09/25/26</c:v>
                </c:pt>
                <c:pt idx="25">
                  <c:v>09/26/26</c:v>
                </c:pt>
                <c:pt idx="26">
                  <c:v>09/27/26</c:v>
                </c:pt>
                <c:pt idx="27">
                  <c:v>09/28/26</c:v>
                </c:pt>
                <c:pt idx="28">
                  <c:v>09/29/26</c:v>
                </c:pt>
                <c:pt idx="29">
                  <c:v>09/30/26</c:v>
                </c:pt>
              </c:strCache>
            </c:strRef>
          </c:cat>
          <c:val>
            <c:numRef>
              <c:f>'2026'!$B$245:$B$274</c:f>
              <c:numCache>
                <c:formatCode>General</c:formatCode>
                <c:ptCount val="30"/>
              </c:numCache>
            </c:numRef>
          </c:val>
        </c:ser>
        <c:gapWidth val="100"/>
        <c:overlap val="0"/>
        <c:axId val="72525141"/>
        <c:axId val="39880735"/>
      </c:barChart>
      <c:catAx>
        <c:axId val="72525141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39880735"/>
        <c:crosses val="autoZero"/>
        <c:auto val="1"/>
        <c:lblAlgn val="ctr"/>
        <c:lblOffset val="100"/>
        <c:noMultiLvlLbl val="0"/>
      </c:catAx>
      <c:valAx>
        <c:axId val="3988073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252514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'2026'!$A$275:$A$305</c:f>
              <c:strCache>
                <c:ptCount val="31"/>
                <c:pt idx="0">
                  <c:v>10/01/26</c:v>
                </c:pt>
                <c:pt idx="1">
                  <c:v>10/02/26</c:v>
                </c:pt>
                <c:pt idx="2">
                  <c:v>10/03/26</c:v>
                </c:pt>
                <c:pt idx="3">
                  <c:v>10/04/26</c:v>
                </c:pt>
                <c:pt idx="4">
                  <c:v>10/05/26</c:v>
                </c:pt>
                <c:pt idx="5">
                  <c:v>10/06/26</c:v>
                </c:pt>
                <c:pt idx="6">
                  <c:v>10/07/26</c:v>
                </c:pt>
                <c:pt idx="7">
                  <c:v>10/08/26</c:v>
                </c:pt>
                <c:pt idx="8">
                  <c:v>10/09/26</c:v>
                </c:pt>
                <c:pt idx="9">
                  <c:v>10/10/26</c:v>
                </c:pt>
                <c:pt idx="10">
                  <c:v>10/11/26</c:v>
                </c:pt>
                <c:pt idx="11">
                  <c:v>10/12/26</c:v>
                </c:pt>
                <c:pt idx="12">
                  <c:v>10/13/26</c:v>
                </c:pt>
                <c:pt idx="13">
                  <c:v>10/14/26</c:v>
                </c:pt>
                <c:pt idx="14">
                  <c:v>10/15/26</c:v>
                </c:pt>
                <c:pt idx="15">
                  <c:v>10/16/26</c:v>
                </c:pt>
                <c:pt idx="16">
                  <c:v>10/17/26</c:v>
                </c:pt>
                <c:pt idx="17">
                  <c:v>10/18/26</c:v>
                </c:pt>
                <c:pt idx="18">
                  <c:v>10/19/26</c:v>
                </c:pt>
                <c:pt idx="19">
                  <c:v>10/20/26</c:v>
                </c:pt>
                <c:pt idx="20">
                  <c:v>10/21/26</c:v>
                </c:pt>
                <c:pt idx="21">
                  <c:v>10/22/26</c:v>
                </c:pt>
                <c:pt idx="22">
                  <c:v>10/23/26</c:v>
                </c:pt>
                <c:pt idx="23">
                  <c:v>10/24/26</c:v>
                </c:pt>
                <c:pt idx="24">
                  <c:v>10/25/26</c:v>
                </c:pt>
                <c:pt idx="25">
                  <c:v>10/26/26</c:v>
                </c:pt>
                <c:pt idx="26">
                  <c:v>10/27/26</c:v>
                </c:pt>
                <c:pt idx="27">
                  <c:v>10/28/26</c:v>
                </c:pt>
                <c:pt idx="28">
                  <c:v>10/29/26</c:v>
                </c:pt>
                <c:pt idx="29">
                  <c:v>10/30/26</c:v>
                </c:pt>
                <c:pt idx="30">
                  <c:v>10/31/26</c:v>
                </c:pt>
              </c:strCache>
            </c:strRef>
          </c:cat>
          <c:val>
            <c:numRef>
              <c:f>'2026'!$B$275:$B$305</c:f>
              <c:numCache>
                <c:formatCode>General</c:formatCode>
                <c:ptCount val="31"/>
              </c:numCache>
            </c:numRef>
          </c:val>
        </c:ser>
        <c:gapWidth val="100"/>
        <c:overlap val="0"/>
        <c:axId val="65863351"/>
        <c:axId val="73367603"/>
      </c:barChart>
      <c:catAx>
        <c:axId val="65863351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73367603"/>
        <c:crosses val="autoZero"/>
        <c:auto val="1"/>
        <c:lblAlgn val="ctr"/>
        <c:lblOffset val="100"/>
        <c:noMultiLvlLbl val="0"/>
      </c:catAx>
      <c:valAx>
        <c:axId val="7336760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586335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'2026'!$A$306:$A$335</c:f>
              <c:strCache>
                <c:ptCount val="30"/>
                <c:pt idx="0">
                  <c:v>11/01/26</c:v>
                </c:pt>
                <c:pt idx="1">
                  <c:v>11/02/26</c:v>
                </c:pt>
                <c:pt idx="2">
                  <c:v>11/03/26</c:v>
                </c:pt>
                <c:pt idx="3">
                  <c:v>11/04/26</c:v>
                </c:pt>
                <c:pt idx="4">
                  <c:v>11/05/26</c:v>
                </c:pt>
                <c:pt idx="5">
                  <c:v>11/06/26</c:v>
                </c:pt>
                <c:pt idx="6">
                  <c:v>11/07/26</c:v>
                </c:pt>
                <c:pt idx="7">
                  <c:v>11/08/26</c:v>
                </c:pt>
                <c:pt idx="8">
                  <c:v>11/09/26</c:v>
                </c:pt>
                <c:pt idx="9">
                  <c:v>11/10/26</c:v>
                </c:pt>
                <c:pt idx="10">
                  <c:v>11/11/26</c:v>
                </c:pt>
                <c:pt idx="11">
                  <c:v>11/12/26</c:v>
                </c:pt>
                <c:pt idx="12">
                  <c:v>11/13/26</c:v>
                </c:pt>
                <c:pt idx="13">
                  <c:v>11/14/26</c:v>
                </c:pt>
                <c:pt idx="14">
                  <c:v>11/15/26</c:v>
                </c:pt>
                <c:pt idx="15">
                  <c:v>11/16/26</c:v>
                </c:pt>
                <c:pt idx="16">
                  <c:v>11/17/26</c:v>
                </c:pt>
                <c:pt idx="17">
                  <c:v>11/18/26</c:v>
                </c:pt>
                <c:pt idx="18">
                  <c:v>11/19/26</c:v>
                </c:pt>
                <c:pt idx="19">
                  <c:v>11/20/26</c:v>
                </c:pt>
                <c:pt idx="20">
                  <c:v>11/21/26</c:v>
                </c:pt>
                <c:pt idx="21">
                  <c:v>11/22/26</c:v>
                </c:pt>
                <c:pt idx="22">
                  <c:v>11/23/26</c:v>
                </c:pt>
                <c:pt idx="23">
                  <c:v>11/24/26</c:v>
                </c:pt>
                <c:pt idx="24">
                  <c:v>11/25/26</c:v>
                </c:pt>
                <c:pt idx="25">
                  <c:v>11/26/26</c:v>
                </c:pt>
                <c:pt idx="26">
                  <c:v>11/27/26</c:v>
                </c:pt>
                <c:pt idx="27">
                  <c:v>11/28/26</c:v>
                </c:pt>
                <c:pt idx="28">
                  <c:v>11/29/26</c:v>
                </c:pt>
                <c:pt idx="29">
                  <c:v>11/30/26</c:v>
                </c:pt>
              </c:strCache>
            </c:strRef>
          </c:cat>
          <c:val>
            <c:numRef>
              <c:f>'2026'!$B$306:$B$335</c:f>
              <c:numCache>
                <c:formatCode>General</c:formatCode>
                <c:ptCount val="30"/>
              </c:numCache>
            </c:numRef>
          </c:val>
        </c:ser>
        <c:gapWidth val="100"/>
        <c:overlap val="0"/>
        <c:axId val="1319316"/>
        <c:axId val="91351581"/>
      </c:barChart>
      <c:catAx>
        <c:axId val="1319316"/>
        <c:scaling>
          <c:orientation val="minMax"/>
        </c:scaling>
        <c:delete val="0"/>
        <c:axPos val="b"/>
        <c:numFmt formatCode="mm/dd/yy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91351581"/>
        <c:crosses val="autoZero"/>
        <c:auto val="1"/>
        <c:lblAlgn val="ctr"/>
        <c:lblOffset val="100"/>
        <c:noMultiLvlLbl val="0"/>
      </c:catAx>
      <c:valAx>
        <c:axId val="9135158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131931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'2026'!$B$336:$B$366</c:f>
              <c:numCache>
                <c:formatCode>General</c:formatCode>
                <c:ptCount val="31"/>
              </c:numCache>
            </c:numRef>
          </c:val>
        </c:ser>
        <c:gapWidth val="100"/>
        <c:overlap val="0"/>
        <c:axId val="28386346"/>
        <c:axId val="22733817"/>
      </c:barChart>
      <c:catAx>
        <c:axId val="283863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2733817"/>
        <c:crosses val="autoZero"/>
        <c:auto val="1"/>
        <c:lblAlgn val="ctr"/>
        <c:lblOffset val="100"/>
        <c:noMultiLvlLbl val="0"/>
      </c:catAx>
      <c:valAx>
        <c:axId val="227338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838634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Relationship Id="rId3" Type="http://schemas.openxmlformats.org/officeDocument/2006/relationships/chart" Target="../charts/chart1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5.xml"/><Relationship Id="rId2" Type="http://schemas.openxmlformats.org/officeDocument/2006/relationships/chart" Target="../charts/chart16.xml"/><Relationship Id="rId3" Type="http://schemas.openxmlformats.org/officeDocument/2006/relationships/chart" Target="../charts/chart17.xml"/><Relationship Id="rId4" Type="http://schemas.openxmlformats.org/officeDocument/2006/relationships/chart" Target="../charts/chart18.xml"/><Relationship Id="rId5" Type="http://schemas.openxmlformats.org/officeDocument/2006/relationships/chart" Target="../charts/chart19.xml"/><Relationship Id="rId6" Type="http://schemas.openxmlformats.org/officeDocument/2006/relationships/chart" Target="../charts/chart20.xml"/><Relationship Id="rId7" Type="http://schemas.openxmlformats.org/officeDocument/2006/relationships/chart" Target="../charts/chart21.xml"/><Relationship Id="rId8" Type="http://schemas.openxmlformats.org/officeDocument/2006/relationships/chart" Target="../charts/chart22.xml"/><Relationship Id="rId9" Type="http://schemas.openxmlformats.org/officeDocument/2006/relationships/chart" Target="../charts/chart23.xml"/><Relationship Id="rId10" Type="http://schemas.openxmlformats.org/officeDocument/2006/relationships/chart" Target="../charts/chart24.xml"/><Relationship Id="rId11" Type="http://schemas.openxmlformats.org/officeDocument/2006/relationships/chart" Target="../charts/chart25.xml"/><Relationship Id="rId12" Type="http://schemas.openxmlformats.org/officeDocument/2006/relationships/chart" Target="../charts/chart2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7.xml"/><Relationship Id="rId2" Type="http://schemas.openxmlformats.org/officeDocument/2006/relationships/chart" Target="../charts/chart28.xml"/><Relationship Id="rId3" Type="http://schemas.openxmlformats.org/officeDocument/2006/relationships/chart" Target="../charts/chart29.xml"/><Relationship Id="rId4" Type="http://schemas.openxmlformats.org/officeDocument/2006/relationships/chart" Target="../charts/chart30.xml"/><Relationship Id="rId5" Type="http://schemas.openxmlformats.org/officeDocument/2006/relationships/chart" Target="../charts/chart31.xml"/><Relationship Id="rId6" Type="http://schemas.openxmlformats.org/officeDocument/2006/relationships/chart" Target="../charts/chart32.xml"/><Relationship Id="rId7" Type="http://schemas.openxmlformats.org/officeDocument/2006/relationships/chart" Target="../charts/chart33.xml"/><Relationship Id="rId8" Type="http://schemas.openxmlformats.org/officeDocument/2006/relationships/chart" Target="../charts/chart34.xml"/><Relationship Id="rId9" Type="http://schemas.openxmlformats.org/officeDocument/2006/relationships/chart" Target="../charts/chart35.xml"/><Relationship Id="rId10" Type="http://schemas.openxmlformats.org/officeDocument/2006/relationships/chart" Target="../charts/chart36.xml"/><Relationship Id="rId11" Type="http://schemas.openxmlformats.org/officeDocument/2006/relationships/chart" Target="../charts/chart37.xml"/><Relationship Id="rId12" Type="http://schemas.openxmlformats.org/officeDocument/2006/relationships/chart" Target="../charts/chart38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9.xml"/><Relationship Id="rId2" Type="http://schemas.openxmlformats.org/officeDocument/2006/relationships/chart" Target="../charts/chart40.xml"/><Relationship Id="rId3" Type="http://schemas.openxmlformats.org/officeDocument/2006/relationships/chart" Target="../charts/chart41.xml"/><Relationship Id="rId4" Type="http://schemas.openxmlformats.org/officeDocument/2006/relationships/chart" Target="../charts/chart42.xml"/><Relationship Id="rId5" Type="http://schemas.openxmlformats.org/officeDocument/2006/relationships/chart" Target="../charts/chart43.xml"/><Relationship Id="rId6" Type="http://schemas.openxmlformats.org/officeDocument/2006/relationships/chart" Target="../charts/chart44.xml"/><Relationship Id="rId7" Type="http://schemas.openxmlformats.org/officeDocument/2006/relationships/chart" Target="../charts/chart45.xml"/><Relationship Id="rId8" Type="http://schemas.openxmlformats.org/officeDocument/2006/relationships/chart" Target="../charts/chart46.xml"/><Relationship Id="rId9" Type="http://schemas.openxmlformats.org/officeDocument/2006/relationships/chart" Target="../charts/chart47.xml"/><Relationship Id="rId10" Type="http://schemas.openxmlformats.org/officeDocument/2006/relationships/chart" Target="../charts/chart48.xml"/><Relationship Id="rId11" Type="http://schemas.openxmlformats.org/officeDocument/2006/relationships/chart" Target="../charts/chart49.xml"/><Relationship Id="rId12" Type="http://schemas.openxmlformats.org/officeDocument/2006/relationships/chart" Target="../charts/chart5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9360</xdr:colOff>
      <xdr:row>2</xdr:row>
      <xdr:rowOff>4680</xdr:rowOff>
    </xdr:from>
    <xdr:to>
      <xdr:col>19</xdr:col>
      <xdr:colOff>271800</xdr:colOff>
      <xdr:row>16</xdr:row>
      <xdr:rowOff>38520</xdr:rowOff>
    </xdr:to>
    <xdr:graphicFrame>
      <xdr:nvGraphicFramePr>
        <xdr:cNvPr id="1" name="Chart 1"/>
        <xdr:cNvGraphicFramePr/>
      </xdr:nvGraphicFramePr>
      <xdr:xfrm>
        <a:off x="10842480" y="370440"/>
        <a:ext cx="4476240" cy="259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9360</xdr:colOff>
      <xdr:row>20</xdr:row>
      <xdr:rowOff>4680</xdr:rowOff>
    </xdr:from>
    <xdr:to>
      <xdr:col>27</xdr:col>
      <xdr:colOff>271800</xdr:colOff>
      <xdr:row>34</xdr:row>
      <xdr:rowOff>38520</xdr:rowOff>
    </xdr:to>
    <xdr:graphicFrame>
      <xdr:nvGraphicFramePr>
        <xdr:cNvPr id="2" name="Chart 3"/>
        <xdr:cNvGraphicFramePr/>
      </xdr:nvGraphicFramePr>
      <xdr:xfrm>
        <a:off x="15658200" y="3662280"/>
        <a:ext cx="4476240" cy="259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0</xdr:colOff>
      <xdr:row>20</xdr:row>
      <xdr:rowOff>14400</xdr:rowOff>
    </xdr:from>
    <xdr:to>
      <xdr:col>19</xdr:col>
      <xdr:colOff>262440</xdr:colOff>
      <xdr:row>34</xdr:row>
      <xdr:rowOff>48240</xdr:rowOff>
    </xdr:to>
    <xdr:graphicFrame>
      <xdr:nvGraphicFramePr>
        <xdr:cNvPr id="3" name="Chart 4"/>
        <xdr:cNvGraphicFramePr/>
      </xdr:nvGraphicFramePr>
      <xdr:xfrm>
        <a:off x="10833120" y="3672000"/>
        <a:ext cx="4476240" cy="259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9360</xdr:colOff>
      <xdr:row>51</xdr:row>
      <xdr:rowOff>4680</xdr:rowOff>
    </xdr:from>
    <xdr:to>
      <xdr:col>19</xdr:col>
      <xdr:colOff>271800</xdr:colOff>
      <xdr:row>65</xdr:row>
      <xdr:rowOff>38520</xdr:rowOff>
    </xdr:to>
    <xdr:graphicFrame>
      <xdr:nvGraphicFramePr>
        <xdr:cNvPr id="4" name="Chart 5"/>
        <xdr:cNvGraphicFramePr/>
      </xdr:nvGraphicFramePr>
      <xdr:xfrm>
        <a:off x="10842480" y="9331560"/>
        <a:ext cx="4476240" cy="259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9360</xdr:colOff>
      <xdr:row>51</xdr:row>
      <xdr:rowOff>2880</xdr:rowOff>
    </xdr:from>
    <xdr:to>
      <xdr:col>27</xdr:col>
      <xdr:colOff>271800</xdr:colOff>
      <xdr:row>65</xdr:row>
      <xdr:rowOff>29160</xdr:rowOff>
    </xdr:to>
    <xdr:graphicFrame>
      <xdr:nvGraphicFramePr>
        <xdr:cNvPr id="5" name="Chart 6"/>
        <xdr:cNvGraphicFramePr/>
      </xdr:nvGraphicFramePr>
      <xdr:xfrm>
        <a:off x="15658200" y="9329760"/>
        <a:ext cx="4476240" cy="2586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12</xdr:col>
      <xdr:colOff>9360</xdr:colOff>
      <xdr:row>81</xdr:row>
      <xdr:rowOff>14400</xdr:rowOff>
    </xdr:from>
    <xdr:to>
      <xdr:col>19</xdr:col>
      <xdr:colOff>271800</xdr:colOff>
      <xdr:row>95</xdr:row>
      <xdr:rowOff>48240</xdr:rowOff>
    </xdr:to>
    <xdr:graphicFrame>
      <xdr:nvGraphicFramePr>
        <xdr:cNvPr id="6" name="Chart 7"/>
        <xdr:cNvGraphicFramePr/>
      </xdr:nvGraphicFramePr>
      <xdr:xfrm>
        <a:off x="10842480" y="14827680"/>
        <a:ext cx="4476240" cy="259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20</xdr:col>
      <xdr:colOff>9360</xdr:colOff>
      <xdr:row>81</xdr:row>
      <xdr:rowOff>4680</xdr:rowOff>
    </xdr:from>
    <xdr:to>
      <xdr:col>27</xdr:col>
      <xdr:colOff>271800</xdr:colOff>
      <xdr:row>95</xdr:row>
      <xdr:rowOff>38520</xdr:rowOff>
    </xdr:to>
    <xdr:graphicFrame>
      <xdr:nvGraphicFramePr>
        <xdr:cNvPr id="7" name="Chart 8"/>
        <xdr:cNvGraphicFramePr/>
      </xdr:nvGraphicFramePr>
      <xdr:xfrm>
        <a:off x="15658200" y="14817960"/>
        <a:ext cx="4476240" cy="259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12</xdr:col>
      <xdr:colOff>0</xdr:colOff>
      <xdr:row>112</xdr:row>
      <xdr:rowOff>7560</xdr:rowOff>
    </xdr:from>
    <xdr:to>
      <xdr:col>19</xdr:col>
      <xdr:colOff>262440</xdr:colOff>
      <xdr:row>126</xdr:row>
      <xdr:rowOff>155520</xdr:rowOff>
    </xdr:to>
    <xdr:graphicFrame>
      <xdr:nvGraphicFramePr>
        <xdr:cNvPr id="8" name="Chart 9"/>
        <xdr:cNvGraphicFramePr/>
      </xdr:nvGraphicFramePr>
      <xdr:xfrm>
        <a:off x="10833120" y="20490120"/>
        <a:ext cx="4476240" cy="2708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20</xdr:col>
      <xdr:colOff>0</xdr:colOff>
      <xdr:row>112</xdr:row>
      <xdr:rowOff>15120</xdr:rowOff>
    </xdr:from>
    <xdr:to>
      <xdr:col>27</xdr:col>
      <xdr:colOff>254520</xdr:colOff>
      <xdr:row>126</xdr:row>
      <xdr:rowOff>155520</xdr:rowOff>
    </xdr:to>
    <xdr:graphicFrame>
      <xdr:nvGraphicFramePr>
        <xdr:cNvPr id="9" name="Chart 10"/>
        <xdr:cNvGraphicFramePr/>
      </xdr:nvGraphicFramePr>
      <xdr:xfrm>
        <a:off x="15648840" y="20497680"/>
        <a:ext cx="4468320" cy="270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12</xdr:col>
      <xdr:colOff>15120</xdr:colOff>
      <xdr:row>142</xdr:row>
      <xdr:rowOff>7560</xdr:rowOff>
    </xdr:from>
    <xdr:to>
      <xdr:col>19</xdr:col>
      <xdr:colOff>277560</xdr:colOff>
      <xdr:row>156</xdr:row>
      <xdr:rowOff>147960</xdr:rowOff>
    </xdr:to>
    <xdr:graphicFrame>
      <xdr:nvGraphicFramePr>
        <xdr:cNvPr id="10" name="Chart 2"/>
        <xdr:cNvGraphicFramePr/>
      </xdr:nvGraphicFramePr>
      <xdr:xfrm>
        <a:off x="10848240" y="25976520"/>
        <a:ext cx="4476240" cy="270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20</xdr:col>
      <xdr:colOff>7560</xdr:colOff>
      <xdr:row>141</xdr:row>
      <xdr:rowOff>175320</xdr:rowOff>
    </xdr:from>
    <xdr:to>
      <xdr:col>27</xdr:col>
      <xdr:colOff>270000</xdr:colOff>
      <xdr:row>156</xdr:row>
      <xdr:rowOff>132840</xdr:rowOff>
    </xdr:to>
    <xdr:graphicFrame>
      <xdr:nvGraphicFramePr>
        <xdr:cNvPr id="11" name="Chart 11"/>
        <xdr:cNvGraphicFramePr/>
      </xdr:nvGraphicFramePr>
      <xdr:xfrm>
        <a:off x="15656400" y="25961400"/>
        <a:ext cx="4476240" cy="270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49680</xdr:colOff>
      <xdr:row>296</xdr:row>
      <xdr:rowOff>71280</xdr:rowOff>
    </xdr:from>
    <xdr:to>
      <xdr:col>23</xdr:col>
      <xdr:colOff>3600</xdr:colOff>
      <xdr:row>314</xdr:row>
      <xdr:rowOff>135000</xdr:rowOff>
    </xdr:to>
    <xdr:graphicFrame>
      <xdr:nvGraphicFramePr>
        <xdr:cNvPr id="12" name=""/>
        <xdr:cNvGraphicFramePr/>
      </xdr:nvGraphicFramePr>
      <xdr:xfrm>
        <a:off x="9755640" y="51948360"/>
        <a:ext cx="5130360" cy="321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39600</xdr:colOff>
      <xdr:row>315</xdr:row>
      <xdr:rowOff>3240</xdr:rowOff>
    </xdr:from>
    <xdr:to>
      <xdr:col>22</xdr:col>
      <xdr:colOff>640440</xdr:colOff>
      <xdr:row>333</xdr:row>
      <xdr:rowOff>66960</xdr:rowOff>
    </xdr:to>
    <xdr:graphicFrame>
      <xdr:nvGraphicFramePr>
        <xdr:cNvPr id="13" name=""/>
        <xdr:cNvGraphicFramePr/>
      </xdr:nvGraphicFramePr>
      <xdr:xfrm>
        <a:off x="9745560" y="55210320"/>
        <a:ext cx="5130360" cy="3218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39600</xdr:colOff>
      <xdr:row>335</xdr:row>
      <xdr:rowOff>23400</xdr:rowOff>
    </xdr:from>
    <xdr:to>
      <xdr:col>22</xdr:col>
      <xdr:colOff>640800</xdr:colOff>
      <xdr:row>353</xdr:row>
      <xdr:rowOff>87480</xdr:rowOff>
    </xdr:to>
    <xdr:graphicFrame>
      <xdr:nvGraphicFramePr>
        <xdr:cNvPr id="14" name=""/>
        <xdr:cNvGraphicFramePr/>
      </xdr:nvGraphicFramePr>
      <xdr:xfrm>
        <a:off x="9745560" y="58735440"/>
        <a:ext cx="5130720" cy="3218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15</xdr:col>
      <xdr:colOff>19440</xdr:colOff>
      <xdr:row>1</xdr:row>
      <xdr:rowOff>38880</xdr:rowOff>
    </xdr:from>
    <xdr:to>
      <xdr:col>22</xdr:col>
      <xdr:colOff>76320</xdr:colOff>
      <xdr:row>19</xdr:row>
      <xdr:rowOff>104040</xdr:rowOff>
    </xdr:to>
    <xdr:graphicFrame>
      <xdr:nvGraphicFramePr>
        <xdr:cNvPr id="15" name=""/>
        <xdr:cNvGraphicFramePr/>
      </xdr:nvGraphicFramePr>
      <xdr:xfrm>
        <a:off x="10773000" y="214200"/>
        <a:ext cx="5075280" cy="3219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49320</xdr:colOff>
      <xdr:row>32</xdr:row>
      <xdr:rowOff>48960</xdr:rowOff>
    </xdr:from>
    <xdr:to>
      <xdr:col>22</xdr:col>
      <xdr:colOff>106200</xdr:colOff>
      <xdr:row>50</xdr:row>
      <xdr:rowOff>124200</xdr:rowOff>
    </xdr:to>
    <xdr:graphicFrame>
      <xdr:nvGraphicFramePr>
        <xdr:cNvPr id="16" name=""/>
        <xdr:cNvGraphicFramePr/>
      </xdr:nvGraphicFramePr>
      <xdr:xfrm>
        <a:off x="10802880" y="5657400"/>
        <a:ext cx="507528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39600</xdr:colOff>
      <xdr:row>61</xdr:row>
      <xdr:rowOff>58680</xdr:rowOff>
    </xdr:from>
    <xdr:to>
      <xdr:col>22</xdr:col>
      <xdr:colOff>96840</xdr:colOff>
      <xdr:row>79</xdr:row>
      <xdr:rowOff>134280</xdr:rowOff>
    </xdr:to>
    <xdr:graphicFrame>
      <xdr:nvGraphicFramePr>
        <xdr:cNvPr id="17" name=""/>
        <xdr:cNvGraphicFramePr/>
      </xdr:nvGraphicFramePr>
      <xdr:xfrm>
        <a:off x="10793160" y="10749600"/>
        <a:ext cx="50756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49320</xdr:colOff>
      <xdr:row>92</xdr:row>
      <xdr:rowOff>39960</xdr:rowOff>
    </xdr:from>
    <xdr:to>
      <xdr:col>22</xdr:col>
      <xdr:colOff>106920</xdr:colOff>
      <xdr:row>110</xdr:row>
      <xdr:rowOff>115920</xdr:rowOff>
    </xdr:to>
    <xdr:graphicFrame>
      <xdr:nvGraphicFramePr>
        <xdr:cNvPr id="18" name=""/>
        <xdr:cNvGraphicFramePr/>
      </xdr:nvGraphicFramePr>
      <xdr:xfrm>
        <a:off x="10802880" y="16164000"/>
        <a:ext cx="5076000" cy="323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29520</xdr:colOff>
      <xdr:row>122</xdr:row>
      <xdr:rowOff>48240</xdr:rowOff>
    </xdr:from>
    <xdr:to>
      <xdr:col>22</xdr:col>
      <xdr:colOff>87840</xdr:colOff>
      <xdr:row>140</xdr:row>
      <xdr:rowOff>115200</xdr:rowOff>
    </xdr:to>
    <xdr:graphicFrame>
      <xdr:nvGraphicFramePr>
        <xdr:cNvPr id="19" name=""/>
        <xdr:cNvGraphicFramePr/>
      </xdr:nvGraphicFramePr>
      <xdr:xfrm>
        <a:off x="10783080" y="21430080"/>
        <a:ext cx="5076720" cy="322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15</xdr:col>
      <xdr:colOff>19440</xdr:colOff>
      <xdr:row>153</xdr:row>
      <xdr:rowOff>19080</xdr:rowOff>
    </xdr:from>
    <xdr:to>
      <xdr:col>22</xdr:col>
      <xdr:colOff>78480</xdr:colOff>
      <xdr:row>171</xdr:row>
      <xdr:rowOff>86040</xdr:rowOff>
    </xdr:to>
    <xdr:graphicFrame>
      <xdr:nvGraphicFramePr>
        <xdr:cNvPr id="20" name=""/>
        <xdr:cNvGraphicFramePr/>
      </xdr:nvGraphicFramePr>
      <xdr:xfrm>
        <a:off x="10773000" y="26834040"/>
        <a:ext cx="5077440" cy="322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15</xdr:col>
      <xdr:colOff>39600</xdr:colOff>
      <xdr:row>183</xdr:row>
      <xdr:rowOff>28800</xdr:rowOff>
    </xdr:from>
    <xdr:to>
      <xdr:col>22</xdr:col>
      <xdr:colOff>99360</xdr:colOff>
      <xdr:row>201</xdr:row>
      <xdr:rowOff>96840</xdr:rowOff>
    </xdr:to>
    <xdr:graphicFrame>
      <xdr:nvGraphicFramePr>
        <xdr:cNvPr id="21" name=""/>
        <xdr:cNvGraphicFramePr/>
      </xdr:nvGraphicFramePr>
      <xdr:xfrm>
        <a:off x="10793160" y="32101560"/>
        <a:ext cx="5078160" cy="3222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15</xdr:col>
      <xdr:colOff>19800</xdr:colOff>
      <xdr:row>214</xdr:row>
      <xdr:rowOff>19440</xdr:rowOff>
    </xdr:from>
    <xdr:to>
      <xdr:col>22</xdr:col>
      <xdr:colOff>79920</xdr:colOff>
      <xdr:row>232</xdr:row>
      <xdr:rowOff>88200</xdr:rowOff>
    </xdr:to>
    <xdr:graphicFrame>
      <xdr:nvGraphicFramePr>
        <xdr:cNvPr id="22" name=""/>
        <xdr:cNvGraphicFramePr/>
      </xdr:nvGraphicFramePr>
      <xdr:xfrm>
        <a:off x="10773360" y="37524960"/>
        <a:ext cx="5078520" cy="322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15</xdr:col>
      <xdr:colOff>39600</xdr:colOff>
      <xdr:row>245</xdr:row>
      <xdr:rowOff>19080</xdr:rowOff>
    </xdr:from>
    <xdr:to>
      <xdr:col>22</xdr:col>
      <xdr:colOff>100080</xdr:colOff>
      <xdr:row>263</xdr:row>
      <xdr:rowOff>88200</xdr:rowOff>
    </xdr:to>
    <xdr:graphicFrame>
      <xdr:nvGraphicFramePr>
        <xdr:cNvPr id="23" name=""/>
        <xdr:cNvGraphicFramePr/>
      </xdr:nvGraphicFramePr>
      <xdr:xfrm>
        <a:off x="10793160" y="42957720"/>
        <a:ext cx="5078880" cy="32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15</xdr:col>
      <xdr:colOff>49320</xdr:colOff>
      <xdr:row>275</xdr:row>
      <xdr:rowOff>38880</xdr:rowOff>
    </xdr:from>
    <xdr:to>
      <xdr:col>22</xdr:col>
      <xdr:colOff>110160</xdr:colOff>
      <xdr:row>293</xdr:row>
      <xdr:rowOff>108000</xdr:rowOff>
    </xdr:to>
    <xdr:graphicFrame>
      <xdr:nvGraphicFramePr>
        <xdr:cNvPr id="24" name=""/>
        <xdr:cNvGraphicFramePr/>
      </xdr:nvGraphicFramePr>
      <xdr:xfrm>
        <a:off x="10802880" y="48235320"/>
        <a:ext cx="5079240" cy="32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15</xdr:col>
      <xdr:colOff>19800</xdr:colOff>
      <xdr:row>306</xdr:row>
      <xdr:rowOff>29160</xdr:rowOff>
    </xdr:from>
    <xdr:to>
      <xdr:col>22</xdr:col>
      <xdr:colOff>81000</xdr:colOff>
      <xdr:row>324</xdr:row>
      <xdr:rowOff>98640</xdr:rowOff>
    </xdr:to>
    <xdr:graphicFrame>
      <xdr:nvGraphicFramePr>
        <xdr:cNvPr id="25" name=""/>
        <xdr:cNvGraphicFramePr/>
      </xdr:nvGraphicFramePr>
      <xdr:xfrm>
        <a:off x="10773360" y="53658720"/>
        <a:ext cx="5079600" cy="322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15</xdr:col>
      <xdr:colOff>49320</xdr:colOff>
      <xdr:row>336</xdr:row>
      <xdr:rowOff>48240</xdr:rowOff>
    </xdr:from>
    <xdr:to>
      <xdr:col>22</xdr:col>
      <xdr:colOff>111240</xdr:colOff>
      <xdr:row>354</xdr:row>
      <xdr:rowOff>118800</xdr:rowOff>
    </xdr:to>
    <xdr:graphicFrame>
      <xdr:nvGraphicFramePr>
        <xdr:cNvPr id="26" name=""/>
        <xdr:cNvGraphicFramePr/>
      </xdr:nvGraphicFramePr>
      <xdr:xfrm>
        <a:off x="10802880" y="58935600"/>
        <a:ext cx="5080320" cy="3225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39600</xdr:colOff>
      <xdr:row>1</xdr:row>
      <xdr:rowOff>19440</xdr:rowOff>
    </xdr:from>
    <xdr:to>
      <xdr:col>21</xdr:col>
      <xdr:colOff>101880</xdr:colOff>
      <xdr:row>19</xdr:row>
      <xdr:rowOff>90360</xdr:rowOff>
    </xdr:to>
    <xdr:graphicFrame>
      <xdr:nvGraphicFramePr>
        <xdr:cNvPr id="27" name=""/>
        <xdr:cNvGraphicFramePr/>
      </xdr:nvGraphicFramePr>
      <xdr:xfrm>
        <a:off x="10076400" y="194760"/>
        <a:ext cx="5080680" cy="32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26280</xdr:colOff>
      <xdr:row>31</xdr:row>
      <xdr:rowOff>172440</xdr:rowOff>
    </xdr:from>
    <xdr:to>
      <xdr:col>21</xdr:col>
      <xdr:colOff>89640</xdr:colOff>
      <xdr:row>50</xdr:row>
      <xdr:rowOff>75240</xdr:rowOff>
    </xdr:to>
    <xdr:graphicFrame>
      <xdr:nvGraphicFramePr>
        <xdr:cNvPr id="28" name=""/>
        <xdr:cNvGraphicFramePr/>
      </xdr:nvGraphicFramePr>
      <xdr:xfrm>
        <a:off x="10063080" y="5605560"/>
        <a:ext cx="5081760" cy="323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49320</xdr:colOff>
      <xdr:row>60</xdr:row>
      <xdr:rowOff>29160</xdr:rowOff>
    </xdr:from>
    <xdr:to>
      <xdr:col>21</xdr:col>
      <xdr:colOff>112680</xdr:colOff>
      <xdr:row>78</xdr:row>
      <xdr:rowOff>101160</xdr:rowOff>
    </xdr:to>
    <xdr:graphicFrame>
      <xdr:nvGraphicFramePr>
        <xdr:cNvPr id="29" name=""/>
        <xdr:cNvGraphicFramePr/>
      </xdr:nvGraphicFramePr>
      <xdr:xfrm>
        <a:off x="10086120" y="10544760"/>
        <a:ext cx="5081760" cy="322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39600</xdr:colOff>
      <xdr:row>91</xdr:row>
      <xdr:rowOff>48600</xdr:rowOff>
    </xdr:from>
    <xdr:to>
      <xdr:col>21</xdr:col>
      <xdr:colOff>103680</xdr:colOff>
      <xdr:row>109</xdr:row>
      <xdr:rowOff>120960</xdr:rowOff>
    </xdr:to>
    <xdr:graphicFrame>
      <xdr:nvGraphicFramePr>
        <xdr:cNvPr id="30" name=""/>
        <xdr:cNvGraphicFramePr/>
      </xdr:nvGraphicFramePr>
      <xdr:xfrm>
        <a:off x="10076400" y="15997320"/>
        <a:ext cx="5082480" cy="322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29520</xdr:colOff>
      <xdr:row>121</xdr:row>
      <xdr:rowOff>38880</xdr:rowOff>
    </xdr:from>
    <xdr:to>
      <xdr:col>21</xdr:col>
      <xdr:colOff>93960</xdr:colOff>
      <xdr:row>139</xdr:row>
      <xdr:rowOff>111960</xdr:rowOff>
    </xdr:to>
    <xdr:graphicFrame>
      <xdr:nvGraphicFramePr>
        <xdr:cNvPr id="31" name=""/>
        <xdr:cNvGraphicFramePr/>
      </xdr:nvGraphicFramePr>
      <xdr:xfrm>
        <a:off x="10066320" y="21245400"/>
        <a:ext cx="5082840" cy="322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19800</xdr:colOff>
      <xdr:row>152</xdr:row>
      <xdr:rowOff>48600</xdr:rowOff>
    </xdr:from>
    <xdr:to>
      <xdr:col>21</xdr:col>
      <xdr:colOff>84600</xdr:colOff>
      <xdr:row>170</xdr:row>
      <xdr:rowOff>122040</xdr:rowOff>
    </xdr:to>
    <xdr:graphicFrame>
      <xdr:nvGraphicFramePr>
        <xdr:cNvPr id="32" name=""/>
        <xdr:cNvGraphicFramePr/>
      </xdr:nvGraphicFramePr>
      <xdr:xfrm>
        <a:off x="10056600" y="26688240"/>
        <a:ext cx="5083200" cy="322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23400</xdr:colOff>
      <xdr:row>182</xdr:row>
      <xdr:rowOff>23760</xdr:rowOff>
    </xdr:from>
    <xdr:to>
      <xdr:col>22</xdr:col>
      <xdr:colOff>49320</xdr:colOff>
      <xdr:row>200</xdr:row>
      <xdr:rowOff>99000</xdr:rowOff>
    </xdr:to>
    <xdr:graphicFrame>
      <xdr:nvGraphicFramePr>
        <xdr:cNvPr id="33" name=""/>
        <xdr:cNvGraphicFramePr/>
      </xdr:nvGraphicFramePr>
      <xdr:xfrm>
        <a:off x="10060200" y="31921200"/>
        <a:ext cx="576108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39600</xdr:colOff>
      <xdr:row>213</xdr:row>
      <xdr:rowOff>31320</xdr:rowOff>
    </xdr:from>
    <xdr:to>
      <xdr:col>21</xdr:col>
      <xdr:colOff>95400</xdr:colOff>
      <xdr:row>231</xdr:row>
      <xdr:rowOff>115200</xdr:rowOff>
    </xdr:to>
    <xdr:graphicFrame>
      <xdr:nvGraphicFramePr>
        <xdr:cNvPr id="34" name=""/>
        <xdr:cNvGraphicFramePr/>
      </xdr:nvGraphicFramePr>
      <xdr:xfrm>
        <a:off x="10076400" y="37361880"/>
        <a:ext cx="50742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49320</xdr:colOff>
      <xdr:row>244</xdr:row>
      <xdr:rowOff>58320</xdr:rowOff>
    </xdr:from>
    <xdr:to>
      <xdr:col>21</xdr:col>
      <xdr:colOff>105480</xdr:colOff>
      <xdr:row>262</xdr:row>
      <xdr:rowOff>132840</xdr:rowOff>
    </xdr:to>
    <xdr:graphicFrame>
      <xdr:nvGraphicFramePr>
        <xdr:cNvPr id="35" name=""/>
        <xdr:cNvGraphicFramePr/>
      </xdr:nvGraphicFramePr>
      <xdr:xfrm>
        <a:off x="10086120" y="42821640"/>
        <a:ext cx="5074560" cy="322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14</xdr:col>
      <xdr:colOff>49320</xdr:colOff>
      <xdr:row>274</xdr:row>
      <xdr:rowOff>48600</xdr:rowOff>
    </xdr:from>
    <xdr:to>
      <xdr:col>21</xdr:col>
      <xdr:colOff>105840</xdr:colOff>
      <xdr:row>292</xdr:row>
      <xdr:rowOff>123480</xdr:rowOff>
    </xdr:to>
    <xdr:graphicFrame>
      <xdr:nvGraphicFramePr>
        <xdr:cNvPr id="36" name=""/>
        <xdr:cNvGraphicFramePr/>
      </xdr:nvGraphicFramePr>
      <xdr:xfrm>
        <a:off x="10086120" y="48069720"/>
        <a:ext cx="5074920" cy="32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14</xdr:col>
      <xdr:colOff>29520</xdr:colOff>
      <xdr:row>305</xdr:row>
      <xdr:rowOff>58320</xdr:rowOff>
    </xdr:from>
    <xdr:to>
      <xdr:col>21</xdr:col>
      <xdr:colOff>86760</xdr:colOff>
      <xdr:row>323</xdr:row>
      <xdr:rowOff>133920</xdr:rowOff>
    </xdr:to>
    <xdr:graphicFrame>
      <xdr:nvGraphicFramePr>
        <xdr:cNvPr id="37" name=""/>
        <xdr:cNvGraphicFramePr/>
      </xdr:nvGraphicFramePr>
      <xdr:xfrm>
        <a:off x="10066320" y="53512560"/>
        <a:ext cx="50756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14</xdr:col>
      <xdr:colOff>39600</xdr:colOff>
      <xdr:row>335</xdr:row>
      <xdr:rowOff>39240</xdr:rowOff>
    </xdr:from>
    <xdr:to>
      <xdr:col>21</xdr:col>
      <xdr:colOff>97200</xdr:colOff>
      <xdr:row>353</xdr:row>
      <xdr:rowOff>114840</xdr:rowOff>
    </xdr:to>
    <xdr:graphicFrame>
      <xdr:nvGraphicFramePr>
        <xdr:cNvPr id="38" name=""/>
        <xdr:cNvGraphicFramePr/>
      </xdr:nvGraphicFramePr>
      <xdr:xfrm>
        <a:off x="10076400" y="58751280"/>
        <a:ext cx="507600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39600</xdr:colOff>
      <xdr:row>1</xdr:row>
      <xdr:rowOff>19440</xdr:rowOff>
    </xdr:from>
    <xdr:to>
      <xdr:col>21</xdr:col>
      <xdr:colOff>101880</xdr:colOff>
      <xdr:row>19</xdr:row>
      <xdr:rowOff>90360</xdr:rowOff>
    </xdr:to>
    <xdr:graphicFrame>
      <xdr:nvGraphicFramePr>
        <xdr:cNvPr id="39" name=""/>
        <xdr:cNvGraphicFramePr/>
      </xdr:nvGraphicFramePr>
      <xdr:xfrm>
        <a:off x="10076400" y="194760"/>
        <a:ext cx="5080680" cy="3225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26280</xdr:colOff>
      <xdr:row>31</xdr:row>
      <xdr:rowOff>172440</xdr:rowOff>
    </xdr:from>
    <xdr:to>
      <xdr:col>21</xdr:col>
      <xdr:colOff>89640</xdr:colOff>
      <xdr:row>50</xdr:row>
      <xdr:rowOff>75240</xdr:rowOff>
    </xdr:to>
    <xdr:graphicFrame>
      <xdr:nvGraphicFramePr>
        <xdr:cNvPr id="40" name=""/>
        <xdr:cNvGraphicFramePr/>
      </xdr:nvGraphicFramePr>
      <xdr:xfrm>
        <a:off x="10063080" y="5605560"/>
        <a:ext cx="5081760" cy="323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49320</xdr:colOff>
      <xdr:row>60</xdr:row>
      <xdr:rowOff>29160</xdr:rowOff>
    </xdr:from>
    <xdr:to>
      <xdr:col>21</xdr:col>
      <xdr:colOff>112680</xdr:colOff>
      <xdr:row>78</xdr:row>
      <xdr:rowOff>101160</xdr:rowOff>
    </xdr:to>
    <xdr:graphicFrame>
      <xdr:nvGraphicFramePr>
        <xdr:cNvPr id="41" name=""/>
        <xdr:cNvGraphicFramePr/>
      </xdr:nvGraphicFramePr>
      <xdr:xfrm>
        <a:off x="10086120" y="10544760"/>
        <a:ext cx="5081760" cy="3226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39600</xdr:colOff>
      <xdr:row>91</xdr:row>
      <xdr:rowOff>48600</xdr:rowOff>
    </xdr:from>
    <xdr:to>
      <xdr:col>21</xdr:col>
      <xdr:colOff>103680</xdr:colOff>
      <xdr:row>109</xdr:row>
      <xdr:rowOff>120960</xdr:rowOff>
    </xdr:to>
    <xdr:graphicFrame>
      <xdr:nvGraphicFramePr>
        <xdr:cNvPr id="42" name=""/>
        <xdr:cNvGraphicFramePr/>
      </xdr:nvGraphicFramePr>
      <xdr:xfrm>
        <a:off x="10076400" y="15997320"/>
        <a:ext cx="5082480" cy="3227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29520</xdr:colOff>
      <xdr:row>121</xdr:row>
      <xdr:rowOff>38880</xdr:rowOff>
    </xdr:from>
    <xdr:to>
      <xdr:col>21</xdr:col>
      <xdr:colOff>93960</xdr:colOff>
      <xdr:row>139</xdr:row>
      <xdr:rowOff>111960</xdr:rowOff>
    </xdr:to>
    <xdr:graphicFrame>
      <xdr:nvGraphicFramePr>
        <xdr:cNvPr id="43" name=""/>
        <xdr:cNvGraphicFramePr/>
      </xdr:nvGraphicFramePr>
      <xdr:xfrm>
        <a:off x="10066320" y="21245400"/>
        <a:ext cx="5082840" cy="322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19800</xdr:colOff>
      <xdr:row>152</xdr:row>
      <xdr:rowOff>48600</xdr:rowOff>
    </xdr:from>
    <xdr:to>
      <xdr:col>21</xdr:col>
      <xdr:colOff>84600</xdr:colOff>
      <xdr:row>170</xdr:row>
      <xdr:rowOff>122040</xdr:rowOff>
    </xdr:to>
    <xdr:graphicFrame>
      <xdr:nvGraphicFramePr>
        <xdr:cNvPr id="44" name=""/>
        <xdr:cNvGraphicFramePr/>
      </xdr:nvGraphicFramePr>
      <xdr:xfrm>
        <a:off x="10056600" y="26688240"/>
        <a:ext cx="5083200" cy="322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14</xdr:col>
      <xdr:colOff>23400</xdr:colOff>
      <xdr:row>182</xdr:row>
      <xdr:rowOff>23760</xdr:rowOff>
    </xdr:from>
    <xdr:to>
      <xdr:col>22</xdr:col>
      <xdr:colOff>49320</xdr:colOff>
      <xdr:row>200</xdr:row>
      <xdr:rowOff>99000</xdr:rowOff>
    </xdr:to>
    <xdr:graphicFrame>
      <xdr:nvGraphicFramePr>
        <xdr:cNvPr id="45" name=""/>
        <xdr:cNvGraphicFramePr/>
      </xdr:nvGraphicFramePr>
      <xdr:xfrm>
        <a:off x="10060200" y="31921200"/>
        <a:ext cx="5761080" cy="3229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39600</xdr:colOff>
      <xdr:row>213</xdr:row>
      <xdr:rowOff>31320</xdr:rowOff>
    </xdr:from>
    <xdr:to>
      <xdr:col>21</xdr:col>
      <xdr:colOff>95400</xdr:colOff>
      <xdr:row>231</xdr:row>
      <xdr:rowOff>115200</xdr:rowOff>
    </xdr:to>
    <xdr:graphicFrame>
      <xdr:nvGraphicFramePr>
        <xdr:cNvPr id="46" name=""/>
        <xdr:cNvGraphicFramePr/>
      </xdr:nvGraphicFramePr>
      <xdr:xfrm>
        <a:off x="10076400" y="37361880"/>
        <a:ext cx="5074200" cy="323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49320</xdr:colOff>
      <xdr:row>244</xdr:row>
      <xdr:rowOff>58320</xdr:rowOff>
    </xdr:from>
    <xdr:to>
      <xdr:col>21</xdr:col>
      <xdr:colOff>105480</xdr:colOff>
      <xdr:row>262</xdr:row>
      <xdr:rowOff>132840</xdr:rowOff>
    </xdr:to>
    <xdr:graphicFrame>
      <xdr:nvGraphicFramePr>
        <xdr:cNvPr id="47" name=""/>
        <xdr:cNvGraphicFramePr/>
      </xdr:nvGraphicFramePr>
      <xdr:xfrm>
        <a:off x="10086120" y="42821640"/>
        <a:ext cx="5074560" cy="322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14</xdr:col>
      <xdr:colOff>49320</xdr:colOff>
      <xdr:row>274</xdr:row>
      <xdr:rowOff>48600</xdr:rowOff>
    </xdr:from>
    <xdr:to>
      <xdr:col>21</xdr:col>
      <xdr:colOff>105840</xdr:colOff>
      <xdr:row>292</xdr:row>
      <xdr:rowOff>123480</xdr:rowOff>
    </xdr:to>
    <xdr:graphicFrame>
      <xdr:nvGraphicFramePr>
        <xdr:cNvPr id="48" name=""/>
        <xdr:cNvGraphicFramePr/>
      </xdr:nvGraphicFramePr>
      <xdr:xfrm>
        <a:off x="10086120" y="48069720"/>
        <a:ext cx="5074920" cy="3229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14</xdr:col>
      <xdr:colOff>29520</xdr:colOff>
      <xdr:row>305</xdr:row>
      <xdr:rowOff>58320</xdr:rowOff>
    </xdr:from>
    <xdr:to>
      <xdr:col>21</xdr:col>
      <xdr:colOff>86760</xdr:colOff>
      <xdr:row>323</xdr:row>
      <xdr:rowOff>133920</xdr:rowOff>
    </xdr:to>
    <xdr:graphicFrame>
      <xdr:nvGraphicFramePr>
        <xdr:cNvPr id="49" name=""/>
        <xdr:cNvGraphicFramePr/>
      </xdr:nvGraphicFramePr>
      <xdr:xfrm>
        <a:off x="10066320" y="53512560"/>
        <a:ext cx="507564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14</xdr:col>
      <xdr:colOff>39600</xdr:colOff>
      <xdr:row>335</xdr:row>
      <xdr:rowOff>39240</xdr:rowOff>
    </xdr:from>
    <xdr:to>
      <xdr:col>21</xdr:col>
      <xdr:colOff>97200</xdr:colOff>
      <xdr:row>353</xdr:row>
      <xdr:rowOff>114840</xdr:rowOff>
    </xdr:to>
    <xdr:graphicFrame>
      <xdr:nvGraphicFramePr>
        <xdr:cNvPr id="50" name=""/>
        <xdr:cNvGraphicFramePr/>
      </xdr:nvGraphicFramePr>
      <xdr:xfrm>
        <a:off x="10076400" y="58751280"/>
        <a:ext cx="5076000" cy="3230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D201" headerRowCount="1" totalsRowCount="0" totalsRowShown="0">
  <autoFilter ref="A1:D201"/>
  <tableColumns count="4">
    <tableColumn id="1" name="Number"/>
    <tableColumn id="2" name="Day"/>
    <tableColumn id="3" name="Steps"/>
    <tableColumn id="4" name="Difference"/>
  </tableColumns>
</table>
</file>

<file path=xl/tables/table2.xml><?xml version="1.0" encoding="utf-8"?>
<table xmlns="http://schemas.openxmlformats.org/spreadsheetml/2006/main" id="2" name="Table13" displayName="Table13" ref="A1:J529" headerRowCount="1" totalsRowCount="0" totalsRowShown="0">
  <autoFilter ref="A1:J529"/>
  <tableColumns count="10">
    <tableColumn id="1" name="Number"/>
    <tableColumn id="2" name="Day"/>
    <tableColumn id="3" name="Steps"/>
    <tableColumn id="4" name="Difference"/>
    <tableColumn id="5" name="Colories"/>
    <tableColumn id="6" name="Difference of C"/>
    <tableColumn id="7" name="Distance"/>
    <tableColumn id="8" name="Difference of D"/>
    <tableColumn id="9" name="Time"/>
    <tableColumn id="10" name="Difference of time"/>
  </tableColumns>
</table>
</file>

<file path=xl/tables/table3.xml><?xml version="1.0" encoding="utf-8"?>
<table xmlns="http://schemas.openxmlformats.org/spreadsheetml/2006/main" id="3" name="Table134" displayName="Table134" ref="A1:J529" headerRowCount="1" totalsRowCount="0" totalsRowShown="0">
  <autoFilter ref="A1:J529"/>
  <tableColumns count="10">
    <tableColumn id="1" name="Number"/>
    <tableColumn id="2" name="Day"/>
    <tableColumn id="3" name="Steps"/>
    <tableColumn id="4" name="Difference"/>
    <tableColumn id="5" name="Colories"/>
    <tableColumn id="6" name="Difference of C"/>
    <tableColumn id="7" name="Distance"/>
    <tableColumn id="8" name="Difference of D"/>
    <tableColumn id="9" name="Time"/>
    <tableColumn id="10" name="Difference of ti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3"/>
  <sheetViews>
    <sheetView showFormulas="false" showGridLines="true" showRowColHeaders="true" showZeros="true" rightToLeft="false" tabSelected="false" showOutlineSymbols="true" defaultGridColor="true" view="normal" topLeftCell="A134" colorId="64" zoomScale="110" zoomScaleNormal="110" zoomScalePageLayoutView="100" workbookViewId="0">
      <selection pane="topLeft" activeCell="J163" activeCellId="0" sqref="J163"/>
    </sheetView>
  </sheetViews>
  <sheetFormatPr defaultColWidth="8.54296875" defaultRowHeight="14.4" customHeight="true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11.11"/>
    <col collapsed="false" customWidth="true" hidden="false" outlineLevel="0" max="4" min="4" style="1" width="10.44"/>
    <col collapsed="false" customWidth="true" hidden="false" outlineLevel="0" max="6" min="6" style="1" width="26.89"/>
    <col collapsed="false" customWidth="true" hidden="false" outlineLevel="0" max="7" min="7" style="1" width="13"/>
    <col collapsed="false" customWidth="true" hidden="false" outlineLevel="0" max="10" min="10" style="1" width="23.45"/>
    <col collapsed="false" customWidth="true" hidden="false" outlineLevel="0" max="11" min="11" style="1" width="15.66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4.4" hidden="false" customHeight="false" outlineLevel="0" collapsed="false">
      <c r="A2" s="3" t="n">
        <v>1</v>
      </c>
      <c r="B2" s="4" t="s">
        <v>4</v>
      </c>
      <c r="C2" s="3" t="n">
        <v>91</v>
      </c>
      <c r="D2" s="3"/>
      <c r="F2" s="5" t="s">
        <v>5</v>
      </c>
      <c r="G2" s="5"/>
      <c r="J2" s="5" t="s">
        <v>5</v>
      </c>
      <c r="K2" s="5"/>
    </row>
    <row r="3" customFormat="false" ht="14.4" hidden="false" customHeight="false" outlineLevel="0" collapsed="false">
      <c r="A3" s="3" t="n">
        <v>2</v>
      </c>
      <c r="B3" s="4" t="s">
        <v>6</v>
      </c>
      <c r="C3" s="3" t="n">
        <v>2515</v>
      </c>
      <c r="D3" s="3" t="n">
        <f aca="false">Table1[[#This Row],[Steps]]-C2</f>
        <v>2424</v>
      </c>
      <c r="F3" s="6"/>
      <c r="G3" s="6"/>
      <c r="J3" s="6"/>
      <c r="K3" s="6"/>
    </row>
    <row r="4" customFormat="false" ht="14.4" hidden="false" customHeight="false" outlineLevel="0" collapsed="false">
      <c r="A4" s="3" t="n">
        <v>3</v>
      </c>
      <c r="B4" s="4" t="s">
        <v>7</v>
      </c>
      <c r="C4" s="3" t="n">
        <v>6800</v>
      </c>
      <c r="D4" s="3" t="n">
        <f aca="false">Table1[[#This Row],[Steps]]-C3</f>
        <v>4285</v>
      </c>
      <c r="F4" s="6" t="s">
        <v>8</v>
      </c>
      <c r="G4" s="6" t="n">
        <v>2823.63157894737</v>
      </c>
      <c r="J4" s="6" t="s">
        <v>8</v>
      </c>
      <c r="K4" s="6" t="n">
        <v>2823.63157894737</v>
      </c>
    </row>
    <row r="5" customFormat="false" ht="14.4" hidden="false" customHeight="false" outlineLevel="0" collapsed="false">
      <c r="A5" s="3" t="n">
        <v>4</v>
      </c>
      <c r="B5" s="4" t="s">
        <v>9</v>
      </c>
      <c r="C5" s="3" t="n">
        <v>358</v>
      </c>
      <c r="D5" s="3" t="n">
        <f aca="false">Table1[[#This Row],[Steps]]-C4</f>
        <v>-6442</v>
      </c>
      <c r="F5" s="6" t="s">
        <v>10</v>
      </c>
      <c r="G5" s="6" t="n">
        <v>822.121386615482</v>
      </c>
      <c r="J5" s="6" t="s">
        <v>10</v>
      </c>
      <c r="K5" s="6" t="n">
        <v>822.121386615482</v>
      </c>
    </row>
    <row r="6" customFormat="false" ht="14.4" hidden="false" customHeight="false" outlineLevel="0" collapsed="false">
      <c r="A6" s="3" t="n">
        <v>5</v>
      </c>
      <c r="B6" s="4" t="s">
        <v>11</v>
      </c>
      <c r="C6" s="3" t="n">
        <v>170</v>
      </c>
      <c r="D6" s="3" t="n">
        <f aca="false">Table1[[#This Row],[Steps]]-C5</f>
        <v>-188</v>
      </c>
      <c r="F6" s="6" t="s">
        <v>12</v>
      </c>
      <c r="G6" s="6" t="n">
        <v>1968</v>
      </c>
      <c r="J6" s="6" t="s">
        <v>12</v>
      </c>
      <c r="K6" s="6" t="n">
        <v>1968</v>
      </c>
    </row>
    <row r="7" customFormat="false" ht="14.4" hidden="false" customHeight="false" outlineLevel="0" collapsed="false">
      <c r="A7" s="3" t="n">
        <v>6</v>
      </c>
      <c r="B7" s="4" t="s">
        <v>13</v>
      </c>
      <c r="C7" s="3" t="n">
        <v>193</v>
      </c>
      <c r="D7" s="3" t="n">
        <f aca="false">Table1[[#This Row],[Steps]]-C6</f>
        <v>23</v>
      </c>
      <c r="F7" s="6" t="s">
        <v>14</v>
      </c>
      <c r="G7" s="6" t="e">
        <f aca="false">#N/A</f>
        <v>#N/A</v>
      </c>
      <c r="J7" s="6" t="s">
        <v>14</v>
      </c>
      <c r="K7" s="6" t="e">
        <f aca="false">#N/A</f>
        <v>#N/A</v>
      </c>
    </row>
    <row r="8" customFormat="false" ht="14.4" hidden="false" customHeight="false" outlineLevel="0" collapsed="false">
      <c r="A8" s="3" t="n">
        <v>7</v>
      </c>
      <c r="B8" s="4" t="s">
        <v>15</v>
      </c>
      <c r="C8" s="3" t="n">
        <v>1968</v>
      </c>
      <c r="D8" s="3" t="n">
        <f aca="false">Table1[[#This Row],[Steps]]-C7</f>
        <v>1775</v>
      </c>
      <c r="F8" s="6" t="s">
        <v>16</v>
      </c>
      <c r="G8" s="6" t="n">
        <v>3583.54404358042</v>
      </c>
      <c r="J8" s="6" t="s">
        <v>16</v>
      </c>
      <c r="K8" s="6" t="n">
        <v>3583.54404358042</v>
      </c>
    </row>
    <row r="9" customFormat="false" ht="14.4" hidden="false" customHeight="false" outlineLevel="0" collapsed="false">
      <c r="A9" s="3" t="n">
        <v>8</v>
      </c>
      <c r="B9" s="4" t="s">
        <v>17</v>
      </c>
      <c r="C9" s="3" t="n">
        <v>2709</v>
      </c>
      <c r="D9" s="3" t="n">
        <f aca="false">Table1[[#This Row],[Steps]]-C8</f>
        <v>741</v>
      </c>
      <c r="F9" s="6" t="s">
        <v>18</v>
      </c>
      <c r="G9" s="6" t="n">
        <v>12841787.9122807</v>
      </c>
      <c r="J9" s="6" t="s">
        <v>18</v>
      </c>
      <c r="K9" s="6" t="n">
        <v>12841787.9122807</v>
      </c>
    </row>
    <row r="10" customFormat="false" ht="14.4" hidden="false" customHeight="false" outlineLevel="0" collapsed="false">
      <c r="A10" s="3" t="n">
        <v>9</v>
      </c>
      <c r="B10" s="4" t="s">
        <v>19</v>
      </c>
      <c r="C10" s="3" t="n">
        <v>8200</v>
      </c>
      <c r="D10" s="3" t="n">
        <f aca="false">Table1[[#This Row],[Steps]]-C9</f>
        <v>5491</v>
      </c>
      <c r="F10" s="6" t="s">
        <v>20</v>
      </c>
      <c r="G10" s="6" t="n">
        <v>4.53019719995124</v>
      </c>
      <c r="J10" s="6" t="s">
        <v>20</v>
      </c>
      <c r="K10" s="6" t="n">
        <v>4.53019719995124</v>
      </c>
    </row>
    <row r="11" customFormat="false" ht="14.4" hidden="false" customHeight="false" outlineLevel="0" collapsed="false">
      <c r="A11" s="3" t="n">
        <v>10</v>
      </c>
      <c r="B11" s="4" t="s">
        <v>21</v>
      </c>
      <c r="C11" s="3" t="n">
        <v>2934</v>
      </c>
      <c r="D11" s="3" t="n">
        <f aca="false">Table1[[#This Row],[Steps]]-C10</f>
        <v>-5266</v>
      </c>
      <c r="F11" s="6" t="s">
        <v>22</v>
      </c>
      <c r="G11" s="6" t="n">
        <v>2.03494846553183</v>
      </c>
      <c r="J11" s="6" t="s">
        <v>22</v>
      </c>
      <c r="K11" s="6" t="n">
        <v>2.03494846553183</v>
      </c>
    </row>
    <row r="12" customFormat="false" ht="14.4" hidden="false" customHeight="false" outlineLevel="0" collapsed="false">
      <c r="A12" s="3" t="n">
        <v>11</v>
      </c>
      <c r="B12" s="4" t="s">
        <v>23</v>
      </c>
      <c r="C12" s="3" t="n">
        <v>1773</v>
      </c>
      <c r="D12" s="3" t="n">
        <f aca="false">Table1[[#This Row],[Steps]]-C11</f>
        <v>-1161</v>
      </c>
      <c r="F12" s="6" t="s">
        <v>24</v>
      </c>
      <c r="G12" s="6" t="n">
        <v>13935</v>
      </c>
      <c r="J12" s="6" t="s">
        <v>24</v>
      </c>
      <c r="K12" s="6" t="n">
        <v>13935</v>
      </c>
    </row>
    <row r="13" customFormat="false" ht="14.4" hidden="false" customHeight="false" outlineLevel="0" collapsed="false">
      <c r="A13" s="3" t="n">
        <v>12</v>
      </c>
      <c r="B13" s="4" t="s">
        <v>25</v>
      </c>
      <c r="C13" s="3" t="n">
        <v>530</v>
      </c>
      <c r="D13" s="3" t="n">
        <f aca="false">Table1[[#This Row],[Steps]]-C12</f>
        <v>-1243</v>
      </c>
      <c r="F13" s="6" t="s">
        <v>26</v>
      </c>
      <c r="G13" s="6" t="n">
        <v>91</v>
      </c>
      <c r="J13" s="6" t="s">
        <v>26</v>
      </c>
      <c r="K13" s="6" t="n">
        <v>91</v>
      </c>
    </row>
    <row r="14" customFormat="false" ht="14.4" hidden="false" customHeight="false" outlineLevel="0" collapsed="false">
      <c r="A14" s="3" t="n">
        <v>13</v>
      </c>
      <c r="B14" s="4" t="s">
        <v>27</v>
      </c>
      <c r="C14" s="3" t="n">
        <v>2967</v>
      </c>
      <c r="D14" s="3" t="n">
        <f aca="false">Table1[[#This Row],[Steps]]-C13</f>
        <v>2437</v>
      </c>
      <c r="F14" s="6" t="s">
        <v>28</v>
      </c>
      <c r="G14" s="6" t="n">
        <v>14026</v>
      </c>
      <c r="J14" s="6" t="s">
        <v>28</v>
      </c>
      <c r="K14" s="6" t="n">
        <v>14026</v>
      </c>
    </row>
    <row r="15" customFormat="false" ht="14.4" hidden="false" customHeight="false" outlineLevel="0" collapsed="false">
      <c r="A15" s="3" t="n">
        <v>14</v>
      </c>
      <c r="B15" s="4" t="s">
        <v>29</v>
      </c>
      <c r="C15" s="3" t="n">
        <v>1989</v>
      </c>
      <c r="D15" s="3" t="n">
        <f aca="false">Table1[[#This Row],[Steps]]-C14</f>
        <v>-978</v>
      </c>
      <c r="F15" s="6" t="s">
        <v>30</v>
      </c>
      <c r="G15" s="6" t="n">
        <v>53649</v>
      </c>
      <c r="J15" s="6" t="s">
        <v>30</v>
      </c>
      <c r="K15" s="6" t="n">
        <v>53649</v>
      </c>
    </row>
    <row r="16" customFormat="false" ht="14.4" hidden="false" customHeight="false" outlineLevel="0" collapsed="false">
      <c r="A16" s="3" t="n">
        <v>15</v>
      </c>
      <c r="B16" s="4" t="s">
        <v>31</v>
      </c>
      <c r="C16" s="3" t="n">
        <v>522</v>
      </c>
      <c r="D16" s="3" t="n">
        <f aca="false">Table1[[#This Row],[Steps]]-C15</f>
        <v>-1467</v>
      </c>
      <c r="F16" s="6" t="s">
        <v>32</v>
      </c>
      <c r="G16" s="6" t="n">
        <v>19</v>
      </c>
      <c r="J16" s="6" t="s">
        <v>32</v>
      </c>
      <c r="K16" s="6" t="n">
        <v>19</v>
      </c>
    </row>
    <row r="17" customFormat="false" ht="14.4" hidden="false" customHeight="false" outlineLevel="0" collapsed="false">
      <c r="A17" s="3" t="n">
        <v>16</v>
      </c>
      <c r="B17" s="4" t="s">
        <v>33</v>
      </c>
      <c r="C17" s="3" t="n">
        <v>14026</v>
      </c>
      <c r="D17" s="3" t="n">
        <f aca="false">Table1[[#This Row],[Steps]]-C16</f>
        <v>13504</v>
      </c>
      <c r="F17" s="6" t="s">
        <v>34</v>
      </c>
      <c r="G17" s="6" t="n">
        <v>14026</v>
      </c>
      <c r="J17" s="6" t="s">
        <v>34</v>
      </c>
      <c r="K17" s="6" t="n">
        <v>14026</v>
      </c>
    </row>
    <row r="18" customFormat="false" ht="14.4" hidden="false" customHeight="false" outlineLevel="0" collapsed="false">
      <c r="A18" s="3" t="n">
        <v>17</v>
      </c>
      <c r="B18" s="4" t="s">
        <v>35</v>
      </c>
      <c r="C18" s="3" t="n">
        <v>179</v>
      </c>
      <c r="D18" s="3" t="n">
        <f aca="false">Table1[[#This Row],[Steps]]-C17</f>
        <v>-13847</v>
      </c>
      <c r="F18" s="6" t="s">
        <v>36</v>
      </c>
      <c r="G18" s="6" t="n">
        <v>91</v>
      </c>
      <c r="J18" s="6" t="s">
        <v>36</v>
      </c>
      <c r="K18" s="6" t="n">
        <v>91</v>
      </c>
    </row>
    <row r="19" customFormat="false" ht="14.4" hidden="false" customHeight="false" outlineLevel="0" collapsed="false">
      <c r="A19" s="3" t="n">
        <v>18</v>
      </c>
      <c r="B19" s="4" t="s">
        <v>37</v>
      </c>
      <c r="C19" s="3" t="n">
        <v>293</v>
      </c>
      <c r="D19" s="3" t="n">
        <f aca="false">Table1[[#This Row],[Steps]]-C18</f>
        <v>114</v>
      </c>
      <c r="F19" s="6" t="s">
        <v>38</v>
      </c>
      <c r="G19" s="6" t="n">
        <v>1727.21294089399</v>
      </c>
      <c r="J19" s="6" t="s">
        <v>38</v>
      </c>
      <c r="K19" s="6" t="n">
        <v>1727.21294089399</v>
      </c>
    </row>
    <row r="20" customFormat="false" ht="14.4" hidden="false" customHeight="false" outlineLevel="0" collapsed="false">
      <c r="A20" s="3" t="n">
        <v>19</v>
      </c>
      <c r="B20" s="4" t="s">
        <v>39</v>
      </c>
      <c r="C20" s="3" t="n">
        <v>5432</v>
      </c>
      <c r="D20" s="3" t="n">
        <f aca="false">Table1[[#This Row],[Steps]]-C19</f>
        <v>5139</v>
      </c>
    </row>
    <row r="21" customFormat="false" ht="14.4" hidden="false" customHeight="false" outlineLevel="0" collapsed="false">
      <c r="A21" s="7" t="n">
        <v>1</v>
      </c>
      <c r="B21" s="8" t="s">
        <v>40</v>
      </c>
      <c r="C21" s="7" t="n">
        <v>2696</v>
      </c>
      <c r="D21" s="7" t="n">
        <f aca="false">Table1[[#This Row],[Steps]]-C20</f>
        <v>-2736</v>
      </c>
      <c r="F21" s="5" t="s">
        <v>41</v>
      </c>
      <c r="G21" s="5"/>
      <c r="J21" s="5" t="s">
        <v>42</v>
      </c>
      <c r="K21" s="5"/>
    </row>
    <row r="22" customFormat="false" ht="14.4" hidden="false" customHeight="false" outlineLevel="0" collapsed="false">
      <c r="A22" s="7" t="n">
        <v>2</v>
      </c>
      <c r="B22" s="8" t="s">
        <v>43</v>
      </c>
      <c r="C22" s="7" t="n">
        <v>1796</v>
      </c>
      <c r="D22" s="7" t="n">
        <f aca="false">Table1[[#This Row],[Steps]]-C21</f>
        <v>-900</v>
      </c>
      <c r="F22" s="6"/>
      <c r="G22" s="6"/>
      <c r="J22" s="6"/>
      <c r="K22" s="6"/>
    </row>
    <row r="23" customFormat="false" ht="14.4" hidden="false" customHeight="false" outlineLevel="0" collapsed="false">
      <c r="A23" s="7" t="n">
        <v>3</v>
      </c>
      <c r="B23" s="8" t="s">
        <v>44</v>
      </c>
      <c r="C23" s="7" t="n">
        <v>575</v>
      </c>
      <c r="D23" s="7" t="n">
        <f aca="false">Table1[[#This Row],[Steps]]-C22</f>
        <v>-1221</v>
      </c>
      <c r="F23" s="6" t="s">
        <v>8</v>
      </c>
      <c r="G23" s="6" t="n">
        <v>3571.58064516129</v>
      </c>
      <c r="J23" s="6" t="s">
        <v>8</v>
      </c>
      <c r="K23" s="6" t="n">
        <v>3287.36</v>
      </c>
    </row>
    <row r="24" customFormat="false" ht="14.4" hidden="false" customHeight="false" outlineLevel="0" collapsed="false">
      <c r="A24" s="7" t="n">
        <v>4</v>
      </c>
      <c r="B24" s="8" t="s">
        <v>45</v>
      </c>
      <c r="C24" s="7" t="n">
        <v>294</v>
      </c>
      <c r="D24" s="7" t="n">
        <f aca="false">Table1[[#This Row],[Steps]]-C23</f>
        <v>-281</v>
      </c>
      <c r="F24" s="6" t="s">
        <v>10</v>
      </c>
      <c r="G24" s="6" t="n">
        <v>970.174438116471</v>
      </c>
      <c r="J24" s="6" t="s">
        <v>10</v>
      </c>
      <c r="K24" s="6" t="n">
        <v>674.035665355646</v>
      </c>
    </row>
    <row r="25" customFormat="false" ht="14.4" hidden="false" customHeight="false" outlineLevel="0" collapsed="false">
      <c r="A25" s="7" t="n">
        <v>5</v>
      </c>
      <c r="B25" s="8" t="s">
        <v>46</v>
      </c>
      <c r="C25" s="7" t="n">
        <v>12975</v>
      </c>
      <c r="D25" s="7" t="n">
        <f aca="false">Table1[[#This Row],[Steps]]-C24</f>
        <v>12681</v>
      </c>
      <c r="F25" s="6" t="s">
        <v>12</v>
      </c>
      <c r="G25" s="6" t="n">
        <v>1475</v>
      </c>
      <c r="J25" s="6" t="s">
        <v>12</v>
      </c>
      <c r="K25" s="6" t="n">
        <v>1784.5</v>
      </c>
    </row>
    <row r="26" customFormat="false" ht="14.4" hidden="false" customHeight="false" outlineLevel="0" collapsed="false">
      <c r="A26" s="7" t="n">
        <v>6</v>
      </c>
      <c r="B26" s="8" t="s">
        <v>47</v>
      </c>
      <c r="C26" s="7" t="n">
        <v>2238</v>
      </c>
      <c r="D26" s="7" t="n">
        <f aca="false">Table1[[#This Row],[Steps]]-C25</f>
        <v>-10737</v>
      </c>
      <c r="F26" s="6" t="s">
        <v>14</v>
      </c>
      <c r="G26" s="6" t="n">
        <v>0</v>
      </c>
      <c r="J26" s="6" t="s">
        <v>14</v>
      </c>
      <c r="K26" s="6" t="n">
        <v>0</v>
      </c>
    </row>
    <row r="27" customFormat="false" ht="14.4" hidden="false" customHeight="false" outlineLevel="0" collapsed="false">
      <c r="A27" s="7" t="n">
        <v>7</v>
      </c>
      <c r="B27" s="8" t="s">
        <v>48</v>
      </c>
      <c r="C27" s="7" t="n">
        <v>6760</v>
      </c>
      <c r="D27" s="7" t="n">
        <f aca="false">Table1[[#This Row],[Steps]]-C26</f>
        <v>4522</v>
      </c>
      <c r="F27" s="6" t="s">
        <v>16</v>
      </c>
      <c r="G27" s="6" t="n">
        <v>5401.70266227353</v>
      </c>
      <c r="J27" s="6" t="s">
        <v>16</v>
      </c>
      <c r="K27" s="6" t="n">
        <v>4766.15189734564</v>
      </c>
    </row>
    <row r="28" customFormat="false" ht="14.4" hidden="false" customHeight="false" outlineLevel="0" collapsed="false">
      <c r="A28" s="7" t="n">
        <v>8</v>
      </c>
      <c r="B28" s="8" t="s">
        <v>49</v>
      </c>
      <c r="C28" s="7" t="n">
        <v>21</v>
      </c>
      <c r="D28" s="7" t="n">
        <f aca="false">Table1[[#This Row],[Steps]]-C27</f>
        <v>-6739</v>
      </c>
      <c r="F28" s="6" t="s">
        <v>18</v>
      </c>
      <c r="G28" s="6" t="n">
        <v>29178391.6516129</v>
      </c>
      <c r="J28" s="6" t="s">
        <v>18</v>
      </c>
      <c r="K28" s="6" t="n">
        <v>22716203.9085714</v>
      </c>
    </row>
    <row r="29" customFormat="false" ht="14.4" hidden="false" customHeight="false" outlineLevel="0" collapsed="false">
      <c r="A29" s="7" t="n">
        <v>9</v>
      </c>
      <c r="B29" s="8" t="s">
        <v>50</v>
      </c>
      <c r="C29" s="7" t="n">
        <v>0</v>
      </c>
      <c r="D29" s="7" t="n">
        <f aca="false">Table1[[#This Row],[Steps]]-C28</f>
        <v>-21</v>
      </c>
      <c r="F29" s="6" t="s">
        <v>20</v>
      </c>
      <c r="G29" s="6" t="n">
        <v>9.12266669698528</v>
      </c>
      <c r="J29" s="6" t="s">
        <v>20</v>
      </c>
      <c r="K29" s="6" t="n">
        <v>9.73170783481309</v>
      </c>
    </row>
    <row r="30" customFormat="false" ht="14.4" hidden="false" customHeight="false" outlineLevel="0" collapsed="false">
      <c r="A30" s="7" t="n">
        <v>10</v>
      </c>
      <c r="B30" s="8" t="s">
        <v>51</v>
      </c>
      <c r="C30" s="7" t="n">
        <v>1475</v>
      </c>
      <c r="D30" s="7" t="n">
        <f aca="false">Table1[[#This Row],[Steps]]-C29</f>
        <v>1475</v>
      </c>
      <c r="F30" s="6" t="s">
        <v>22</v>
      </c>
      <c r="G30" s="6" t="n">
        <v>2.73099862232635</v>
      </c>
      <c r="J30" s="6" t="s">
        <v>22</v>
      </c>
      <c r="K30" s="6" t="n">
        <v>2.75123214830592</v>
      </c>
    </row>
    <row r="31" customFormat="false" ht="14.4" hidden="false" customHeight="false" outlineLevel="0" collapsed="false">
      <c r="A31" s="7" t="n">
        <v>11</v>
      </c>
      <c r="B31" s="8" t="s">
        <v>52</v>
      </c>
      <c r="C31" s="7" t="n">
        <v>0</v>
      </c>
      <c r="D31" s="7" t="n">
        <f aca="false">Table1[[#This Row],[Steps]]-C30</f>
        <v>-1475</v>
      </c>
      <c r="F31" s="6" t="s">
        <v>24</v>
      </c>
      <c r="G31" s="6" t="n">
        <v>25825</v>
      </c>
      <c r="J31" s="6" t="s">
        <v>24</v>
      </c>
      <c r="K31" s="6" t="n">
        <v>25825</v>
      </c>
    </row>
    <row r="32" customFormat="false" ht="14.4" hidden="false" customHeight="false" outlineLevel="0" collapsed="false">
      <c r="A32" s="7" t="n">
        <v>12</v>
      </c>
      <c r="B32" s="8" t="s">
        <v>53</v>
      </c>
      <c r="C32" s="7" t="n">
        <v>0</v>
      </c>
      <c r="D32" s="7" t="n">
        <f aca="false">Table1[[#This Row],[Steps]]-C31</f>
        <v>0</v>
      </c>
      <c r="F32" s="6" t="s">
        <v>26</v>
      </c>
      <c r="G32" s="6" t="n">
        <v>0</v>
      </c>
      <c r="J32" s="6" t="s">
        <v>26</v>
      </c>
      <c r="K32" s="6" t="n">
        <v>0</v>
      </c>
    </row>
    <row r="33" customFormat="false" ht="14.4" hidden="false" customHeight="false" outlineLevel="0" collapsed="false">
      <c r="A33" s="7" t="n">
        <v>13</v>
      </c>
      <c r="B33" s="8" t="s">
        <v>54</v>
      </c>
      <c r="C33" s="7" t="n">
        <v>680</v>
      </c>
      <c r="D33" s="7" t="n">
        <f aca="false">Table1[[#This Row],[Steps]]-C32</f>
        <v>680</v>
      </c>
      <c r="F33" s="6" t="s">
        <v>28</v>
      </c>
      <c r="G33" s="6" t="n">
        <v>25825</v>
      </c>
      <c r="J33" s="6" t="s">
        <v>28</v>
      </c>
      <c r="K33" s="6" t="n">
        <v>25825</v>
      </c>
    </row>
    <row r="34" customFormat="false" ht="14.4" hidden="false" customHeight="false" outlineLevel="0" collapsed="false">
      <c r="A34" s="7" t="n">
        <v>14</v>
      </c>
      <c r="B34" s="8" t="s">
        <v>55</v>
      </c>
      <c r="C34" s="7" t="n">
        <v>3763</v>
      </c>
      <c r="D34" s="7" t="n">
        <f aca="false">Table1[[#This Row],[Steps]]-C33</f>
        <v>3083</v>
      </c>
      <c r="F34" s="6" t="s">
        <v>30</v>
      </c>
      <c r="G34" s="6" t="n">
        <v>110719</v>
      </c>
      <c r="J34" s="6" t="s">
        <v>30</v>
      </c>
      <c r="K34" s="6" t="n">
        <v>164368</v>
      </c>
    </row>
    <row r="35" customFormat="false" ht="14.4" hidden="false" customHeight="false" outlineLevel="0" collapsed="false">
      <c r="A35" s="7" t="n">
        <v>15</v>
      </c>
      <c r="B35" s="8" t="s">
        <v>56</v>
      </c>
      <c r="C35" s="7" t="n">
        <v>25825</v>
      </c>
      <c r="D35" s="7" t="n">
        <f aca="false">Table1[[#This Row],[Steps]]-C34</f>
        <v>22062</v>
      </c>
      <c r="F35" s="6" t="s">
        <v>32</v>
      </c>
      <c r="G35" s="6" t="n">
        <v>31</v>
      </c>
      <c r="J35" s="6" t="s">
        <v>32</v>
      </c>
      <c r="K35" s="6" t="n">
        <v>50</v>
      </c>
    </row>
    <row r="36" customFormat="false" ht="14.4" hidden="false" customHeight="false" outlineLevel="0" collapsed="false">
      <c r="A36" s="7" t="n">
        <v>16</v>
      </c>
      <c r="B36" s="8" t="s">
        <v>57</v>
      </c>
      <c r="C36" s="7" t="n">
        <v>5157</v>
      </c>
      <c r="D36" s="7" t="n">
        <f aca="false">Table1[[#This Row],[Steps]]-C35</f>
        <v>-20668</v>
      </c>
      <c r="F36" s="6" t="s">
        <v>34</v>
      </c>
      <c r="G36" s="6" t="n">
        <v>25825</v>
      </c>
      <c r="J36" s="6" t="s">
        <v>34</v>
      </c>
      <c r="K36" s="6" t="n">
        <v>25825</v>
      </c>
    </row>
    <row r="37" customFormat="false" ht="14.4" hidden="false" customHeight="false" outlineLevel="0" collapsed="false">
      <c r="A37" s="7" t="n">
        <v>17</v>
      </c>
      <c r="B37" s="8" t="s">
        <v>58</v>
      </c>
      <c r="C37" s="7" t="n">
        <v>285</v>
      </c>
      <c r="D37" s="7" t="n">
        <f aca="false">Table1[[#This Row],[Steps]]-C36</f>
        <v>-4872</v>
      </c>
      <c r="F37" s="6" t="s">
        <v>36</v>
      </c>
      <c r="G37" s="6" t="n">
        <v>0</v>
      </c>
      <c r="J37" s="6" t="s">
        <v>36</v>
      </c>
      <c r="K37" s="6" t="n">
        <v>0</v>
      </c>
    </row>
    <row r="38" customFormat="false" ht="14.4" hidden="false" customHeight="false" outlineLevel="0" collapsed="false">
      <c r="A38" s="7" t="n">
        <v>18</v>
      </c>
      <c r="B38" s="8" t="s">
        <v>59</v>
      </c>
      <c r="C38" s="7" t="n">
        <v>897</v>
      </c>
      <c r="D38" s="7" t="n">
        <f aca="false">Table1[[#This Row],[Steps]]-C37</f>
        <v>612</v>
      </c>
      <c r="F38" s="6" t="s">
        <v>38</v>
      </c>
      <c r="G38" s="6" t="n">
        <v>1981.3605327728</v>
      </c>
      <c r="J38" s="6" t="s">
        <v>38</v>
      </c>
      <c r="K38" s="6" t="n">
        <v>1354.52538204064</v>
      </c>
    </row>
    <row r="39" customFormat="false" ht="14.4" hidden="false" customHeight="false" outlineLevel="0" collapsed="false">
      <c r="A39" s="7" t="n">
        <v>19</v>
      </c>
      <c r="B39" s="8" t="s">
        <v>60</v>
      </c>
      <c r="C39" s="7" t="n">
        <v>59</v>
      </c>
      <c r="D39" s="7" t="n">
        <f aca="false">Table1[[#This Row],[Steps]]-C38</f>
        <v>-838</v>
      </c>
    </row>
    <row r="40" customFormat="false" ht="14.4" hidden="false" customHeight="false" outlineLevel="0" collapsed="false">
      <c r="A40" s="7" t="n">
        <v>20</v>
      </c>
      <c r="B40" s="8" t="s">
        <v>61</v>
      </c>
      <c r="C40" s="7" t="n">
        <v>0</v>
      </c>
      <c r="D40" s="7" t="n">
        <f aca="false">Table1[[#This Row],[Steps]]-C39</f>
        <v>-59</v>
      </c>
    </row>
    <row r="41" customFormat="false" ht="14.4" hidden="false" customHeight="false" outlineLevel="0" collapsed="false">
      <c r="A41" s="7" t="n">
        <v>21</v>
      </c>
      <c r="B41" s="8" t="s">
        <v>62</v>
      </c>
      <c r="C41" s="7" t="n">
        <v>1003</v>
      </c>
      <c r="D41" s="7" t="n">
        <f aca="false">Table1[[#This Row],[Steps]]-C40</f>
        <v>1003</v>
      </c>
    </row>
    <row r="42" customFormat="false" ht="14.4" hidden="false" customHeight="false" outlineLevel="0" collapsed="false">
      <c r="A42" s="7" t="n">
        <v>22</v>
      </c>
      <c r="B42" s="8" t="s">
        <v>63</v>
      </c>
      <c r="C42" s="7" t="n">
        <v>1438</v>
      </c>
      <c r="D42" s="7" t="n">
        <f aca="false">Table1[[#This Row],[Steps]]-C41</f>
        <v>435</v>
      </c>
    </row>
    <row r="43" customFormat="false" ht="14.4" hidden="false" customHeight="false" outlineLevel="0" collapsed="false">
      <c r="A43" s="7" t="n">
        <v>23</v>
      </c>
      <c r="B43" s="8" t="s">
        <v>64</v>
      </c>
      <c r="C43" s="7" t="n">
        <v>6621</v>
      </c>
      <c r="D43" s="7" t="n">
        <f aca="false">Table1[[#This Row],[Steps]]-C42</f>
        <v>5183</v>
      </c>
    </row>
    <row r="44" customFormat="false" ht="14.4" hidden="false" customHeight="false" outlineLevel="0" collapsed="false">
      <c r="A44" s="7" t="n">
        <v>24</v>
      </c>
      <c r="B44" s="8" t="s">
        <v>65</v>
      </c>
      <c r="C44" s="7" t="n">
        <v>5146</v>
      </c>
      <c r="D44" s="7" t="n">
        <f aca="false">Table1[[#This Row],[Steps]]-C43</f>
        <v>-1475</v>
      </c>
    </row>
    <row r="45" customFormat="false" ht="14.4" hidden="false" customHeight="false" outlineLevel="0" collapsed="false">
      <c r="A45" s="7" t="n">
        <v>25</v>
      </c>
      <c r="B45" s="8" t="s">
        <v>66</v>
      </c>
      <c r="C45" s="7" t="n">
        <v>11459</v>
      </c>
      <c r="D45" s="7" t="n">
        <f aca="false">Table1[[#This Row],[Steps]]-C44</f>
        <v>6313</v>
      </c>
    </row>
    <row r="46" customFormat="false" ht="14.4" hidden="false" customHeight="false" outlineLevel="0" collapsed="false">
      <c r="A46" s="7" t="n">
        <v>26</v>
      </c>
      <c r="B46" s="8" t="s">
        <v>67</v>
      </c>
      <c r="C46" s="7" t="n">
        <v>3374</v>
      </c>
      <c r="D46" s="7" t="n">
        <f aca="false">Table1[[#This Row],[Steps]]-C45</f>
        <v>-8085</v>
      </c>
    </row>
    <row r="47" customFormat="false" ht="14.4" hidden="false" customHeight="false" outlineLevel="0" collapsed="false">
      <c r="A47" s="7" t="n">
        <v>27</v>
      </c>
      <c r="B47" s="8" t="s">
        <v>68</v>
      </c>
      <c r="C47" s="7" t="n">
        <v>0</v>
      </c>
      <c r="D47" s="7" t="n">
        <f aca="false">Table1[[#This Row],[Steps]]-C46</f>
        <v>-3374</v>
      </c>
    </row>
    <row r="48" customFormat="false" ht="14.4" hidden="false" customHeight="false" outlineLevel="0" collapsed="false">
      <c r="A48" s="7" t="n">
        <v>28</v>
      </c>
      <c r="B48" s="8" t="s">
        <v>69</v>
      </c>
      <c r="C48" s="7" t="n">
        <v>9572</v>
      </c>
      <c r="D48" s="7" t="n">
        <f aca="false">Table1[[#This Row],[Steps]]-C47</f>
        <v>9572</v>
      </c>
    </row>
    <row r="49" customFormat="false" ht="14.4" hidden="false" customHeight="false" outlineLevel="0" collapsed="false">
      <c r="A49" s="7" t="n">
        <v>29</v>
      </c>
      <c r="B49" s="8" t="s">
        <v>70</v>
      </c>
      <c r="C49" s="7" t="n">
        <v>3135</v>
      </c>
      <c r="D49" s="7" t="n">
        <f aca="false">Table1[[#This Row],[Steps]]-C48</f>
        <v>-6437</v>
      </c>
    </row>
    <row r="50" customFormat="false" ht="14.4" hidden="false" customHeight="false" outlineLevel="0" collapsed="false">
      <c r="A50" s="7" t="n">
        <v>30</v>
      </c>
      <c r="B50" s="8" t="s">
        <v>71</v>
      </c>
      <c r="C50" s="7" t="n">
        <v>3475</v>
      </c>
      <c r="D50" s="7" t="n">
        <f aca="false">Table1[[#This Row],[Steps]]-C49</f>
        <v>340</v>
      </c>
    </row>
    <row r="51" customFormat="false" ht="14.4" hidden="false" customHeight="false" outlineLevel="0" collapsed="false">
      <c r="A51" s="7" t="n">
        <v>31</v>
      </c>
      <c r="B51" s="8" t="s">
        <v>72</v>
      </c>
      <c r="C51" s="7" t="n">
        <v>0</v>
      </c>
      <c r="D51" s="7" t="n">
        <f aca="false">Table1[[#This Row],[Steps]]-C50</f>
        <v>-3475</v>
      </c>
    </row>
    <row r="52" customFormat="false" ht="14.4" hidden="false" customHeight="false" outlineLevel="0" collapsed="false">
      <c r="A52" s="9" t="n">
        <v>1</v>
      </c>
      <c r="B52" s="10" t="s">
        <v>73</v>
      </c>
      <c r="C52" s="9" t="n">
        <v>7185</v>
      </c>
      <c r="D52" s="9" t="n">
        <f aca="false">Table1[[#This Row],[Steps]]-C51</f>
        <v>7185</v>
      </c>
      <c r="F52" s="5" t="s">
        <v>74</v>
      </c>
      <c r="G52" s="5"/>
      <c r="J52" s="5" t="s">
        <v>75</v>
      </c>
      <c r="K52" s="5"/>
    </row>
    <row r="53" customFormat="false" ht="14.4" hidden="false" customHeight="false" outlineLevel="0" collapsed="false">
      <c r="A53" s="9" t="n">
        <v>2</v>
      </c>
      <c r="B53" s="10" t="s">
        <v>76</v>
      </c>
      <c r="C53" s="9" t="n">
        <v>145</v>
      </c>
      <c r="D53" s="9" t="n">
        <f aca="false">Table1[[#This Row],[Steps]]-C52</f>
        <v>-7040</v>
      </c>
      <c r="F53" s="6"/>
      <c r="G53" s="6"/>
      <c r="J53" s="6"/>
      <c r="K53" s="6"/>
    </row>
    <row r="54" customFormat="false" ht="14.4" hidden="false" customHeight="false" outlineLevel="0" collapsed="false">
      <c r="A54" s="9" t="n">
        <v>3</v>
      </c>
      <c r="B54" s="10" t="s">
        <v>77</v>
      </c>
      <c r="C54" s="9" t="n">
        <v>3632</v>
      </c>
      <c r="D54" s="9" t="n">
        <f aca="false">Table1[[#This Row],[Steps]]-C53</f>
        <v>3487</v>
      </c>
      <c r="F54" s="6" t="s">
        <v>8</v>
      </c>
      <c r="G54" s="6" t="n">
        <v>5086.26666666667</v>
      </c>
      <c r="J54" s="6" t="s">
        <v>8</v>
      </c>
      <c r="K54" s="6" t="n">
        <v>3961.95</v>
      </c>
    </row>
    <row r="55" customFormat="false" ht="14.4" hidden="false" customHeight="false" outlineLevel="0" collapsed="false">
      <c r="A55" s="9" t="n">
        <v>4</v>
      </c>
      <c r="B55" s="10" t="s">
        <v>78</v>
      </c>
      <c r="C55" s="9" t="n">
        <v>9207</v>
      </c>
      <c r="D55" s="9" t="n">
        <f aca="false">Table1[[#This Row],[Steps]]-C54</f>
        <v>5575</v>
      </c>
      <c r="F55" s="6" t="s">
        <v>10</v>
      </c>
      <c r="G55" s="6" t="n">
        <v>949.6099730922</v>
      </c>
      <c r="J55" s="6" t="s">
        <v>10</v>
      </c>
      <c r="K55" s="6" t="n">
        <v>556.648627865966</v>
      </c>
    </row>
    <row r="56" customFormat="false" ht="14.4" hidden="false" customHeight="false" outlineLevel="0" collapsed="false">
      <c r="A56" s="9" t="n">
        <v>5</v>
      </c>
      <c r="B56" s="10" t="s">
        <v>79</v>
      </c>
      <c r="C56" s="9" t="n">
        <v>3091</v>
      </c>
      <c r="D56" s="9" t="n">
        <f aca="false">Table1[[#This Row],[Steps]]-C55</f>
        <v>-6116</v>
      </c>
      <c r="F56" s="6" t="s">
        <v>12</v>
      </c>
      <c r="G56" s="6" t="n">
        <v>3731</v>
      </c>
      <c r="J56" s="6" t="s">
        <v>12</v>
      </c>
      <c r="K56" s="6" t="n">
        <v>2113.5</v>
      </c>
    </row>
    <row r="57" customFormat="false" ht="14.4" hidden="false" customHeight="false" outlineLevel="0" collapsed="false">
      <c r="A57" s="9" t="n">
        <v>6</v>
      </c>
      <c r="B57" s="10" t="s">
        <v>80</v>
      </c>
      <c r="C57" s="9" t="n">
        <v>3830</v>
      </c>
      <c r="D57" s="9" t="n">
        <f aca="false">Table1[[#This Row],[Steps]]-C56</f>
        <v>739</v>
      </c>
      <c r="F57" s="6" t="s">
        <v>14</v>
      </c>
      <c r="G57" s="6" t="n">
        <v>0</v>
      </c>
      <c r="J57" s="6" t="s">
        <v>14</v>
      </c>
      <c r="K57" s="6" t="n">
        <v>0</v>
      </c>
    </row>
    <row r="58" customFormat="false" ht="14.4" hidden="false" customHeight="false" outlineLevel="0" collapsed="false">
      <c r="A58" s="9" t="n">
        <v>7</v>
      </c>
      <c r="B58" s="10" t="s">
        <v>81</v>
      </c>
      <c r="C58" s="9" t="n">
        <v>0</v>
      </c>
      <c r="D58" s="9" t="n">
        <f aca="false">Table1[[#This Row],[Steps]]-C57</f>
        <v>-3830</v>
      </c>
      <c r="F58" s="6" t="s">
        <v>16</v>
      </c>
      <c r="G58" s="6" t="n">
        <v>5201.22803094472</v>
      </c>
      <c r="J58" s="6" t="s">
        <v>16</v>
      </c>
      <c r="K58" s="6" t="n">
        <v>4978.81668596114</v>
      </c>
    </row>
    <row r="59" customFormat="false" ht="14.4" hidden="false" customHeight="false" outlineLevel="0" collapsed="false">
      <c r="A59" s="9" t="n">
        <v>8</v>
      </c>
      <c r="B59" s="10" t="s">
        <v>82</v>
      </c>
      <c r="C59" s="9" t="n">
        <v>12032</v>
      </c>
      <c r="D59" s="9" t="n">
        <f aca="false">Table1[[#This Row],[Steps]]-C58</f>
        <v>12032</v>
      </c>
      <c r="F59" s="6" t="s">
        <v>18</v>
      </c>
      <c r="G59" s="6" t="n">
        <v>27052773.0298851</v>
      </c>
      <c r="J59" s="6" t="s">
        <v>18</v>
      </c>
      <c r="K59" s="6" t="n">
        <v>24788615.5924051</v>
      </c>
    </row>
    <row r="60" customFormat="false" ht="14.4" hidden="false" customHeight="false" outlineLevel="0" collapsed="false">
      <c r="A60" s="9" t="n">
        <v>9</v>
      </c>
      <c r="B60" s="10" t="s">
        <v>83</v>
      </c>
      <c r="C60" s="9" t="n">
        <v>158</v>
      </c>
      <c r="D60" s="9" t="n">
        <f aca="false">Table1[[#This Row],[Steps]]-C59</f>
        <v>-11874</v>
      </c>
      <c r="F60" s="6" t="s">
        <v>20</v>
      </c>
      <c r="G60" s="6" t="n">
        <v>-1.00530001519754</v>
      </c>
      <c r="J60" s="6" t="s">
        <v>20</v>
      </c>
      <c r="K60" s="6" t="n">
        <v>3.78395395210319</v>
      </c>
    </row>
    <row r="61" customFormat="false" ht="14.4" hidden="false" customHeight="false" outlineLevel="0" collapsed="false">
      <c r="A61" s="9" t="n">
        <v>10</v>
      </c>
      <c r="B61" s="10" t="s">
        <v>84</v>
      </c>
      <c r="C61" s="9" t="n">
        <v>0</v>
      </c>
      <c r="D61" s="9" t="n">
        <f aca="false">Table1[[#This Row],[Steps]]-C60</f>
        <v>-158</v>
      </c>
      <c r="F61" s="6" t="s">
        <v>22</v>
      </c>
      <c r="G61" s="6" t="n">
        <v>0.578912349416937</v>
      </c>
      <c r="J61" s="6" t="s">
        <v>22</v>
      </c>
      <c r="K61" s="6" t="n">
        <v>1.7501650937055</v>
      </c>
    </row>
    <row r="62" customFormat="false" ht="14.4" hidden="false" customHeight="false" outlineLevel="0" collapsed="false">
      <c r="A62" s="9" t="n">
        <v>11</v>
      </c>
      <c r="B62" s="10" t="s">
        <v>85</v>
      </c>
      <c r="C62" s="9" t="n">
        <v>7714</v>
      </c>
      <c r="D62" s="9" t="n">
        <f aca="false">Table1[[#This Row],[Steps]]-C61</f>
        <v>7714</v>
      </c>
      <c r="F62" s="6" t="s">
        <v>24</v>
      </c>
      <c r="G62" s="6" t="n">
        <v>15132</v>
      </c>
      <c r="J62" s="6" t="s">
        <v>24</v>
      </c>
      <c r="K62" s="6" t="n">
        <v>25825</v>
      </c>
    </row>
    <row r="63" customFormat="false" ht="14.4" hidden="false" customHeight="false" outlineLevel="0" collapsed="false">
      <c r="A63" s="9" t="n">
        <v>12</v>
      </c>
      <c r="B63" s="10" t="s">
        <v>86</v>
      </c>
      <c r="C63" s="9" t="n">
        <v>8795</v>
      </c>
      <c r="D63" s="9" t="n">
        <f aca="false">Table1[[#This Row],[Steps]]-C62</f>
        <v>1081</v>
      </c>
      <c r="F63" s="6" t="s">
        <v>26</v>
      </c>
      <c r="G63" s="6" t="n">
        <v>0</v>
      </c>
      <c r="J63" s="6" t="s">
        <v>26</v>
      </c>
      <c r="K63" s="6" t="n">
        <v>0</v>
      </c>
    </row>
    <row r="64" customFormat="false" ht="14.4" hidden="false" customHeight="false" outlineLevel="0" collapsed="false">
      <c r="A64" s="9" t="n">
        <v>13</v>
      </c>
      <c r="B64" s="10" t="s">
        <v>87</v>
      </c>
      <c r="C64" s="9" t="n">
        <v>14896</v>
      </c>
      <c r="D64" s="9" t="n">
        <f aca="false">Table1[[#This Row],[Steps]]-C63</f>
        <v>6101</v>
      </c>
      <c r="F64" s="6" t="s">
        <v>28</v>
      </c>
      <c r="G64" s="6" t="n">
        <v>15132</v>
      </c>
      <c r="J64" s="6" t="s">
        <v>28</v>
      </c>
      <c r="K64" s="6" t="n">
        <v>25825</v>
      </c>
    </row>
    <row r="65" customFormat="false" ht="14.4" hidden="false" customHeight="false" outlineLevel="0" collapsed="false">
      <c r="A65" s="9" t="n">
        <v>14</v>
      </c>
      <c r="B65" s="10" t="s">
        <v>88</v>
      </c>
      <c r="C65" s="9" t="n">
        <v>0</v>
      </c>
      <c r="D65" s="9" t="n">
        <f aca="false">Table1[[#This Row],[Steps]]-C64</f>
        <v>-14896</v>
      </c>
      <c r="F65" s="6" t="s">
        <v>30</v>
      </c>
      <c r="G65" s="6" t="n">
        <v>152588</v>
      </c>
      <c r="J65" s="6" t="s">
        <v>30</v>
      </c>
      <c r="K65" s="6" t="n">
        <v>316956</v>
      </c>
    </row>
    <row r="66" customFormat="false" ht="14.4" hidden="false" customHeight="false" outlineLevel="0" collapsed="false">
      <c r="A66" s="9" t="n">
        <v>15</v>
      </c>
      <c r="B66" s="10" t="s">
        <v>89</v>
      </c>
      <c r="C66" s="9" t="n">
        <v>9219</v>
      </c>
      <c r="D66" s="9" t="n">
        <f aca="false">Table1[[#This Row],[Steps]]-C65</f>
        <v>9219</v>
      </c>
      <c r="F66" s="6" t="s">
        <v>32</v>
      </c>
      <c r="G66" s="6" t="n">
        <v>30</v>
      </c>
      <c r="J66" s="6" t="s">
        <v>32</v>
      </c>
      <c r="K66" s="6" t="n">
        <v>80</v>
      </c>
    </row>
    <row r="67" customFormat="false" ht="14.4" hidden="false" customHeight="false" outlineLevel="0" collapsed="false">
      <c r="A67" s="9" t="n">
        <v>16</v>
      </c>
      <c r="B67" s="10" t="s">
        <v>90</v>
      </c>
      <c r="C67" s="9" t="n">
        <v>0</v>
      </c>
      <c r="D67" s="9" t="n">
        <f aca="false">Table1[[#This Row],[Steps]]-C66</f>
        <v>-9219</v>
      </c>
      <c r="F67" s="6" t="s">
        <v>34</v>
      </c>
      <c r="G67" s="6" t="n">
        <v>15132</v>
      </c>
      <c r="J67" s="6" t="s">
        <v>34</v>
      </c>
      <c r="K67" s="6" t="n">
        <v>25825</v>
      </c>
    </row>
    <row r="68" customFormat="false" ht="14.4" hidden="false" customHeight="false" outlineLevel="0" collapsed="false">
      <c r="A68" s="9" t="n">
        <v>17</v>
      </c>
      <c r="B68" s="10" t="s">
        <v>91</v>
      </c>
      <c r="C68" s="9" t="n">
        <v>0</v>
      </c>
      <c r="D68" s="9" t="n">
        <f aca="false">Table1[[#This Row],[Steps]]-C67</f>
        <v>0</v>
      </c>
      <c r="F68" s="6" t="s">
        <v>36</v>
      </c>
      <c r="G68" s="6" t="n">
        <v>0</v>
      </c>
      <c r="J68" s="6" t="s">
        <v>36</v>
      </c>
      <c r="K68" s="6" t="n">
        <v>0</v>
      </c>
    </row>
    <row r="69" customFormat="false" ht="14.4" hidden="false" customHeight="false" outlineLevel="0" collapsed="false">
      <c r="A69" s="9" t="n">
        <v>18</v>
      </c>
      <c r="B69" s="10" t="s">
        <v>92</v>
      </c>
      <c r="C69" s="9" t="n">
        <v>14082</v>
      </c>
      <c r="D69" s="9" t="n">
        <f aca="false">Table1[[#This Row],[Steps]]-C68</f>
        <v>14082</v>
      </c>
      <c r="F69" s="6" t="s">
        <v>38</v>
      </c>
      <c r="G69" s="6" t="n">
        <v>1942.17046543301</v>
      </c>
      <c r="J69" s="6" t="s">
        <v>38</v>
      </c>
      <c r="K69" s="6" t="n">
        <v>1107.98137836013</v>
      </c>
    </row>
    <row r="70" customFormat="false" ht="14.4" hidden="false" customHeight="false" outlineLevel="0" collapsed="false">
      <c r="A70" s="9" t="n">
        <v>19</v>
      </c>
      <c r="B70" s="10" t="s">
        <v>93</v>
      </c>
      <c r="C70" s="9" t="n">
        <v>15132</v>
      </c>
      <c r="D70" s="9" t="n">
        <f aca="false">Table1[[#This Row],[Steps]]-C69</f>
        <v>1050</v>
      </c>
    </row>
    <row r="71" customFormat="false" ht="14.4" hidden="false" customHeight="false" outlineLevel="0" collapsed="false">
      <c r="A71" s="9" t="n">
        <v>20</v>
      </c>
      <c r="B71" s="10" t="s">
        <v>94</v>
      </c>
      <c r="C71" s="9" t="n">
        <v>3595</v>
      </c>
      <c r="D71" s="9" t="n">
        <f aca="false">Table1[[#This Row],[Steps]]-C70</f>
        <v>-11537</v>
      </c>
    </row>
    <row r="72" customFormat="false" ht="14.4" hidden="false" customHeight="false" outlineLevel="0" collapsed="false">
      <c r="A72" s="9" t="n">
        <v>21</v>
      </c>
      <c r="B72" s="10" t="s">
        <v>95</v>
      </c>
      <c r="C72" s="9" t="n">
        <v>11180</v>
      </c>
      <c r="D72" s="9" t="n">
        <f aca="false">Table1[[#This Row],[Steps]]-C71</f>
        <v>7585</v>
      </c>
    </row>
    <row r="73" customFormat="false" ht="14.4" hidden="false" customHeight="false" outlineLevel="0" collapsed="false">
      <c r="A73" s="9" t="n">
        <v>22</v>
      </c>
      <c r="B73" s="10" t="s">
        <v>96</v>
      </c>
      <c r="C73" s="9" t="n">
        <v>0</v>
      </c>
      <c r="D73" s="9" t="n">
        <f aca="false">Table1[[#This Row],[Steps]]-C72</f>
        <v>-11180</v>
      </c>
    </row>
    <row r="74" customFormat="false" ht="14.4" hidden="false" customHeight="false" outlineLevel="0" collapsed="false">
      <c r="A74" s="9" t="n">
        <v>23</v>
      </c>
      <c r="B74" s="10" t="s">
        <v>97</v>
      </c>
      <c r="C74" s="9" t="n">
        <v>49</v>
      </c>
      <c r="D74" s="9" t="n">
        <f aca="false">Table1[[#This Row],[Steps]]-C73</f>
        <v>49</v>
      </c>
    </row>
    <row r="75" customFormat="false" ht="14.4" hidden="false" customHeight="false" outlineLevel="0" collapsed="false">
      <c r="A75" s="9" t="n">
        <v>24</v>
      </c>
      <c r="B75" s="10" t="s">
        <v>98</v>
      </c>
      <c r="C75" s="9" t="n">
        <v>4972</v>
      </c>
      <c r="D75" s="9" t="n">
        <f aca="false">Table1[[#This Row],[Steps]]-C74</f>
        <v>4923</v>
      </c>
    </row>
    <row r="76" customFormat="false" ht="14.4" hidden="false" customHeight="false" outlineLevel="0" collapsed="false">
      <c r="A76" s="9" t="n">
        <v>25</v>
      </c>
      <c r="B76" s="10" t="s">
        <v>99</v>
      </c>
      <c r="C76" s="9" t="n">
        <v>0</v>
      </c>
      <c r="D76" s="9" t="n">
        <f aca="false">Table1[[#This Row],[Steps]]-C75</f>
        <v>-4972</v>
      </c>
    </row>
    <row r="77" customFormat="false" ht="14.4" hidden="false" customHeight="false" outlineLevel="0" collapsed="false">
      <c r="A77" s="9" t="n">
        <v>26</v>
      </c>
      <c r="B77" s="10" t="s">
        <v>100</v>
      </c>
      <c r="C77" s="9" t="n">
        <v>4880</v>
      </c>
      <c r="D77" s="9" t="n">
        <f aca="false">Table1[[#This Row],[Steps]]-C76</f>
        <v>4880</v>
      </c>
    </row>
    <row r="78" customFormat="false" ht="14.4" hidden="false" customHeight="false" outlineLevel="0" collapsed="false">
      <c r="A78" s="9" t="n">
        <v>27</v>
      </c>
      <c r="B78" s="10" t="s">
        <v>101</v>
      </c>
      <c r="C78" s="9" t="n">
        <v>6924</v>
      </c>
      <c r="D78" s="9" t="n">
        <f aca="false">Table1[[#This Row],[Steps]]-C77</f>
        <v>2044</v>
      </c>
    </row>
    <row r="79" customFormat="false" ht="14.4" hidden="false" customHeight="false" outlineLevel="0" collapsed="false">
      <c r="A79" s="9" t="n">
        <v>28</v>
      </c>
      <c r="B79" s="10" t="s">
        <v>102</v>
      </c>
      <c r="C79" s="9" t="n">
        <v>11686</v>
      </c>
      <c r="D79" s="9" t="n">
        <f aca="false">Table1[[#This Row],[Steps]]-C78</f>
        <v>4762</v>
      </c>
    </row>
    <row r="80" customFormat="false" ht="14.4" hidden="false" customHeight="false" outlineLevel="0" collapsed="false">
      <c r="A80" s="9" t="n">
        <v>29</v>
      </c>
      <c r="B80" s="10" t="s">
        <v>103</v>
      </c>
      <c r="C80" s="9" t="n">
        <v>0</v>
      </c>
      <c r="D80" s="9" t="n">
        <f aca="false">Table1[[#This Row],[Steps]]-C79</f>
        <v>-11686</v>
      </c>
    </row>
    <row r="81" customFormat="false" ht="14.4" hidden="false" customHeight="false" outlineLevel="0" collapsed="false">
      <c r="A81" s="9" t="n">
        <v>30</v>
      </c>
      <c r="B81" s="10" t="s">
        <v>104</v>
      </c>
      <c r="C81" s="9" t="n">
        <v>184</v>
      </c>
      <c r="D81" s="9" t="n">
        <f aca="false">Table1[[#This Row],[Steps]]-C80</f>
        <v>184</v>
      </c>
    </row>
    <row r="82" customFormat="false" ht="14.4" hidden="false" customHeight="false" outlineLevel="0" collapsed="false">
      <c r="A82" s="11" t="n">
        <v>1</v>
      </c>
      <c r="B82" s="12" t="s">
        <v>105</v>
      </c>
      <c r="C82" s="11" t="n">
        <v>0</v>
      </c>
      <c r="D82" s="11" t="n">
        <f aca="false">Table1[[#This Row],[Steps]]-C81</f>
        <v>-184</v>
      </c>
      <c r="F82" s="5" t="s">
        <v>106</v>
      </c>
      <c r="G82" s="5"/>
      <c r="J82" s="5" t="s">
        <v>107</v>
      </c>
      <c r="K82" s="5"/>
    </row>
    <row r="83" customFormat="false" ht="14.4" hidden="false" customHeight="false" outlineLevel="0" collapsed="false">
      <c r="A83" s="11" t="n">
        <v>2</v>
      </c>
      <c r="B83" s="12" t="s">
        <v>108</v>
      </c>
      <c r="C83" s="11" t="n">
        <v>0</v>
      </c>
      <c r="D83" s="11" t="n">
        <f aca="false">Table1[[#This Row],[Steps]]-C82</f>
        <v>0</v>
      </c>
      <c r="F83" s="6"/>
      <c r="G83" s="6"/>
      <c r="J83" s="6"/>
      <c r="K83" s="6"/>
    </row>
    <row r="84" customFormat="false" ht="14.4" hidden="false" customHeight="false" outlineLevel="0" collapsed="false">
      <c r="A84" s="11" t="n">
        <v>3</v>
      </c>
      <c r="B84" s="12" t="s">
        <v>109</v>
      </c>
      <c r="C84" s="11" t="n">
        <v>4724</v>
      </c>
      <c r="D84" s="11" t="n">
        <f aca="false">Table1[[#This Row],[Steps]]-C83</f>
        <v>4724</v>
      </c>
      <c r="F84" s="6" t="s">
        <v>8</v>
      </c>
      <c r="G84" s="6" t="n">
        <v>4245.29032258064</v>
      </c>
      <c r="J84" s="6" t="s">
        <v>8</v>
      </c>
      <c r="K84" s="6" t="n">
        <v>4041.08108108108</v>
      </c>
    </row>
    <row r="85" customFormat="false" ht="14.4" hidden="false" customHeight="false" outlineLevel="0" collapsed="false">
      <c r="A85" s="11" t="n">
        <v>4</v>
      </c>
      <c r="B85" s="12" t="s">
        <v>110</v>
      </c>
      <c r="C85" s="11" t="n">
        <v>7831</v>
      </c>
      <c r="D85" s="11" t="n">
        <f aca="false">Table1[[#This Row],[Steps]]-C84</f>
        <v>3107</v>
      </c>
      <c r="F85" s="6" t="s">
        <v>10</v>
      </c>
      <c r="G85" s="6" t="n">
        <v>786.414124116411</v>
      </c>
      <c r="J85" s="6" t="s">
        <v>10</v>
      </c>
      <c r="K85" s="6" t="n">
        <v>455.672248324092</v>
      </c>
    </row>
    <row r="86" customFormat="false" ht="14.4" hidden="false" customHeight="false" outlineLevel="0" collapsed="false">
      <c r="A86" s="11" t="n">
        <v>5</v>
      </c>
      <c r="B86" s="12" t="s">
        <v>111</v>
      </c>
      <c r="C86" s="11" t="n">
        <v>68</v>
      </c>
      <c r="D86" s="11" t="n">
        <f aca="false">Table1[[#This Row],[Steps]]-C85</f>
        <v>-7763</v>
      </c>
      <c r="F86" s="6" t="s">
        <v>12</v>
      </c>
      <c r="G86" s="6" t="n">
        <v>4724</v>
      </c>
      <c r="J86" s="6" t="s">
        <v>12</v>
      </c>
      <c r="K86" s="6" t="n">
        <v>2238</v>
      </c>
    </row>
    <row r="87" customFormat="false" ht="14.4" hidden="false" customHeight="false" outlineLevel="0" collapsed="false">
      <c r="A87" s="11" t="n">
        <v>6</v>
      </c>
      <c r="B87" s="12" t="s">
        <v>112</v>
      </c>
      <c r="C87" s="11" t="n">
        <v>6900</v>
      </c>
      <c r="D87" s="11" t="n">
        <f aca="false">Table1[[#This Row],[Steps]]-C86</f>
        <v>6832</v>
      </c>
      <c r="F87" s="6" t="s">
        <v>14</v>
      </c>
      <c r="G87" s="6" t="n">
        <v>0</v>
      </c>
      <c r="J87" s="6" t="s">
        <v>14</v>
      </c>
      <c r="K87" s="6" t="n">
        <v>0</v>
      </c>
    </row>
    <row r="88" customFormat="false" ht="14.4" hidden="false" customHeight="false" outlineLevel="0" collapsed="false">
      <c r="A88" s="11" t="n">
        <v>7</v>
      </c>
      <c r="B88" s="12" t="s">
        <v>113</v>
      </c>
      <c r="C88" s="11" t="n">
        <v>0</v>
      </c>
      <c r="D88" s="11" t="n">
        <f aca="false">Table1[[#This Row],[Steps]]-C87</f>
        <v>-6900</v>
      </c>
      <c r="F88" s="6" t="s">
        <v>16</v>
      </c>
      <c r="G88" s="6" t="n">
        <v>4378.56853468154</v>
      </c>
      <c r="J88" s="6" t="s">
        <v>16</v>
      </c>
      <c r="K88" s="6" t="n">
        <v>4800.80503312657</v>
      </c>
    </row>
    <row r="89" customFormat="false" ht="14.4" hidden="false" customHeight="false" outlineLevel="0" collapsed="false">
      <c r="A89" s="11" t="n">
        <v>8</v>
      </c>
      <c r="B89" s="12" t="s">
        <v>114</v>
      </c>
      <c r="C89" s="11" t="n">
        <v>0</v>
      </c>
      <c r="D89" s="11" t="n">
        <f aca="false">Table1[[#This Row],[Steps]]-C88</f>
        <v>0</v>
      </c>
      <c r="F89" s="6" t="s">
        <v>18</v>
      </c>
      <c r="G89" s="6" t="n">
        <v>19171862.4129032</v>
      </c>
      <c r="J89" s="6" t="s">
        <v>18</v>
      </c>
      <c r="K89" s="6" t="n">
        <v>23047728.9660934</v>
      </c>
    </row>
    <row r="90" customFormat="false" ht="14.4" hidden="false" customHeight="false" outlineLevel="0" collapsed="false">
      <c r="A90" s="11" t="n">
        <v>9</v>
      </c>
      <c r="B90" s="12" t="s">
        <v>115</v>
      </c>
      <c r="C90" s="11" t="n">
        <v>9271</v>
      </c>
      <c r="D90" s="11" t="n">
        <f aca="false">Table1[[#This Row],[Steps]]-C89</f>
        <v>9271</v>
      </c>
      <c r="F90" s="6" t="s">
        <v>20</v>
      </c>
      <c r="G90" s="6" t="n">
        <v>-0.0758414656203228</v>
      </c>
      <c r="J90" s="6" t="s">
        <v>20</v>
      </c>
      <c r="K90" s="6" t="n">
        <v>2.99077225681045</v>
      </c>
    </row>
    <row r="91" customFormat="false" ht="14.4" hidden="false" customHeight="false" outlineLevel="0" collapsed="false">
      <c r="A91" s="11" t="n">
        <v>10</v>
      </c>
      <c r="B91" s="12" t="s">
        <v>116</v>
      </c>
      <c r="C91" s="11" t="n">
        <v>7127</v>
      </c>
      <c r="D91" s="11" t="n">
        <f aca="false">Table1[[#This Row],[Steps]]-C90</f>
        <v>-2144</v>
      </c>
      <c r="F91" s="6" t="s">
        <v>22</v>
      </c>
      <c r="G91" s="6" t="n">
        <v>0.677347564357439</v>
      </c>
      <c r="J91" s="6" t="s">
        <v>22</v>
      </c>
      <c r="K91" s="6" t="n">
        <v>1.5161544198355</v>
      </c>
    </row>
    <row r="92" customFormat="false" ht="14.4" hidden="false" customHeight="false" outlineLevel="0" collapsed="false">
      <c r="A92" s="11" t="n">
        <v>11</v>
      </c>
      <c r="B92" s="12" t="s">
        <v>117</v>
      </c>
      <c r="C92" s="11" t="n">
        <v>1840</v>
      </c>
      <c r="D92" s="11" t="n">
        <f aca="false">Table1[[#This Row],[Steps]]-C91</f>
        <v>-5287</v>
      </c>
      <c r="F92" s="6" t="s">
        <v>24</v>
      </c>
      <c r="G92" s="6" t="n">
        <v>16313</v>
      </c>
      <c r="J92" s="6" t="s">
        <v>24</v>
      </c>
      <c r="K92" s="6" t="n">
        <v>25825</v>
      </c>
    </row>
    <row r="93" customFormat="false" ht="14.4" hidden="false" customHeight="false" outlineLevel="0" collapsed="false">
      <c r="A93" s="11" t="n">
        <v>12</v>
      </c>
      <c r="B93" s="12" t="s">
        <v>118</v>
      </c>
      <c r="C93" s="11" t="n">
        <v>8059</v>
      </c>
      <c r="D93" s="11" t="n">
        <f aca="false">Table1[[#This Row],[Steps]]-C92</f>
        <v>6219</v>
      </c>
      <c r="F93" s="6" t="s">
        <v>26</v>
      </c>
      <c r="G93" s="6" t="n">
        <v>0</v>
      </c>
      <c r="J93" s="6" t="s">
        <v>26</v>
      </c>
      <c r="K93" s="6" t="n">
        <v>0</v>
      </c>
    </row>
    <row r="94" customFormat="false" ht="14.4" hidden="false" customHeight="false" outlineLevel="0" collapsed="false">
      <c r="A94" s="11" t="n">
        <v>13</v>
      </c>
      <c r="B94" s="12" t="s">
        <v>119</v>
      </c>
      <c r="C94" s="11" t="n">
        <v>5556</v>
      </c>
      <c r="D94" s="11" t="n">
        <f aca="false">Table1[[#This Row],[Steps]]-C93</f>
        <v>-2503</v>
      </c>
      <c r="F94" s="6" t="s">
        <v>28</v>
      </c>
      <c r="G94" s="6" t="n">
        <v>16313</v>
      </c>
      <c r="J94" s="6" t="s">
        <v>28</v>
      </c>
      <c r="K94" s="6" t="n">
        <v>25825</v>
      </c>
    </row>
    <row r="95" customFormat="false" ht="14.4" hidden="false" customHeight="false" outlineLevel="0" collapsed="false">
      <c r="A95" s="11" t="n">
        <v>14</v>
      </c>
      <c r="B95" s="12" t="s">
        <v>120</v>
      </c>
      <c r="C95" s="11" t="n">
        <v>0</v>
      </c>
      <c r="D95" s="11" t="n">
        <f aca="false">Table1[[#This Row],[Steps]]-C94</f>
        <v>-5556</v>
      </c>
      <c r="F95" s="6" t="s">
        <v>30</v>
      </c>
      <c r="G95" s="6" t="n">
        <v>131604</v>
      </c>
      <c r="J95" s="6" t="s">
        <v>30</v>
      </c>
      <c r="K95" s="6" t="n">
        <v>448560</v>
      </c>
    </row>
    <row r="96" customFormat="false" ht="14.4" hidden="false" customHeight="false" outlineLevel="0" collapsed="false">
      <c r="A96" s="11" t="n">
        <v>15</v>
      </c>
      <c r="B96" s="12" t="s">
        <v>121</v>
      </c>
      <c r="C96" s="11" t="n">
        <v>0</v>
      </c>
      <c r="D96" s="11" t="n">
        <f aca="false">Table1[[#This Row],[Steps]]-C95</f>
        <v>0</v>
      </c>
      <c r="F96" s="6" t="s">
        <v>32</v>
      </c>
      <c r="G96" s="6" t="n">
        <v>31</v>
      </c>
      <c r="J96" s="6" t="s">
        <v>32</v>
      </c>
      <c r="K96" s="6" t="n">
        <v>111</v>
      </c>
    </row>
    <row r="97" customFormat="false" ht="14.4" hidden="false" customHeight="false" outlineLevel="0" collapsed="false">
      <c r="A97" s="11" t="n">
        <v>16</v>
      </c>
      <c r="B97" s="12" t="s">
        <v>122</v>
      </c>
      <c r="C97" s="11" t="n">
        <v>9663</v>
      </c>
      <c r="D97" s="11" t="n">
        <f aca="false">Table1[[#This Row],[Steps]]-C96</f>
        <v>9663</v>
      </c>
      <c r="F97" s="6" t="s">
        <v>34</v>
      </c>
      <c r="G97" s="6" t="n">
        <v>16313</v>
      </c>
      <c r="J97" s="6" t="s">
        <v>34</v>
      </c>
      <c r="K97" s="6" t="n">
        <v>25825</v>
      </c>
    </row>
    <row r="98" customFormat="false" ht="14.4" hidden="false" customHeight="false" outlineLevel="0" collapsed="false">
      <c r="A98" s="11" t="n">
        <v>17</v>
      </c>
      <c r="B98" s="12" t="s">
        <v>123</v>
      </c>
      <c r="C98" s="11" t="n">
        <v>1988</v>
      </c>
      <c r="D98" s="11" t="n">
        <f aca="false">Table1[[#This Row],[Steps]]-C97</f>
        <v>-7675</v>
      </c>
      <c r="F98" s="6" t="s">
        <v>36</v>
      </c>
      <c r="G98" s="6" t="n">
        <v>0</v>
      </c>
      <c r="J98" s="6" t="s">
        <v>36</v>
      </c>
      <c r="K98" s="6" t="n">
        <v>0</v>
      </c>
    </row>
    <row r="99" customFormat="false" ht="14.4" hidden="false" customHeight="false" outlineLevel="0" collapsed="false">
      <c r="A99" s="11" t="n">
        <v>18</v>
      </c>
      <c r="B99" s="12" t="s">
        <v>124</v>
      </c>
      <c r="C99" s="11" t="n">
        <v>0</v>
      </c>
      <c r="D99" s="11" t="n">
        <f aca="false">Table1[[#This Row],[Steps]]-C98</f>
        <v>-1988</v>
      </c>
      <c r="F99" s="6" t="s">
        <v>38</v>
      </c>
      <c r="G99" s="6" t="n">
        <v>1606.07190492921</v>
      </c>
      <c r="J99" s="6" t="s">
        <v>38</v>
      </c>
      <c r="K99" s="6" t="n">
        <v>903.035441759887</v>
      </c>
    </row>
    <row r="100" customFormat="false" ht="14.4" hidden="false" customHeight="false" outlineLevel="0" collapsed="false">
      <c r="A100" s="11" t="n">
        <v>19</v>
      </c>
      <c r="B100" s="12" t="s">
        <v>125</v>
      </c>
      <c r="C100" s="11" t="n">
        <v>6054</v>
      </c>
      <c r="D100" s="11" t="n">
        <f aca="false">Table1[[#This Row],[Steps]]-C99</f>
        <v>6054</v>
      </c>
    </row>
    <row r="101" customFormat="false" ht="14.4" hidden="false" customHeight="false" outlineLevel="0" collapsed="false">
      <c r="A101" s="11" t="n">
        <v>20</v>
      </c>
      <c r="B101" s="12" t="s">
        <v>126</v>
      </c>
      <c r="C101" s="11" t="n">
        <v>5279</v>
      </c>
      <c r="D101" s="11" t="n">
        <f aca="false">Table1[[#This Row],[Steps]]-C100</f>
        <v>-775</v>
      </c>
    </row>
    <row r="102" customFormat="false" ht="14.4" hidden="false" customHeight="false" outlineLevel="0" collapsed="false">
      <c r="A102" s="11" t="n">
        <v>21</v>
      </c>
      <c r="B102" s="12" t="s">
        <v>127</v>
      </c>
      <c r="C102" s="11" t="n">
        <v>111</v>
      </c>
      <c r="D102" s="11" t="n">
        <f aca="false">Table1[[#This Row],[Steps]]-C101</f>
        <v>-5168</v>
      </c>
    </row>
    <row r="103" customFormat="false" ht="14.4" hidden="false" customHeight="false" outlineLevel="0" collapsed="false">
      <c r="A103" s="11" t="n">
        <v>22</v>
      </c>
      <c r="B103" s="12" t="s">
        <v>128</v>
      </c>
      <c r="C103" s="11" t="n">
        <v>6473</v>
      </c>
      <c r="D103" s="11" t="n">
        <f aca="false">Table1[[#This Row],[Steps]]-C102</f>
        <v>6362</v>
      </c>
    </row>
    <row r="104" customFormat="false" ht="14.4" hidden="false" customHeight="false" outlineLevel="0" collapsed="false">
      <c r="A104" s="11" t="n">
        <v>23</v>
      </c>
      <c r="B104" s="12" t="s">
        <v>129</v>
      </c>
      <c r="C104" s="11" t="n">
        <v>0</v>
      </c>
      <c r="D104" s="11" t="n">
        <f aca="false">Table1[[#This Row],[Steps]]-C103</f>
        <v>-6473</v>
      </c>
    </row>
    <row r="105" customFormat="false" ht="14.4" hidden="false" customHeight="false" outlineLevel="0" collapsed="false">
      <c r="A105" s="11" t="n">
        <v>24</v>
      </c>
      <c r="B105" s="12" t="s">
        <v>130</v>
      </c>
      <c r="C105" s="11" t="n">
        <v>9667</v>
      </c>
      <c r="D105" s="11" t="n">
        <f aca="false">Table1[[#This Row],[Steps]]-C104</f>
        <v>9667</v>
      </c>
    </row>
    <row r="106" customFormat="false" ht="14.4" hidden="false" customHeight="false" outlineLevel="0" collapsed="false">
      <c r="A106" s="11" t="n">
        <v>25</v>
      </c>
      <c r="B106" s="12" t="s">
        <v>131</v>
      </c>
      <c r="C106" s="11" t="n">
        <v>6522</v>
      </c>
      <c r="D106" s="11" t="n">
        <f aca="false">Table1[[#This Row],[Steps]]-C105</f>
        <v>-3145</v>
      </c>
    </row>
    <row r="107" customFormat="false" ht="14.4" hidden="false" customHeight="false" outlineLevel="0" collapsed="false">
      <c r="A107" s="11" t="n">
        <v>26</v>
      </c>
      <c r="B107" s="12" t="s">
        <v>132</v>
      </c>
      <c r="C107" s="11" t="n">
        <v>8507</v>
      </c>
      <c r="D107" s="11" t="n">
        <f aca="false">Table1[[#This Row],[Steps]]-C106</f>
        <v>1985</v>
      </c>
    </row>
    <row r="108" customFormat="false" ht="14.4" hidden="false" customHeight="false" outlineLevel="0" collapsed="false">
      <c r="A108" s="11" t="n">
        <v>27</v>
      </c>
      <c r="B108" s="12" t="s">
        <v>133</v>
      </c>
      <c r="C108" s="11" t="n">
        <v>9400</v>
      </c>
      <c r="D108" s="11" t="n">
        <f aca="false">Table1[[#This Row],[Steps]]-C107</f>
        <v>893</v>
      </c>
    </row>
    <row r="109" customFormat="false" ht="14.4" hidden="false" customHeight="false" outlineLevel="0" collapsed="false">
      <c r="A109" s="11" t="n">
        <v>28</v>
      </c>
      <c r="B109" s="12" t="s">
        <v>134</v>
      </c>
      <c r="C109" s="11" t="n">
        <v>251</v>
      </c>
      <c r="D109" s="11" t="n">
        <f aca="false">Table1[[#This Row],[Steps]]-C108</f>
        <v>-9149</v>
      </c>
    </row>
    <row r="110" customFormat="false" ht="14.4" hidden="false" customHeight="false" outlineLevel="0" collapsed="false">
      <c r="A110" s="11" t="n">
        <v>29</v>
      </c>
      <c r="B110" s="12" t="s">
        <v>135</v>
      </c>
      <c r="C110" s="11" t="n">
        <v>0</v>
      </c>
      <c r="D110" s="11" t="n">
        <f aca="false">Table1[[#This Row],[Steps]]-C109</f>
        <v>-251</v>
      </c>
    </row>
    <row r="111" customFormat="false" ht="14.4" hidden="false" customHeight="false" outlineLevel="0" collapsed="false">
      <c r="A111" s="11" t="n">
        <v>30</v>
      </c>
      <c r="B111" s="12" t="s">
        <v>136</v>
      </c>
      <c r="C111" s="11" t="n">
        <v>0</v>
      </c>
      <c r="D111" s="11" t="n">
        <f aca="false">Table1[[#This Row],[Steps]]-C110</f>
        <v>0</v>
      </c>
    </row>
    <row r="112" customFormat="false" ht="14.4" hidden="false" customHeight="false" outlineLevel="0" collapsed="false">
      <c r="A112" s="11" t="n">
        <v>31</v>
      </c>
      <c r="B112" s="12" t="s">
        <v>137</v>
      </c>
      <c r="C112" s="11" t="n">
        <v>16313</v>
      </c>
      <c r="D112" s="11" t="n">
        <f aca="false">Table1[[#This Row],[Steps]]-C111</f>
        <v>16313</v>
      </c>
    </row>
    <row r="113" customFormat="false" ht="14.4" hidden="false" customHeight="false" outlineLevel="0" collapsed="false">
      <c r="A113" s="13" t="n">
        <v>1</v>
      </c>
      <c r="B113" s="14" t="s">
        <v>138</v>
      </c>
      <c r="C113" s="13" t="n">
        <v>9807</v>
      </c>
      <c r="D113" s="13" t="n">
        <f aca="false">Table1[[#This Row],[Steps]]-C112</f>
        <v>-6506</v>
      </c>
      <c r="F113" s="5" t="s">
        <v>139</v>
      </c>
      <c r="G113" s="5"/>
      <c r="J113" s="5" t="s">
        <v>140</v>
      </c>
      <c r="K113" s="5"/>
    </row>
    <row r="114" customFormat="false" ht="14.4" hidden="false" customHeight="false" outlineLevel="0" collapsed="false">
      <c r="A114" s="13" t="n">
        <v>2</v>
      </c>
      <c r="B114" s="14" t="s">
        <v>141</v>
      </c>
      <c r="C114" s="13" t="n">
        <v>18020</v>
      </c>
      <c r="D114" s="13" t="n">
        <f aca="false">Table1[[#This Row],[Steps]]-C113</f>
        <v>8213</v>
      </c>
      <c r="F114" s="6"/>
      <c r="G114" s="6"/>
      <c r="J114" s="6"/>
      <c r="K114" s="6"/>
    </row>
    <row r="115" customFormat="false" ht="14.4" hidden="false" customHeight="false" outlineLevel="0" collapsed="false">
      <c r="A115" s="13" t="n">
        <v>3</v>
      </c>
      <c r="B115" s="14" t="s">
        <v>142</v>
      </c>
      <c r="C115" s="13" t="n">
        <v>11402</v>
      </c>
      <c r="D115" s="13" t="n">
        <f aca="false">Table1[[#This Row],[Steps]]-C114</f>
        <v>-6618</v>
      </c>
      <c r="F115" s="6" t="s">
        <v>8</v>
      </c>
      <c r="G115" s="6" t="n">
        <v>6358.9</v>
      </c>
      <c r="J115" s="6" t="s">
        <v>8</v>
      </c>
      <c r="K115" s="6" t="n">
        <v>4534.23404255319</v>
      </c>
    </row>
    <row r="116" customFormat="false" ht="14.4" hidden="false" customHeight="false" outlineLevel="0" collapsed="false">
      <c r="A116" s="13" t="n">
        <v>4</v>
      </c>
      <c r="B116" s="14" t="s">
        <v>143</v>
      </c>
      <c r="C116" s="13" t="n">
        <v>26312</v>
      </c>
      <c r="D116" s="13" t="n">
        <f aca="false">Table1[[#This Row],[Steps]]-C115</f>
        <v>14910</v>
      </c>
      <c r="F116" s="6" t="s">
        <v>10</v>
      </c>
      <c r="G116" s="6" t="n">
        <v>1180.56550773177</v>
      </c>
      <c r="J116" s="6" t="s">
        <v>10</v>
      </c>
      <c r="K116" s="6" t="n">
        <v>443.04126040735</v>
      </c>
    </row>
    <row r="117" customFormat="false" ht="14.4" hidden="false" customHeight="false" outlineLevel="0" collapsed="false">
      <c r="A117" s="13" t="n">
        <v>5</v>
      </c>
      <c r="B117" s="14" t="s">
        <v>144</v>
      </c>
      <c r="C117" s="13" t="n">
        <v>1015</v>
      </c>
      <c r="D117" s="13" t="n">
        <f aca="false">Table1[[#This Row],[Steps]]-C116</f>
        <v>-25297</v>
      </c>
      <c r="F117" s="6" t="s">
        <v>12</v>
      </c>
      <c r="G117" s="6" t="n">
        <v>5180.5</v>
      </c>
      <c r="J117" s="6" t="s">
        <v>12</v>
      </c>
      <c r="K117" s="6" t="n">
        <v>2709</v>
      </c>
    </row>
    <row r="118" customFormat="false" ht="14.4" hidden="false" customHeight="false" outlineLevel="0" collapsed="false">
      <c r="A118" s="13" t="n">
        <v>6</v>
      </c>
      <c r="B118" s="14" t="s">
        <v>145</v>
      </c>
      <c r="C118" s="13" t="n">
        <v>11299</v>
      </c>
      <c r="D118" s="13" t="n">
        <f aca="false">Table1[[#This Row],[Steps]]-C117</f>
        <v>10284</v>
      </c>
      <c r="F118" s="6" t="s">
        <v>14</v>
      </c>
      <c r="G118" s="6" t="n">
        <v>0</v>
      </c>
      <c r="J118" s="6" t="s">
        <v>14</v>
      </c>
      <c r="K118" s="6" t="n">
        <v>0</v>
      </c>
    </row>
    <row r="119" customFormat="false" ht="14.4" hidden="false" customHeight="false" outlineLevel="0" collapsed="false">
      <c r="A119" s="13" t="n">
        <v>7</v>
      </c>
      <c r="B119" s="14" t="s">
        <v>146</v>
      </c>
      <c r="C119" s="13" t="n">
        <v>10114</v>
      </c>
      <c r="D119" s="13" t="n">
        <f aca="false">Table1[[#This Row],[Steps]]-C118</f>
        <v>-1185</v>
      </c>
      <c r="F119" s="6" t="s">
        <v>16</v>
      </c>
      <c r="G119" s="6" t="n">
        <v>6466.22359197231</v>
      </c>
      <c r="J119" s="6" t="s">
        <v>16</v>
      </c>
      <c r="K119" s="6" t="n">
        <v>5260.82348474932</v>
      </c>
    </row>
    <row r="120" customFormat="false" ht="14.4" hidden="false" customHeight="false" outlineLevel="0" collapsed="false">
      <c r="A120" s="13" t="n">
        <v>8</v>
      </c>
      <c r="B120" s="14" t="s">
        <v>147</v>
      </c>
      <c r="C120" s="13" t="n">
        <v>4569</v>
      </c>
      <c r="D120" s="13" t="n">
        <f aca="false">Table1[[#This Row],[Steps]]-C119</f>
        <v>-5545</v>
      </c>
      <c r="F120" s="6" t="s">
        <v>18</v>
      </c>
      <c r="G120" s="6" t="n">
        <v>41812047.5413793</v>
      </c>
      <c r="J120" s="6" t="s">
        <v>18</v>
      </c>
      <c r="K120" s="6" t="n">
        <v>27676263.73769</v>
      </c>
    </row>
    <row r="121" customFormat="false" ht="14.4" hidden="false" customHeight="false" outlineLevel="0" collapsed="false">
      <c r="A121" s="13" t="n">
        <v>9</v>
      </c>
      <c r="B121" s="14" t="s">
        <v>148</v>
      </c>
      <c r="C121" s="13" t="n">
        <v>10673</v>
      </c>
      <c r="D121" s="13" t="n">
        <f aca="false">Table1[[#This Row],[Steps]]-C120</f>
        <v>6104</v>
      </c>
      <c r="F121" s="6" t="s">
        <v>20</v>
      </c>
      <c r="G121" s="6" t="n">
        <v>1.53340584006524</v>
      </c>
      <c r="J121" s="6" t="s">
        <v>20</v>
      </c>
      <c r="K121" s="6" t="n">
        <v>2.66338171737005</v>
      </c>
    </row>
    <row r="122" customFormat="false" ht="14.4" hidden="false" customHeight="false" outlineLevel="0" collapsed="false">
      <c r="A122" s="13" t="n">
        <v>10</v>
      </c>
      <c r="B122" s="14" t="s">
        <v>149</v>
      </c>
      <c r="C122" s="13" t="n">
        <v>3788</v>
      </c>
      <c r="D122" s="13" t="n">
        <f aca="false">Table1[[#This Row],[Steps]]-C121</f>
        <v>-6885</v>
      </c>
      <c r="F122" s="6" t="s">
        <v>22</v>
      </c>
      <c r="G122" s="6" t="n">
        <v>1.1086079093337</v>
      </c>
      <c r="J122" s="6" t="s">
        <v>22</v>
      </c>
      <c r="K122" s="6" t="n">
        <v>1.45755259074254</v>
      </c>
    </row>
    <row r="123" customFormat="false" ht="14.4" hidden="false" customHeight="false" outlineLevel="0" collapsed="false">
      <c r="A123" s="13" t="n">
        <v>11</v>
      </c>
      <c r="B123" s="14" t="s">
        <v>150</v>
      </c>
      <c r="C123" s="13" t="n">
        <v>0</v>
      </c>
      <c r="D123" s="13" t="n">
        <f aca="false">Table1[[#This Row],[Steps]]-C122</f>
        <v>-3788</v>
      </c>
      <c r="F123" s="6" t="s">
        <v>24</v>
      </c>
      <c r="G123" s="6" t="n">
        <v>26312</v>
      </c>
      <c r="J123" s="6" t="s">
        <v>24</v>
      </c>
      <c r="K123" s="6" t="n">
        <v>26312</v>
      </c>
    </row>
    <row r="124" customFormat="false" ht="14.4" hidden="false" customHeight="false" outlineLevel="0" collapsed="false">
      <c r="A124" s="13" t="n">
        <v>12</v>
      </c>
      <c r="B124" s="14" t="s">
        <v>151</v>
      </c>
      <c r="C124" s="13" t="n">
        <v>0</v>
      </c>
      <c r="D124" s="13" t="n">
        <f aca="false">Table1[[#This Row],[Steps]]-C123</f>
        <v>0</v>
      </c>
      <c r="F124" s="6" t="s">
        <v>26</v>
      </c>
      <c r="G124" s="6" t="n">
        <v>0</v>
      </c>
      <c r="J124" s="6" t="s">
        <v>26</v>
      </c>
      <c r="K124" s="6" t="n">
        <v>0</v>
      </c>
    </row>
    <row r="125" customFormat="false" ht="14.4" hidden="false" customHeight="false" outlineLevel="0" collapsed="false">
      <c r="A125" s="13" t="n">
        <v>13</v>
      </c>
      <c r="B125" s="14" t="s">
        <v>152</v>
      </c>
      <c r="C125" s="13" t="n">
        <v>5568</v>
      </c>
      <c r="D125" s="13" t="n">
        <f aca="false">Table1[[#This Row],[Steps]]-C124</f>
        <v>5568</v>
      </c>
      <c r="F125" s="6" t="s">
        <v>28</v>
      </c>
      <c r="G125" s="6" t="n">
        <v>26312</v>
      </c>
      <c r="J125" s="6" t="s">
        <v>28</v>
      </c>
      <c r="K125" s="6" t="n">
        <v>26312</v>
      </c>
    </row>
    <row r="126" customFormat="false" ht="14.4" hidden="false" customHeight="false" outlineLevel="0" collapsed="false">
      <c r="A126" s="13" t="n">
        <v>14</v>
      </c>
      <c r="B126" s="14" t="s">
        <v>153</v>
      </c>
      <c r="C126" s="13" t="n">
        <v>0</v>
      </c>
      <c r="D126" s="13" t="n">
        <f aca="false">Table1[[#This Row],[Steps]]-C125</f>
        <v>-5568</v>
      </c>
      <c r="F126" s="6" t="s">
        <v>30</v>
      </c>
      <c r="G126" s="6" t="n">
        <v>190767</v>
      </c>
      <c r="J126" s="6" t="s">
        <v>30</v>
      </c>
      <c r="K126" s="6" t="n">
        <v>639327</v>
      </c>
    </row>
    <row r="127" customFormat="false" ht="14.4" hidden="false" customHeight="false" outlineLevel="0" collapsed="false">
      <c r="A127" s="13" t="n">
        <v>15</v>
      </c>
      <c r="B127" s="14" t="s">
        <v>154</v>
      </c>
      <c r="C127" s="13" t="n">
        <v>0</v>
      </c>
      <c r="D127" s="13" t="n">
        <f aca="false">Table1[[#This Row],[Steps]]-C126</f>
        <v>0</v>
      </c>
      <c r="F127" s="6" t="s">
        <v>32</v>
      </c>
      <c r="G127" s="6" t="n">
        <v>30</v>
      </c>
      <c r="J127" s="6" t="s">
        <v>32</v>
      </c>
      <c r="K127" s="6" t="n">
        <v>141</v>
      </c>
    </row>
    <row r="128" customFormat="false" ht="14.4" hidden="false" customHeight="false" outlineLevel="0" collapsed="false">
      <c r="A128" s="13" t="n">
        <v>16</v>
      </c>
      <c r="B128" s="14" t="s">
        <v>155</v>
      </c>
      <c r="C128" s="13" t="n">
        <v>0</v>
      </c>
      <c r="D128" s="13" t="n">
        <f aca="false">Table1[[#This Row],[Steps]]-C127</f>
        <v>0</v>
      </c>
      <c r="F128" s="6" t="s">
        <v>34</v>
      </c>
      <c r="G128" s="6" t="n">
        <v>26312</v>
      </c>
      <c r="J128" s="6" t="s">
        <v>34</v>
      </c>
      <c r="K128" s="6" t="n">
        <v>26312</v>
      </c>
    </row>
    <row r="129" customFormat="false" ht="14.4" hidden="false" customHeight="false" outlineLevel="0" collapsed="false">
      <c r="A129" s="13" t="n">
        <v>17</v>
      </c>
      <c r="B129" s="14" t="s">
        <v>156</v>
      </c>
      <c r="C129" s="13" t="n">
        <v>2313</v>
      </c>
      <c r="D129" s="13" t="n">
        <f aca="false">Table1[[#This Row],[Steps]]-C128</f>
        <v>2313</v>
      </c>
      <c r="F129" s="6" t="s">
        <v>36</v>
      </c>
      <c r="G129" s="6" t="n">
        <v>0</v>
      </c>
      <c r="J129" s="6" t="s">
        <v>36</v>
      </c>
      <c r="K129" s="6" t="n">
        <v>0</v>
      </c>
    </row>
    <row r="130" customFormat="false" ht="14.4" hidden="false" customHeight="false" outlineLevel="0" collapsed="false">
      <c r="A130" s="13" t="n">
        <v>18</v>
      </c>
      <c r="B130" s="14" t="s">
        <v>157</v>
      </c>
      <c r="C130" s="13" t="n">
        <v>0</v>
      </c>
      <c r="D130" s="13" t="n">
        <f aca="false">Table1[[#This Row],[Steps]]-C129</f>
        <v>-2313</v>
      </c>
      <c r="F130" s="6" t="s">
        <v>158</v>
      </c>
      <c r="G130" s="6" t="n">
        <v>2414.52757089247</v>
      </c>
      <c r="J130" s="6" t="s">
        <v>158</v>
      </c>
      <c r="K130" s="6" t="n">
        <v>875.916371849922</v>
      </c>
    </row>
    <row r="131" customFormat="false" ht="14.4" hidden="false" customHeight="false" outlineLevel="0" collapsed="false">
      <c r="A131" s="13" t="n">
        <v>19</v>
      </c>
      <c r="B131" s="14" t="s">
        <v>159</v>
      </c>
      <c r="C131" s="13" t="n">
        <v>6954</v>
      </c>
      <c r="D131" s="13" t="n">
        <f aca="false">Table1[[#This Row],[Steps]]-C130</f>
        <v>6954</v>
      </c>
    </row>
    <row r="132" customFormat="false" ht="14.4" hidden="false" customHeight="false" outlineLevel="0" collapsed="false">
      <c r="A132" s="13" t="n">
        <v>20</v>
      </c>
      <c r="B132" s="14" t="s">
        <v>160</v>
      </c>
      <c r="C132" s="13" t="n">
        <v>0</v>
      </c>
      <c r="D132" s="13" t="n">
        <f aca="false">Table1[[#This Row],[Steps]]-C131</f>
        <v>-6954</v>
      </c>
    </row>
    <row r="133" customFormat="false" ht="14.4" hidden="false" customHeight="false" outlineLevel="0" collapsed="false">
      <c r="A133" s="13" t="n">
        <v>21</v>
      </c>
      <c r="B133" s="14" t="s">
        <v>161</v>
      </c>
      <c r="C133" s="13" t="n">
        <v>0</v>
      </c>
      <c r="D133" s="13" t="n">
        <f aca="false">Table1[[#This Row],[Steps]]-C132</f>
        <v>0</v>
      </c>
    </row>
    <row r="134" customFormat="false" ht="14.4" hidden="false" customHeight="false" outlineLevel="0" collapsed="false">
      <c r="A134" s="13" t="n">
        <v>22</v>
      </c>
      <c r="B134" s="14" t="s">
        <v>162</v>
      </c>
      <c r="C134" s="13" t="n">
        <v>0</v>
      </c>
      <c r="D134" s="13" t="n">
        <f aca="false">Table1[[#This Row],[Steps]]-C133</f>
        <v>0</v>
      </c>
    </row>
    <row r="135" customFormat="false" ht="14.4" hidden="false" customHeight="false" outlineLevel="0" collapsed="false">
      <c r="A135" s="13" t="n">
        <v>23</v>
      </c>
      <c r="B135" s="14" t="s">
        <v>163</v>
      </c>
      <c r="C135" s="13" t="n">
        <v>8750</v>
      </c>
      <c r="D135" s="13" t="n">
        <f aca="false">Table1[[#This Row],[Steps]]-C134</f>
        <v>8750</v>
      </c>
    </row>
    <row r="136" customFormat="false" ht="14.4" hidden="false" customHeight="false" outlineLevel="0" collapsed="false">
      <c r="A136" s="13" t="n">
        <v>24</v>
      </c>
      <c r="B136" s="14" t="s">
        <v>164</v>
      </c>
      <c r="C136" s="13" t="n">
        <v>13187</v>
      </c>
      <c r="D136" s="13" t="n">
        <f aca="false">Table1[[#This Row],[Steps]]-C135</f>
        <v>4437</v>
      </c>
    </row>
    <row r="137" customFormat="false" ht="14.4" hidden="false" customHeight="false" outlineLevel="0" collapsed="false">
      <c r="A137" s="13" t="n">
        <v>25</v>
      </c>
      <c r="B137" s="14" t="s">
        <v>165</v>
      </c>
      <c r="C137" s="13" t="n">
        <v>1420</v>
      </c>
      <c r="D137" s="13" t="n">
        <f aca="false">Table1[[#This Row],[Steps]]-C136</f>
        <v>-11767</v>
      </c>
    </row>
    <row r="138" customFormat="false" ht="14.4" hidden="false" customHeight="false" outlineLevel="0" collapsed="false">
      <c r="A138" s="13" t="n">
        <v>26</v>
      </c>
      <c r="B138" s="14" t="s">
        <v>166</v>
      </c>
      <c r="C138" s="13" t="n">
        <v>6498</v>
      </c>
      <c r="D138" s="13" t="n">
        <f aca="false">Table1[[#This Row],[Steps]]-C137</f>
        <v>5078</v>
      </c>
    </row>
    <row r="139" customFormat="false" ht="14.4" hidden="false" customHeight="false" outlineLevel="0" collapsed="false">
      <c r="A139" s="13" t="n">
        <v>27</v>
      </c>
      <c r="B139" s="14" t="s">
        <v>167</v>
      </c>
      <c r="C139" s="13" t="n">
        <v>13179</v>
      </c>
      <c r="D139" s="13" t="n">
        <f aca="false">Table1[[#This Row],[Steps]]-C138</f>
        <v>6681</v>
      </c>
    </row>
    <row r="140" customFormat="false" ht="14.4" hidden="false" customHeight="false" outlineLevel="0" collapsed="false">
      <c r="A140" s="13" t="n">
        <v>28</v>
      </c>
      <c r="B140" s="14" t="s">
        <v>168</v>
      </c>
      <c r="C140" s="13" t="n">
        <v>4793</v>
      </c>
      <c r="D140" s="13" t="n">
        <f aca="false">Table1[[#This Row],[Steps]]-C139</f>
        <v>-8386</v>
      </c>
    </row>
    <row r="141" customFormat="false" ht="14.4" hidden="false" customHeight="false" outlineLevel="0" collapsed="false">
      <c r="A141" s="13" t="n">
        <v>29</v>
      </c>
      <c r="B141" s="14" t="s">
        <v>169</v>
      </c>
      <c r="C141" s="13" t="n">
        <v>9237</v>
      </c>
      <c r="D141" s="13" t="n">
        <f aca="false">Table1[[#This Row],[Steps]]-C140</f>
        <v>4444</v>
      </c>
    </row>
    <row r="142" customFormat="false" ht="14.4" hidden="false" customHeight="false" outlineLevel="0" collapsed="false">
      <c r="A142" s="13" t="n">
        <v>30</v>
      </c>
      <c r="B142" s="14" t="s">
        <v>170</v>
      </c>
      <c r="C142" s="13" t="n">
        <v>11869</v>
      </c>
      <c r="D142" s="13" t="n">
        <f aca="false">Table1[[#This Row],[Steps]]-C141</f>
        <v>2632</v>
      </c>
    </row>
    <row r="143" customFormat="false" ht="14.4" hidden="false" customHeight="false" outlineLevel="0" collapsed="false">
      <c r="A143" s="15" t="n">
        <v>1</v>
      </c>
      <c r="B143" s="16" t="n">
        <v>43070</v>
      </c>
      <c r="C143" s="15" t="n">
        <v>0</v>
      </c>
      <c r="D143" s="15" t="n">
        <f aca="false">Table1[[#This Row],[Steps]]-C142</f>
        <v>-11869</v>
      </c>
      <c r="F143" s="5" t="s">
        <v>171</v>
      </c>
      <c r="G143" s="5"/>
      <c r="J143" s="5" t="s">
        <v>172</v>
      </c>
      <c r="K143" s="5"/>
    </row>
    <row r="144" customFormat="false" ht="14.4" hidden="false" customHeight="false" outlineLevel="0" collapsed="false">
      <c r="A144" s="15" t="n">
        <v>2</v>
      </c>
      <c r="B144" s="16" t="n">
        <v>43071</v>
      </c>
      <c r="C144" s="15" t="n">
        <v>1366</v>
      </c>
      <c r="D144" s="15" t="n">
        <f aca="false">Table1[[#This Row],[Steps]]-C143</f>
        <v>1366</v>
      </c>
      <c r="F144" s="6"/>
      <c r="G144" s="6"/>
      <c r="J144" s="6"/>
      <c r="K144" s="6"/>
    </row>
    <row r="145" customFormat="false" ht="14.4" hidden="false" customHeight="false" outlineLevel="0" collapsed="false">
      <c r="A145" s="15" t="n">
        <v>3</v>
      </c>
      <c r="B145" s="16" t="n">
        <v>43072</v>
      </c>
      <c r="C145" s="15" t="n">
        <v>3237</v>
      </c>
      <c r="D145" s="15" t="n">
        <f aca="false">Table1[[#This Row],[Steps]]-C144</f>
        <v>1871</v>
      </c>
      <c r="F145" s="6" t="s">
        <v>8</v>
      </c>
      <c r="G145" s="6" t="n">
        <v>7513.67741935484</v>
      </c>
      <c r="J145" s="6" t="s">
        <v>8</v>
      </c>
      <c r="K145" s="6" t="n">
        <v>5071.22674418605</v>
      </c>
    </row>
    <row r="146" customFormat="false" ht="14.4" hidden="false" customHeight="false" outlineLevel="0" collapsed="false">
      <c r="A146" s="15" t="n">
        <v>4</v>
      </c>
      <c r="B146" s="16" t="n">
        <v>43073</v>
      </c>
      <c r="C146" s="15" t="n">
        <v>10987</v>
      </c>
      <c r="D146" s="15" t="n">
        <f aca="false">Table1[[#This Row],[Steps]]-C145</f>
        <v>7750</v>
      </c>
      <c r="F146" s="6" t="s">
        <v>10</v>
      </c>
      <c r="G146" s="6" t="n">
        <v>1028.94817302328</v>
      </c>
      <c r="J146" s="6" t="s">
        <v>10</v>
      </c>
      <c r="K146" s="6" t="n">
        <v>415.794325918435</v>
      </c>
    </row>
    <row r="147" customFormat="false" ht="14.4" hidden="false" customHeight="false" outlineLevel="0" collapsed="false">
      <c r="A147" s="15" t="n">
        <v>5</v>
      </c>
      <c r="B147" s="16" t="n">
        <v>43074</v>
      </c>
      <c r="C147" s="15" t="n">
        <v>12669</v>
      </c>
      <c r="D147" s="15" t="n">
        <f aca="false">Table1[[#This Row],[Steps]]-C146</f>
        <v>1682</v>
      </c>
      <c r="F147" s="6" t="s">
        <v>12</v>
      </c>
      <c r="G147" s="6" t="n">
        <v>6477</v>
      </c>
      <c r="J147" s="6" t="s">
        <v>12</v>
      </c>
      <c r="K147" s="6" t="n">
        <v>3305.5</v>
      </c>
    </row>
    <row r="148" customFormat="false" ht="14.4" hidden="false" customHeight="false" outlineLevel="0" collapsed="false">
      <c r="A148" s="15" t="n">
        <v>6</v>
      </c>
      <c r="B148" s="16" t="n">
        <v>43075</v>
      </c>
      <c r="C148" s="15" t="n">
        <v>5815</v>
      </c>
      <c r="D148" s="15" t="n">
        <f aca="false">Table1[[#This Row],[Steps]]-C147</f>
        <v>-6854</v>
      </c>
      <c r="F148" s="6" t="s">
        <v>14</v>
      </c>
      <c r="G148" s="6" t="n">
        <v>0</v>
      </c>
      <c r="J148" s="6" t="s">
        <v>14</v>
      </c>
      <c r="K148" s="6" t="n">
        <v>0</v>
      </c>
    </row>
    <row r="149" customFormat="false" ht="14.4" hidden="false" customHeight="false" outlineLevel="0" collapsed="false">
      <c r="A149" s="15" t="n">
        <v>7</v>
      </c>
      <c r="B149" s="16" t="n">
        <v>43076</v>
      </c>
      <c r="C149" s="15" t="n">
        <v>11597</v>
      </c>
      <c r="D149" s="15" t="n">
        <f aca="false">Table1[[#This Row],[Steps]]-C148</f>
        <v>5782</v>
      </c>
      <c r="F149" s="6" t="s">
        <v>16</v>
      </c>
      <c r="G149" s="6" t="n">
        <v>5728.94096895809</v>
      </c>
      <c r="J149" s="6" t="s">
        <v>16</v>
      </c>
      <c r="K149" s="6" t="n">
        <v>5453.09146192745</v>
      </c>
    </row>
    <row r="150" customFormat="false" ht="14.4" hidden="false" customHeight="false" outlineLevel="0" collapsed="false">
      <c r="A150" s="15" t="n">
        <v>8</v>
      </c>
      <c r="B150" s="16" t="n">
        <v>43077</v>
      </c>
      <c r="C150" s="15" t="n">
        <v>14590</v>
      </c>
      <c r="D150" s="15" t="n">
        <f aca="false">Table1[[#This Row],[Steps]]-C149</f>
        <v>2993</v>
      </c>
      <c r="F150" s="6" t="s">
        <v>18</v>
      </c>
      <c r="G150" s="6" t="n">
        <v>32820764.6258064</v>
      </c>
      <c r="J150" s="6" t="s">
        <v>18</v>
      </c>
      <c r="K150" s="6" t="n">
        <v>29736206.4921461</v>
      </c>
    </row>
    <row r="151" customFormat="false" ht="14.4" hidden="false" customHeight="false" outlineLevel="0" collapsed="false">
      <c r="A151" s="15" t="n">
        <v>9</v>
      </c>
      <c r="B151" s="16" t="n">
        <v>43078</v>
      </c>
      <c r="C151" s="15" t="n">
        <v>1485</v>
      </c>
      <c r="D151" s="15" t="n">
        <f aca="false">Table1[[#This Row],[Steps]]-C150</f>
        <v>-13105</v>
      </c>
      <c r="F151" s="6" t="s">
        <v>20</v>
      </c>
      <c r="G151" s="6" t="n">
        <v>-0.0946967332298074</v>
      </c>
      <c r="J151" s="6" t="s">
        <v>20</v>
      </c>
      <c r="K151" s="6" t="n">
        <v>1.65528203421026</v>
      </c>
    </row>
    <row r="152" customFormat="false" ht="14.4" hidden="false" customHeight="false" outlineLevel="0" collapsed="false">
      <c r="A152" s="15" t="n">
        <v>10</v>
      </c>
      <c r="B152" s="16" t="n">
        <v>43079</v>
      </c>
      <c r="C152" s="15" t="n">
        <v>0</v>
      </c>
      <c r="D152" s="15" t="n">
        <f aca="false">Table1[[#This Row],[Steps]]-C151</f>
        <v>-1485</v>
      </c>
      <c r="F152" s="6" t="s">
        <v>22</v>
      </c>
      <c r="G152" s="6" t="n">
        <v>0.645198066814117</v>
      </c>
      <c r="J152" s="6" t="s">
        <v>22</v>
      </c>
      <c r="K152" s="6" t="n">
        <v>1.24412686022445</v>
      </c>
    </row>
    <row r="153" customFormat="false" ht="14.4" hidden="false" customHeight="false" outlineLevel="0" collapsed="false">
      <c r="A153" s="15" t="n">
        <v>11</v>
      </c>
      <c r="B153" s="16" t="n">
        <v>43080</v>
      </c>
      <c r="C153" s="15" t="n">
        <v>9615</v>
      </c>
      <c r="D153" s="15" t="n">
        <f aca="false">Table1[[#This Row],[Steps]]-C152</f>
        <v>9615</v>
      </c>
      <c r="F153" s="6" t="s">
        <v>24</v>
      </c>
      <c r="G153" s="6" t="n">
        <v>22382</v>
      </c>
      <c r="J153" s="6" t="s">
        <v>24</v>
      </c>
      <c r="K153" s="6" t="n">
        <v>26312</v>
      </c>
    </row>
    <row r="154" customFormat="false" ht="14.4" hidden="false" customHeight="false" outlineLevel="0" collapsed="false">
      <c r="A154" s="15" t="n">
        <v>12</v>
      </c>
      <c r="B154" s="16" t="n">
        <v>43081</v>
      </c>
      <c r="C154" s="15" t="n">
        <v>7067</v>
      </c>
      <c r="D154" s="15" t="n">
        <f aca="false">Table1[[#This Row],[Steps]]-C153</f>
        <v>-2548</v>
      </c>
      <c r="F154" s="6" t="s">
        <v>26</v>
      </c>
      <c r="G154" s="6" t="n">
        <v>0</v>
      </c>
      <c r="J154" s="6" t="s">
        <v>26</v>
      </c>
      <c r="K154" s="6" t="n">
        <v>0</v>
      </c>
    </row>
    <row r="155" customFormat="false" ht="14.4" hidden="false" customHeight="false" outlineLevel="0" collapsed="false">
      <c r="A155" s="15" t="n">
        <v>13</v>
      </c>
      <c r="B155" s="16" t="n">
        <v>43082</v>
      </c>
      <c r="C155" s="15" t="n">
        <v>9355</v>
      </c>
      <c r="D155" s="15" t="n">
        <f aca="false">Table1[[#This Row],[Steps]]-C154</f>
        <v>2288</v>
      </c>
      <c r="F155" s="6" t="s">
        <v>28</v>
      </c>
      <c r="G155" s="6" t="n">
        <v>22382</v>
      </c>
      <c r="J155" s="6" t="s">
        <v>28</v>
      </c>
      <c r="K155" s="6" t="n">
        <v>26312</v>
      </c>
    </row>
    <row r="156" customFormat="false" ht="14.4" hidden="false" customHeight="false" outlineLevel="0" collapsed="false">
      <c r="A156" s="15" t="n">
        <v>14</v>
      </c>
      <c r="B156" s="16" t="n">
        <v>43083</v>
      </c>
      <c r="C156" s="15" t="n">
        <v>6477</v>
      </c>
      <c r="D156" s="15" t="n">
        <f aca="false">Table1[[#This Row],[Steps]]-C155</f>
        <v>-2878</v>
      </c>
      <c r="F156" s="6" t="s">
        <v>30</v>
      </c>
      <c r="G156" s="6" t="n">
        <v>232924</v>
      </c>
      <c r="J156" s="6" t="s">
        <v>30</v>
      </c>
      <c r="K156" s="6" t="n">
        <v>872251</v>
      </c>
    </row>
    <row r="157" customFormat="false" ht="14.4" hidden="false" customHeight="false" outlineLevel="0" collapsed="false">
      <c r="A157" s="15" t="n">
        <v>15</v>
      </c>
      <c r="B157" s="16" t="n">
        <v>43084</v>
      </c>
      <c r="C157" s="15" t="n">
        <v>2063</v>
      </c>
      <c r="D157" s="15" t="n">
        <f aca="false">Table1[[#This Row],[Steps]]-C156</f>
        <v>-4414</v>
      </c>
      <c r="F157" s="6" t="s">
        <v>32</v>
      </c>
      <c r="G157" s="6" t="n">
        <v>31</v>
      </c>
      <c r="J157" s="6" t="s">
        <v>32</v>
      </c>
      <c r="K157" s="6" t="n">
        <v>172</v>
      </c>
    </row>
    <row r="158" customFormat="false" ht="14.4" hidden="false" customHeight="false" outlineLevel="0" collapsed="false">
      <c r="A158" s="15" t="n">
        <v>16</v>
      </c>
      <c r="B158" s="16" t="n">
        <v>43085</v>
      </c>
      <c r="C158" s="15" t="n">
        <v>1986</v>
      </c>
      <c r="D158" s="15" t="n">
        <f aca="false">Table1[[#This Row],[Steps]]-C157</f>
        <v>-77</v>
      </c>
      <c r="F158" s="6" t="s">
        <v>34</v>
      </c>
      <c r="G158" s="6" t="n">
        <v>22382</v>
      </c>
      <c r="J158" s="6" t="s">
        <v>34</v>
      </c>
      <c r="K158" s="6" t="n">
        <v>26312</v>
      </c>
    </row>
    <row r="159" customFormat="false" ht="14.4" hidden="false" customHeight="false" outlineLevel="0" collapsed="false">
      <c r="A159" s="15" t="n">
        <v>17</v>
      </c>
      <c r="B159" s="16" t="n">
        <v>43086</v>
      </c>
      <c r="C159" s="15" t="n">
        <v>2939</v>
      </c>
      <c r="D159" s="15" t="n">
        <f aca="false">Table1[[#This Row],[Steps]]-C158</f>
        <v>953</v>
      </c>
      <c r="F159" s="6" t="s">
        <v>36</v>
      </c>
      <c r="G159" s="6" t="n">
        <v>0</v>
      </c>
      <c r="J159" s="6" t="s">
        <v>36</v>
      </c>
      <c r="K159" s="6" t="n">
        <v>0</v>
      </c>
    </row>
    <row r="160" customFormat="false" ht="14.4" hidden="false" customHeight="false" outlineLevel="0" collapsed="false">
      <c r="A160" s="15" t="n">
        <v>18</v>
      </c>
      <c r="B160" s="16" t="n">
        <v>43087</v>
      </c>
      <c r="C160" s="15" t="n">
        <v>2547</v>
      </c>
      <c r="D160" s="15" t="n">
        <f aca="false">Table1[[#This Row],[Steps]]-C159</f>
        <v>-392</v>
      </c>
      <c r="F160" s="6" t="s">
        <v>158</v>
      </c>
      <c r="G160" s="6" t="n">
        <v>2101.39251272693</v>
      </c>
      <c r="J160" s="6" t="s">
        <v>158</v>
      </c>
      <c r="K160" s="6" t="n">
        <v>820.750537853811</v>
      </c>
    </row>
    <row r="161" customFormat="false" ht="14.4" hidden="false" customHeight="false" outlineLevel="0" collapsed="false">
      <c r="A161" s="15" t="n">
        <v>19</v>
      </c>
      <c r="B161" s="16" t="n">
        <v>43088</v>
      </c>
      <c r="C161" s="15" t="n">
        <v>8543</v>
      </c>
      <c r="D161" s="15" t="n">
        <f aca="false">Table1[[#This Row],[Steps]]-C160</f>
        <v>5996</v>
      </c>
    </row>
    <row r="162" customFormat="false" ht="14.4" hidden="false" customHeight="false" outlineLevel="0" collapsed="false">
      <c r="A162" s="15" t="n">
        <v>20</v>
      </c>
      <c r="B162" s="16" t="n">
        <v>43089</v>
      </c>
      <c r="C162" s="15" t="n">
        <v>14427</v>
      </c>
      <c r="D162" s="15" t="n">
        <f aca="false">Table1[[#This Row],[Steps]]-C161</f>
        <v>5884</v>
      </c>
    </row>
    <row r="163" customFormat="false" ht="14.4" hidden="false" customHeight="false" outlineLevel="0" collapsed="false">
      <c r="A163" s="15" t="n">
        <v>21</v>
      </c>
      <c r="B163" s="16" t="n">
        <v>43090</v>
      </c>
      <c r="C163" s="15" t="n">
        <v>22382</v>
      </c>
      <c r="D163" s="15" t="n">
        <f aca="false">Table1[[#This Row],[Steps]]-C162</f>
        <v>7955</v>
      </c>
    </row>
    <row r="164" customFormat="false" ht="14.4" hidden="false" customHeight="false" outlineLevel="0" collapsed="false">
      <c r="A164" s="15" t="n">
        <v>22</v>
      </c>
      <c r="B164" s="16" t="n">
        <v>43091</v>
      </c>
      <c r="C164" s="15" t="n">
        <v>11973</v>
      </c>
      <c r="D164" s="15" t="n">
        <f aca="false">Table1[[#This Row],[Steps]]-C163</f>
        <v>-10409</v>
      </c>
    </row>
    <row r="165" customFormat="false" ht="14.4" hidden="false" customHeight="false" outlineLevel="0" collapsed="false">
      <c r="A165" s="15" t="n">
        <v>23</v>
      </c>
      <c r="B165" s="16" t="n">
        <v>43092</v>
      </c>
      <c r="C165" s="15" t="n">
        <v>13805</v>
      </c>
      <c r="D165" s="15" t="n">
        <f aca="false">Table1[[#This Row],[Steps]]-C164</f>
        <v>1832</v>
      </c>
    </row>
    <row r="166" customFormat="false" ht="14.4" hidden="false" customHeight="false" outlineLevel="0" collapsed="false">
      <c r="A166" s="15" t="n">
        <v>24</v>
      </c>
      <c r="B166" s="16" t="n">
        <v>43093</v>
      </c>
      <c r="C166" s="15" t="n">
        <v>4522</v>
      </c>
      <c r="D166" s="15" t="n">
        <f aca="false">Table1[[#This Row],[Steps]]-C165</f>
        <v>-9283</v>
      </c>
    </row>
    <row r="167" customFormat="false" ht="14.4" hidden="false" customHeight="false" outlineLevel="0" collapsed="false">
      <c r="A167" s="15" t="n">
        <v>25</v>
      </c>
      <c r="B167" s="16" t="n">
        <v>43094</v>
      </c>
      <c r="C167" s="15" t="n">
        <v>6088</v>
      </c>
      <c r="D167" s="15" t="n">
        <f aca="false">Table1[[#This Row],[Steps]]-C166</f>
        <v>1566</v>
      </c>
    </row>
    <row r="168" customFormat="false" ht="14.4" hidden="false" customHeight="false" outlineLevel="0" collapsed="false">
      <c r="A168" s="15" t="n">
        <v>26</v>
      </c>
      <c r="B168" s="16" t="n">
        <v>43095</v>
      </c>
      <c r="C168" s="15" t="n">
        <v>7185</v>
      </c>
      <c r="D168" s="15" t="n">
        <f aca="false">Table1[[#This Row],[Steps]]-C167</f>
        <v>1097</v>
      </c>
    </row>
    <row r="169" customFormat="false" ht="14.4" hidden="false" customHeight="false" outlineLevel="0" collapsed="false">
      <c r="A169" s="15" t="n">
        <v>27</v>
      </c>
      <c r="B169" s="16" t="n">
        <v>43096</v>
      </c>
      <c r="C169" s="15" t="n">
        <v>12965</v>
      </c>
      <c r="D169" s="15" t="n">
        <f aca="false">Table1[[#This Row],[Steps]]-C168</f>
        <v>5780</v>
      </c>
    </row>
    <row r="170" customFormat="false" ht="14.4" hidden="false" customHeight="false" outlineLevel="0" collapsed="false">
      <c r="A170" s="15" t="n">
        <v>28</v>
      </c>
      <c r="B170" s="16" t="n">
        <v>43097</v>
      </c>
      <c r="C170" s="15" t="n">
        <v>6091</v>
      </c>
      <c r="D170" s="15" t="n">
        <f aca="false">Table1[[#This Row],[Steps]]-C169</f>
        <v>-6874</v>
      </c>
    </row>
    <row r="171" customFormat="false" ht="14.4" hidden="false" customHeight="false" outlineLevel="0" collapsed="false">
      <c r="A171" s="15" t="n">
        <v>29</v>
      </c>
      <c r="B171" s="16" t="n">
        <v>43098</v>
      </c>
      <c r="C171" s="15" t="n">
        <v>3169</v>
      </c>
      <c r="D171" s="15" t="n">
        <f aca="false">Table1[[#This Row],[Steps]]-C170</f>
        <v>-2922</v>
      </c>
    </row>
    <row r="172" customFormat="false" ht="14.4" hidden="false" customHeight="false" outlineLevel="0" collapsed="false">
      <c r="A172" s="15" t="n">
        <v>30</v>
      </c>
      <c r="B172" s="16" t="n">
        <v>43099</v>
      </c>
      <c r="C172" s="15" t="n">
        <v>28</v>
      </c>
      <c r="D172" s="15" t="n">
        <f aca="false">Table1[[#This Row],[Steps]]-C171</f>
        <v>-3141</v>
      </c>
    </row>
    <row r="173" customFormat="false" ht="14.4" hidden="false" customHeight="false" outlineLevel="0" collapsed="false">
      <c r="A173" s="15" t="n">
        <v>31</v>
      </c>
      <c r="B173" s="16" t="n">
        <v>43100</v>
      </c>
      <c r="C173" s="15" t="n">
        <v>17951</v>
      </c>
      <c r="D173" s="15" t="n">
        <f aca="false">Table1[[#This Row],[Steps]]-C172</f>
        <v>17923</v>
      </c>
    </row>
  </sheetData>
  <mergeCells count="12">
    <mergeCell ref="F2:G2"/>
    <mergeCell ref="J2:K2"/>
    <mergeCell ref="F21:G21"/>
    <mergeCell ref="J21:K21"/>
    <mergeCell ref="F52:G52"/>
    <mergeCell ref="J52:K52"/>
    <mergeCell ref="F82:G82"/>
    <mergeCell ref="J82:K82"/>
    <mergeCell ref="F113:G113"/>
    <mergeCell ref="J113:K113"/>
    <mergeCell ref="F143:G143"/>
    <mergeCell ref="J143:K1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27"/>
  <sheetViews>
    <sheetView showFormulas="false" showGridLines="true" showRowColHeaders="true" showZeros="true" rightToLeft="false" tabSelected="false" showOutlineSymbols="true" defaultGridColor="true" view="normal" topLeftCell="G1" colorId="64" zoomScale="110" zoomScaleNormal="110" zoomScalePageLayoutView="100" workbookViewId="0">
      <selection pane="topLeft" activeCell="R3" activeCellId="0" sqref="R3"/>
    </sheetView>
  </sheetViews>
  <sheetFormatPr defaultColWidth="8.54296875" defaultRowHeight="14.4" customHeight="true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11.11"/>
    <col collapsed="false" customWidth="true" hidden="false" outlineLevel="0" max="4" min="4" style="1" width="11.89"/>
    <col collapsed="false" customWidth="true" hidden="false" outlineLevel="0" max="5" min="5" style="1" width="9.87"/>
    <col collapsed="false" customWidth="true" hidden="false" outlineLevel="0" max="6" min="6" style="1" width="15.66"/>
    <col collapsed="false" customWidth="true" hidden="false" outlineLevel="0" max="7" min="7" style="1" width="10.34"/>
    <col collapsed="false" customWidth="true" hidden="false" outlineLevel="0" max="8" min="8" style="1" width="15.89"/>
    <col collapsed="false" customWidth="true" hidden="false" outlineLevel="0" max="10" min="10" style="1" width="18.44"/>
    <col collapsed="false" customWidth="true" hidden="false" outlineLevel="0" max="11" min="11" style="1" width="21.11"/>
    <col collapsed="false" customWidth="true" hidden="false" outlineLevel="0" max="15" min="15" style="1" width="9.87"/>
    <col collapsed="false" customWidth="true" hidden="false" outlineLevel="0" max="17" min="16" style="1" width="12.55"/>
  </cols>
  <sheetData>
    <row r="1" customFormat="false" ht="14.4" hidden="false" customHeight="false" outlineLevel="0" collapsed="false">
      <c r="A1" s="17" t="s">
        <v>0</v>
      </c>
      <c r="B1" s="18" t="s">
        <v>1</v>
      </c>
      <c r="C1" s="18" t="s">
        <v>2</v>
      </c>
      <c r="D1" s="18" t="s">
        <v>3</v>
      </c>
      <c r="E1" s="18" t="s">
        <v>173</v>
      </c>
      <c r="F1" s="18" t="s">
        <v>174</v>
      </c>
      <c r="G1" s="18" t="s">
        <v>175</v>
      </c>
      <c r="H1" s="18" t="s">
        <v>176</v>
      </c>
      <c r="I1" s="18" t="s">
        <v>177</v>
      </c>
      <c r="J1" s="19" t="s">
        <v>178</v>
      </c>
    </row>
    <row r="2" customFormat="false" ht="14.4" hidden="false" customHeight="false" outlineLevel="0" collapsed="false">
      <c r="A2" s="20" t="n">
        <v>1</v>
      </c>
      <c r="B2" s="21" t="n">
        <v>43101</v>
      </c>
      <c r="C2" s="22" t="n">
        <v>12997</v>
      </c>
      <c r="D2" s="22" t="e">
        <f aca="false">Table13[[#This Row],[Steps]]-C1</f>
        <v>#VALUE!</v>
      </c>
      <c r="E2" s="23" t="n">
        <v>499.1</v>
      </c>
      <c r="F2" s="22" t="e">
        <f aca="false">Table13[[#This Row],[Colories]]-E1</f>
        <v>#VALUE!</v>
      </c>
      <c r="G2" s="24" t="n">
        <v>9.34</v>
      </c>
      <c r="H2" s="24" t="e">
        <f aca="false">Table13[[#This Row],[Distance]]-G1</f>
        <v>#VALUE!</v>
      </c>
      <c r="I2" s="22" t="n">
        <v>112</v>
      </c>
      <c r="J2" s="25" t="e">
        <f aca="false">Table13[[#This Row],[Time]]-I1</f>
        <v>#VALUE!</v>
      </c>
      <c r="K2" s="26" t="s">
        <v>2</v>
      </c>
      <c r="L2" s="26"/>
      <c r="M2" s="5" t="s">
        <v>179</v>
      </c>
      <c r="N2" s="6" t="s">
        <v>175</v>
      </c>
      <c r="O2" s="5" t="s">
        <v>177</v>
      </c>
      <c r="Q2" s="27"/>
      <c r="R2" s="6" t="s">
        <v>2</v>
      </c>
      <c r="S2" s="5" t="s">
        <v>179</v>
      </c>
      <c r="T2" s="6" t="s">
        <v>175</v>
      </c>
      <c r="U2" s="5" t="s">
        <v>177</v>
      </c>
    </row>
    <row r="3" customFormat="false" ht="14.4" hidden="false" customHeight="false" outlineLevel="0" collapsed="false">
      <c r="A3" s="20" t="n">
        <v>2</v>
      </c>
      <c r="B3" s="21" t="n">
        <v>43102</v>
      </c>
      <c r="C3" s="22" t="n">
        <v>9018</v>
      </c>
      <c r="D3" s="22" t="n">
        <f aca="false">Table13[[#This Row],[Steps]]-C2</f>
        <v>-3979</v>
      </c>
      <c r="E3" s="23" t="n">
        <v>348.2</v>
      </c>
      <c r="F3" s="23" t="n">
        <f aca="false">Table13[[#This Row],[Colories]]-E2</f>
        <v>-150.9</v>
      </c>
      <c r="G3" s="24" t="n">
        <v>6.49</v>
      </c>
      <c r="H3" s="24" t="n">
        <f aca="false">Table13[[#This Row],[Distance]]-G2</f>
        <v>-2.85</v>
      </c>
      <c r="I3" s="22" t="n">
        <v>81</v>
      </c>
      <c r="J3" s="25" t="n">
        <f aca="false">Table13[[#This Row],[Time]]-I2</f>
        <v>-31</v>
      </c>
      <c r="K3" s="20"/>
      <c r="L3" s="6"/>
      <c r="M3" s="6"/>
      <c r="N3" s="6"/>
      <c r="O3" s="6"/>
      <c r="Q3" s="1" t="s">
        <v>8</v>
      </c>
      <c r="R3" s="1" t="n">
        <f aca="false">AVERAGE($C$1:$C$366)</f>
        <v>9856.69315068493</v>
      </c>
      <c r="S3" s="1" t="n">
        <f aca="false">AVERAGE($E$1:$E$366)</f>
        <v>383.696438356164</v>
      </c>
      <c r="T3" s="1" t="n">
        <f aca="false">AVERAGE($G$1:$G$366)</f>
        <v>7.12235616438356</v>
      </c>
      <c r="U3" s="1" t="n">
        <f aca="false">AVERAGE($I$1:$I$366)</f>
        <v>89.4931506849315</v>
      </c>
    </row>
    <row r="4" customFormat="false" ht="14.4" hidden="false" customHeight="false" outlineLevel="0" collapsed="false">
      <c r="A4" s="20" t="n">
        <v>3</v>
      </c>
      <c r="B4" s="21" t="n">
        <v>43103</v>
      </c>
      <c r="C4" s="22" t="n">
        <v>11450</v>
      </c>
      <c r="D4" s="22" t="n">
        <f aca="false">Table13[[#This Row],[Steps]]-C3</f>
        <v>2432</v>
      </c>
      <c r="E4" s="23" t="n">
        <v>442.3</v>
      </c>
      <c r="F4" s="23" t="n">
        <f aca="false">Table13[[#This Row],[Colories]]-E3</f>
        <v>94.1</v>
      </c>
      <c r="G4" s="6" t="n">
        <v>8.24</v>
      </c>
      <c r="H4" s="24" t="n">
        <f aca="false">Table13[[#This Row],[Distance]]-G3</f>
        <v>1.75</v>
      </c>
      <c r="I4" s="22" t="n">
        <v>102</v>
      </c>
      <c r="J4" s="25" t="n">
        <f aca="false">Table13[[#This Row],[Time]]-I3</f>
        <v>21</v>
      </c>
      <c r="K4" s="20" t="s">
        <v>8</v>
      </c>
      <c r="L4" s="6" t="n">
        <v>8247.90322580645</v>
      </c>
      <c r="M4" s="6" t="n">
        <v>313.79</v>
      </c>
      <c r="N4" s="6" t="n">
        <v>5.824</v>
      </c>
      <c r="O4" s="6" t="n">
        <v>73.9354838709677</v>
      </c>
      <c r="Q4" s="1" t="s">
        <v>10</v>
      </c>
      <c r="R4" s="1" t="n">
        <f aca="false">SQRT(VAR($C$1:$C$366)/COUNT($C$1:$C$366))</f>
        <v>259.835838957273</v>
      </c>
      <c r="S4" s="1" t="n">
        <f aca="false">SQRT(VAR($E$1:$E$366)/COUNT($E$1:$E$366))</f>
        <v>10.0537091254302</v>
      </c>
      <c r="T4" s="1" t="n">
        <f aca="false">SQRT(VAR($G$1:$G$366)/COUNT($G$1:$G$366))</f>
        <v>0.186676607414192</v>
      </c>
      <c r="U4" s="1" t="n">
        <f aca="false">SQRT(VAR($I$1:$I$366)/COUNT($I$1:$I$366))</f>
        <v>2.37453059588219</v>
      </c>
    </row>
    <row r="5" customFormat="false" ht="14.4" hidden="false" customHeight="false" outlineLevel="0" collapsed="false">
      <c r="A5" s="20" t="n">
        <v>4</v>
      </c>
      <c r="B5" s="21" t="n">
        <v>43104</v>
      </c>
      <c r="C5" s="22" t="n">
        <v>10032</v>
      </c>
      <c r="D5" s="22" t="n">
        <f aca="false">Table13[[#This Row],[Steps]]-C4</f>
        <v>-1418</v>
      </c>
      <c r="E5" s="23" t="n">
        <v>385</v>
      </c>
      <c r="F5" s="23" t="n">
        <f aca="false">Table13[[#This Row],[Colories]]-E4</f>
        <v>-57.3</v>
      </c>
      <c r="G5" s="6" t="n">
        <v>7.22</v>
      </c>
      <c r="H5" s="24" t="n">
        <f aca="false">Table13[[#This Row],[Distance]]-G4</f>
        <v>-1.02</v>
      </c>
      <c r="I5" s="22" t="n">
        <v>85</v>
      </c>
      <c r="J5" s="25" t="n">
        <f aca="false">Table13[[#This Row],[Time]]-I4</f>
        <v>-17</v>
      </c>
      <c r="K5" s="20" t="s">
        <v>10</v>
      </c>
      <c r="L5" s="6" t="n">
        <v>800.649751401328</v>
      </c>
      <c r="M5" s="6" t="n">
        <v>31.2039786551018</v>
      </c>
      <c r="N5" s="6" t="n">
        <v>0.584312072185018</v>
      </c>
      <c r="O5" s="6" t="n">
        <v>7.07713803461631</v>
      </c>
      <c r="Q5" s="1" t="s">
        <v>14</v>
      </c>
      <c r="R5" s="1" t="n">
        <f aca="false">MODE($C$1:$C$366)</f>
        <v>6004</v>
      </c>
      <c r="S5" s="1" t="n">
        <f aca="false">MODE($E$1:$E$366)</f>
        <v>524.9</v>
      </c>
      <c r="T5" s="1" t="n">
        <f aca="false">MODE($G$1:$G$366)</f>
        <v>4.33</v>
      </c>
      <c r="U5" s="1" t="n">
        <f aca="false">MODE($I$1:$I$366)</f>
        <v>61</v>
      </c>
    </row>
    <row r="6" customFormat="false" ht="14.4" hidden="false" customHeight="false" outlineLevel="0" collapsed="false">
      <c r="A6" s="20" t="n">
        <v>5</v>
      </c>
      <c r="B6" s="21" t="n">
        <v>43105</v>
      </c>
      <c r="C6" s="22" t="n">
        <v>11435</v>
      </c>
      <c r="D6" s="22" t="n">
        <f aca="false">Table13[[#This Row],[Steps]]-C5</f>
        <v>1403</v>
      </c>
      <c r="E6" s="23" t="n">
        <v>449.5</v>
      </c>
      <c r="F6" s="23" t="n">
        <f aca="false">Table13[[#This Row],[Colories]]-E5</f>
        <v>64.5</v>
      </c>
      <c r="G6" s="6" t="n">
        <v>8.23</v>
      </c>
      <c r="H6" s="24" t="n">
        <f aca="false">Table13[[#This Row],[Distance]]-G5</f>
        <v>1.01</v>
      </c>
      <c r="I6" s="22" t="n">
        <v>108</v>
      </c>
      <c r="J6" s="25" t="n">
        <f aca="false">Table13[[#This Row],[Time]]-I5</f>
        <v>23</v>
      </c>
      <c r="K6" s="20" t="s">
        <v>12</v>
      </c>
      <c r="L6" s="6" t="n">
        <v>7292</v>
      </c>
      <c r="M6" s="6" t="n">
        <v>268.9</v>
      </c>
      <c r="N6" s="6" t="n">
        <v>5.04</v>
      </c>
      <c r="O6" s="6" t="n">
        <v>64</v>
      </c>
      <c r="Q6" s="1" t="s">
        <v>12</v>
      </c>
      <c r="R6" s="1" t="n">
        <f aca="false">MEDIAN($C$1:$C$366)</f>
        <v>9580</v>
      </c>
      <c r="S6" s="1" t="n">
        <f aca="false">MEDIAN($E$1:$E$366)</f>
        <v>370.2</v>
      </c>
      <c r="T6" s="1" t="n">
        <f aca="false">MEDIAN($G$1:$G$366)</f>
        <v>6.9</v>
      </c>
      <c r="U6" s="1" t="n">
        <f aca="false">MEDIAN($I$1:$I$366)</f>
        <v>86</v>
      </c>
    </row>
    <row r="7" customFormat="false" ht="14.4" hidden="false" customHeight="false" outlineLevel="0" collapsed="false">
      <c r="A7" s="20" t="n">
        <v>6</v>
      </c>
      <c r="B7" s="21" t="n">
        <v>43106</v>
      </c>
      <c r="C7" s="22" t="n">
        <v>8438</v>
      </c>
      <c r="D7" s="22" t="n">
        <f aca="false">Table13[[#This Row],[Steps]]-C6</f>
        <v>-2997</v>
      </c>
      <c r="E7" s="23" t="n">
        <v>337</v>
      </c>
      <c r="F7" s="23" t="n">
        <f aca="false">Table13[[#This Row],[Colories]]-E6</f>
        <v>-112.5</v>
      </c>
      <c r="G7" s="6" t="n">
        <v>6.08</v>
      </c>
      <c r="H7" s="24" t="n">
        <f aca="false">Table13[[#This Row],[Distance]]-G6</f>
        <v>-2.15</v>
      </c>
      <c r="I7" s="22" t="n">
        <v>85</v>
      </c>
      <c r="J7" s="25" t="n">
        <f aca="false">Table13[[#This Row],[Time]]-I6</f>
        <v>-23</v>
      </c>
      <c r="K7" s="20" t="s">
        <v>14</v>
      </c>
      <c r="L7" s="6" t="e">
        <f aca="false">#N/A</f>
        <v>#N/A</v>
      </c>
      <c r="M7" s="6" t="e">
        <f aca="false">#N/A</f>
        <v>#N/A</v>
      </c>
      <c r="N7" s="6" t="e">
        <f aca="false">#N/A</f>
        <v>#N/A</v>
      </c>
      <c r="O7" s="6" t="n">
        <v>112</v>
      </c>
      <c r="Q7" s="1" t="s">
        <v>180</v>
      </c>
      <c r="R7" s="1" t="n">
        <f aca="false">QUARTILE($C$1:$C$366, 1)</f>
        <v>6601</v>
      </c>
      <c r="S7" s="1" t="n">
        <f aca="false">QUARTILE($E$1:$E$366, 1)</f>
        <v>257.9</v>
      </c>
      <c r="T7" s="1" t="n">
        <f aca="false">QUARTILE($G$1:$G$366, 1)</f>
        <v>4.8</v>
      </c>
      <c r="U7" s="1" t="n">
        <f aca="false">QUARTILE($I$1:$I$366, 1)</f>
        <v>61</v>
      </c>
    </row>
    <row r="8" customFormat="false" ht="14.4" hidden="false" customHeight="false" outlineLevel="0" collapsed="false">
      <c r="A8" s="20" t="n">
        <v>7</v>
      </c>
      <c r="B8" s="21" t="n">
        <v>43107</v>
      </c>
      <c r="C8" s="22" t="n">
        <v>10676</v>
      </c>
      <c r="D8" s="22" t="n">
        <f aca="false">Table13[[#This Row],[Steps]]-C7</f>
        <v>2238</v>
      </c>
      <c r="E8" s="23" t="n">
        <v>410.6</v>
      </c>
      <c r="F8" s="23" t="n">
        <f aca="false">Table13[[#This Row],[Colories]]-E7</f>
        <v>73.6</v>
      </c>
      <c r="G8" s="6" t="n">
        <v>7.69</v>
      </c>
      <c r="H8" s="24" t="n">
        <f aca="false">Table13[[#This Row],[Distance]]-G7</f>
        <v>1.61</v>
      </c>
      <c r="I8" s="22" t="n">
        <v>94</v>
      </c>
      <c r="J8" s="25" t="n">
        <f aca="false">Table13[[#This Row],[Time]]-I7</f>
        <v>9</v>
      </c>
      <c r="K8" s="20" t="s">
        <v>16</v>
      </c>
      <c r="L8" s="6" t="n">
        <v>4457.82915296103</v>
      </c>
      <c r="M8" s="6" t="n">
        <v>170.91122993309</v>
      </c>
      <c r="N8" s="6" t="n">
        <v>3.20040902558321</v>
      </c>
      <c r="O8" s="6" t="n">
        <v>39.4038369399656</v>
      </c>
      <c r="Q8" s="1" t="s">
        <v>181</v>
      </c>
      <c r="R8" s="1" t="n">
        <f aca="false">QUARTILE($C$1:$C$366, 3)</f>
        <v>12524</v>
      </c>
      <c r="S8" s="1" t="n">
        <f aca="false">QUARTILE($E$1:$E$366, 3)</f>
        <v>484.5</v>
      </c>
      <c r="T8" s="1" t="n">
        <f aca="false">QUARTILE($G$1:$G$366, 3)</f>
        <v>9.03</v>
      </c>
      <c r="U8" s="1" t="n">
        <f aca="false">QUARTILE($I$1:$I$366, 3)</f>
        <v>112</v>
      </c>
    </row>
    <row r="9" customFormat="false" ht="14.4" hidden="false" customHeight="false" outlineLevel="0" collapsed="false">
      <c r="A9" s="20" t="n">
        <v>8</v>
      </c>
      <c r="B9" s="21" t="n">
        <v>43108</v>
      </c>
      <c r="C9" s="22" t="n">
        <v>7292</v>
      </c>
      <c r="D9" s="22" t="n">
        <f aca="false">Table13[[#This Row],[Steps]]-C8</f>
        <v>-3384</v>
      </c>
      <c r="E9" s="23" t="n">
        <v>280</v>
      </c>
      <c r="F9" s="23" t="n">
        <f aca="false">Table13[[#This Row],[Colories]]-E8</f>
        <v>-130.6</v>
      </c>
      <c r="G9" s="6" t="n">
        <v>5.25</v>
      </c>
      <c r="H9" s="24" t="n">
        <f aca="false">Table13[[#This Row],[Distance]]-G8</f>
        <v>-2.44</v>
      </c>
      <c r="I9" s="22" t="n">
        <v>64</v>
      </c>
      <c r="J9" s="25" t="n">
        <f aca="false">Table13[[#This Row],[Time]]-I8</f>
        <v>-30</v>
      </c>
      <c r="K9" s="20" t="s">
        <v>18</v>
      </c>
      <c r="L9" s="6" t="n">
        <v>19872240.7569892</v>
      </c>
      <c r="M9" s="6" t="n">
        <v>29210.6485172414</v>
      </c>
      <c r="N9" s="6" t="n">
        <v>10.2426179310345</v>
      </c>
      <c r="O9" s="6" t="n">
        <v>1552.6623655914</v>
      </c>
      <c r="Q9" s="1" t="s">
        <v>182</v>
      </c>
      <c r="R9" s="1" t="n">
        <f aca="false">VAR($C$1:$C$366)</f>
        <v>24642852.07042</v>
      </c>
      <c r="S9" s="1" t="n">
        <f aca="false">VAR($E$1:$E$366)</f>
        <v>36893.1295202469</v>
      </c>
      <c r="T9" s="1" t="n">
        <f aca="false">VAR($G$1:$G$366)</f>
        <v>12.7195768508204</v>
      </c>
      <c r="U9" s="1" t="n">
        <f aca="false">VAR($I$1:$I$366)</f>
        <v>2058.01437603493</v>
      </c>
    </row>
    <row r="10" customFormat="false" ht="14.4" hidden="false" customHeight="false" outlineLevel="0" collapsed="false">
      <c r="A10" s="20" t="n">
        <v>9</v>
      </c>
      <c r="B10" s="21" t="n">
        <v>43109</v>
      </c>
      <c r="C10" s="22" t="n">
        <v>20021</v>
      </c>
      <c r="D10" s="22" t="n">
        <f aca="false">Table13[[#This Row],[Steps]]-C9</f>
        <v>12729</v>
      </c>
      <c r="E10" s="23" t="n">
        <v>770.2</v>
      </c>
      <c r="F10" s="23" t="n">
        <f aca="false">Table13[[#This Row],[Colories]]-E9</f>
        <v>490.2</v>
      </c>
      <c r="G10" s="6" t="n">
        <v>14.42</v>
      </c>
      <c r="H10" s="24" t="n">
        <f aca="false">Table13[[#This Row],[Distance]]-G9</f>
        <v>9.17</v>
      </c>
      <c r="I10" s="22" t="n">
        <v>176</v>
      </c>
      <c r="J10" s="25" t="n">
        <f aca="false">Table13[[#This Row],[Time]]-I9</f>
        <v>112</v>
      </c>
      <c r="K10" s="20" t="s">
        <v>20</v>
      </c>
      <c r="L10" s="6" t="n">
        <v>0.678334174930803</v>
      </c>
      <c r="M10" s="6" t="n">
        <v>0.918170987653018</v>
      </c>
      <c r="N10" s="6" t="n">
        <v>0.934533026053629</v>
      </c>
      <c r="O10" s="6" t="n">
        <v>0.575730203217811</v>
      </c>
      <c r="Q10" s="1" t="s">
        <v>16</v>
      </c>
      <c r="R10" s="1" t="n">
        <f aca="false">STDEV($C$1:$C$366)</f>
        <v>4964.15673306353</v>
      </c>
      <c r="S10" s="1" t="n">
        <f aca="false">STDEV($E$1:$E$366)</f>
        <v>192.075843146</v>
      </c>
      <c r="T10" s="1" t="n">
        <f aca="false">STDEV($G$1:$G$366)</f>
        <v>3.5664515769628</v>
      </c>
      <c r="U10" s="1" t="n">
        <f aca="false">STDEV($I$1:$I$366)</f>
        <v>45.3653433364604</v>
      </c>
    </row>
    <row r="11" customFormat="false" ht="14.4" hidden="false" customHeight="false" outlineLevel="0" collapsed="false">
      <c r="A11" s="20" t="n">
        <v>10</v>
      </c>
      <c r="B11" s="21" t="n">
        <v>43110</v>
      </c>
      <c r="C11" s="22" t="n">
        <v>6080</v>
      </c>
      <c r="D11" s="22" t="n">
        <f aca="false">Table13[[#This Row],[Steps]]-C10</f>
        <v>-13941</v>
      </c>
      <c r="E11" s="23" t="n">
        <v>233.8</v>
      </c>
      <c r="F11" s="23" t="n">
        <f aca="false">Table13[[#This Row],[Colories]]-E10</f>
        <v>-536.4</v>
      </c>
      <c r="G11" s="6" t="n">
        <v>4.38</v>
      </c>
      <c r="H11" s="24" t="n">
        <f aca="false">Table13[[#This Row],[Distance]]-G10</f>
        <v>-10.04</v>
      </c>
      <c r="I11" s="22" t="n">
        <v>52</v>
      </c>
      <c r="J11" s="25" t="n">
        <f aca="false">Table13[[#This Row],[Time]]-I10</f>
        <v>-124</v>
      </c>
      <c r="K11" s="20" t="s">
        <v>22</v>
      </c>
      <c r="L11" s="6" t="n">
        <v>0.594495047901757</v>
      </c>
      <c r="M11" s="6" t="n">
        <v>0.681342251997437</v>
      </c>
      <c r="N11" s="6" t="n">
        <v>0.692250461661917</v>
      </c>
      <c r="O11" s="6" t="n">
        <v>0.566680947452889</v>
      </c>
      <c r="Q11" s="1" t="s">
        <v>20</v>
      </c>
      <c r="R11" s="1" t="n">
        <f aca="false">KURT($C$1:$C$366)</f>
        <v>3.97091786760879</v>
      </c>
      <c r="S11" s="1" t="n">
        <f aca="false">KURT($E$1:$E$366)</f>
        <v>4.32086272018992</v>
      </c>
      <c r="T11" s="1" t="n">
        <f aca="false">KURT($G$1:$G$366)</f>
        <v>3.98780629625395</v>
      </c>
      <c r="U11" s="1" t="n">
        <f aca="false">KURT($I$1:$I$366)</f>
        <v>5.4778866661261</v>
      </c>
    </row>
    <row r="12" customFormat="false" ht="14.4" hidden="false" customHeight="false" outlineLevel="0" collapsed="false">
      <c r="A12" s="20" t="n">
        <v>11</v>
      </c>
      <c r="B12" s="21" t="n">
        <v>43111</v>
      </c>
      <c r="C12" s="22" t="n">
        <v>6008</v>
      </c>
      <c r="D12" s="22" t="n">
        <f aca="false">Table13[[#This Row],[Steps]]-C11</f>
        <v>-72</v>
      </c>
      <c r="E12" s="23" t="n">
        <v>236.1</v>
      </c>
      <c r="F12" s="23" t="n">
        <f aca="false">Table13[[#This Row],[Colories]]-E11</f>
        <v>2.29999999999998</v>
      </c>
      <c r="G12" s="6" t="n">
        <v>4.33</v>
      </c>
      <c r="H12" s="24" t="n">
        <f aca="false">Table13[[#This Row],[Distance]]-G11</f>
        <v>-0.0499999999999998</v>
      </c>
      <c r="I12" s="22" t="n">
        <v>56</v>
      </c>
      <c r="J12" s="25" t="n">
        <f aca="false">Table13[[#This Row],[Time]]-I11</f>
        <v>4</v>
      </c>
      <c r="K12" s="20" t="s">
        <v>24</v>
      </c>
      <c r="L12" s="6" t="n">
        <v>19813</v>
      </c>
      <c r="M12" s="6" t="n">
        <v>762</v>
      </c>
      <c r="N12" s="6" t="n">
        <v>14.27</v>
      </c>
      <c r="O12" s="6" t="n">
        <v>174</v>
      </c>
      <c r="Q12" s="1" t="s">
        <v>22</v>
      </c>
      <c r="R12" s="1" t="n">
        <f aca="false">SKEW($C$1:$C$366)</f>
        <v>1.03300931523442</v>
      </c>
      <c r="S12" s="1" t="n">
        <f aca="false">SKEW($E$1:$E$366)</f>
        <v>1.08660335558212</v>
      </c>
      <c r="T12" s="1" t="n">
        <f aca="false">SKEW($G$1:$G$366)</f>
        <v>1.03462586327409</v>
      </c>
      <c r="U12" s="1" t="n">
        <f aca="false">SKEW($I$1:$I$366)</f>
        <v>1.21887986235275</v>
      </c>
    </row>
    <row r="13" customFormat="false" ht="14.4" hidden="false" customHeight="false" outlineLevel="0" collapsed="false">
      <c r="A13" s="20" t="n">
        <v>12</v>
      </c>
      <c r="B13" s="21" t="n">
        <v>43112</v>
      </c>
      <c r="C13" s="22" t="n">
        <v>5712</v>
      </c>
      <c r="D13" s="22" t="n">
        <f aca="false">Table13[[#This Row],[Steps]]-C12</f>
        <v>-296</v>
      </c>
      <c r="E13" s="23" t="n">
        <v>226.7</v>
      </c>
      <c r="F13" s="23" t="n">
        <f aca="false">Table13[[#This Row],[Colories]]-E12</f>
        <v>-9.40000000000001</v>
      </c>
      <c r="G13" s="6" t="n">
        <v>4.11</v>
      </c>
      <c r="H13" s="24" t="n">
        <f aca="false">Table13[[#This Row],[Distance]]-G12</f>
        <v>-0.22</v>
      </c>
      <c r="I13" s="22" t="n">
        <v>54</v>
      </c>
      <c r="J13" s="25" t="n">
        <f aca="false">Table13[[#This Row],[Time]]-I12</f>
        <v>-2</v>
      </c>
      <c r="K13" s="20" t="s">
        <v>26</v>
      </c>
      <c r="L13" s="6" t="n">
        <v>208</v>
      </c>
      <c r="M13" s="6" t="n">
        <v>8.2</v>
      </c>
      <c r="N13" s="6" t="n">
        <v>0.15</v>
      </c>
      <c r="O13" s="6" t="n">
        <v>2</v>
      </c>
      <c r="Q13" s="1" t="s">
        <v>24</v>
      </c>
      <c r="R13" s="1" t="n">
        <f aca="false">MAX($C$1:$C$366)-MIN($C$1:$C$366)</f>
        <v>38613</v>
      </c>
      <c r="S13" s="1" t="n">
        <f aca="false">MAX($E$1:$E$366)-MIN($E$1:$E$366)</f>
        <v>1528.3</v>
      </c>
      <c r="T13" s="1" t="n">
        <f aca="false">MAX($G$1:$G$366)-MIN($G$1:$G$366)</f>
        <v>27.81</v>
      </c>
      <c r="U13" s="1" t="n">
        <f aca="false">MAX($I$1:$I$366)-MIN($I$1:$I$366)</f>
        <v>382</v>
      </c>
    </row>
    <row r="14" customFormat="false" ht="14.4" hidden="false" customHeight="false" outlineLevel="0" collapsed="false">
      <c r="A14" s="20" t="n">
        <v>13</v>
      </c>
      <c r="B14" s="21" t="n">
        <v>43113</v>
      </c>
      <c r="C14" s="22" t="n">
        <v>4604</v>
      </c>
      <c r="D14" s="22" t="n">
        <f aca="false">Table13[[#This Row],[Steps]]-C13</f>
        <v>-1108</v>
      </c>
      <c r="E14" s="23" t="n">
        <v>180.6</v>
      </c>
      <c r="F14" s="23" t="n">
        <f aca="false">Table13[[#This Row],[Colories]]-E13</f>
        <v>-46.1</v>
      </c>
      <c r="G14" s="6" t="n">
        <v>3.31</v>
      </c>
      <c r="H14" s="24" t="n">
        <f aca="false">Table13[[#This Row],[Distance]]-G13</f>
        <v>-0.8</v>
      </c>
      <c r="I14" s="22" t="n">
        <v>43</v>
      </c>
      <c r="J14" s="25" t="n">
        <f aca="false">Table13[[#This Row],[Time]]-I13</f>
        <v>-11</v>
      </c>
      <c r="K14" s="20" t="s">
        <v>28</v>
      </c>
      <c r="L14" s="6" t="n">
        <v>20021</v>
      </c>
      <c r="M14" s="6" t="n">
        <v>770.2</v>
      </c>
      <c r="N14" s="6" t="n">
        <v>14.42</v>
      </c>
      <c r="O14" s="6" t="n">
        <v>176</v>
      </c>
      <c r="Q14" s="1" t="s">
        <v>26</v>
      </c>
      <c r="R14" s="1" t="n">
        <f aca="false">MIN($C$1:$C$366)</f>
        <v>19</v>
      </c>
      <c r="S14" s="1" t="n">
        <f aca="false">MIN($E$1:$E$366)</f>
        <v>0.8</v>
      </c>
      <c r="T14" s="1" t="n">
        <f aca="false">MIN($G$1:$G$366)</f>
        <v>0.01</v>
      </c>
      <c r="U14" s="1" t="n">
        <f aca="false">MIN($I$1:$I$366)</f>
        <v>0</v>
      </c>
    </row>
    <row r="15" customFormat="false" ht="14.4" hidden="false" customHeight="false" outlineLevel="0" collapsed="false">
      <c r="A15" s="20" t="n">
        <v>14</v>
      </c>
      <c r="B15" s="21" t="n">
        <v>43114</v>
      </c>
      <c r="C15" s="22" t="n">
        <v>361</v>
      </c>
      <c r="D15" s="22" t="n">
        <f aca="false">Table13[[#This Row],[Steps]]-C14</f>
        <v>-4243</v>
      </c>
      <c r="E15" s="23" t="n">
        <v>15</v>
      </c>
      <c r="F15" s="23" t="n">
        <f aca="false">Table13[[#This Row],[Colories]]-E14</f>
        <v>-165.6</v>
      </c>
      <c r="G15" s="6" t="n">
        <v>0.26</v>
      </c>
      <c r="H15" s="24" t="n">
        <f aca="false">Table13[[#This Row],[Distance]]-G14</f>
        <v>-3.05</v>
      </c>
      <c r="I15" s="22" t="n">
        <v>4</v>
      </c>
      <c r="J15" s="25" t="n">
        <f aca="false">Table13[[#This Row],[Time]]-I14</f>
        <v>-39</v>
      </c>
      <c r="K15" s="20" t="s">
        <v>30</v>
      </c>
      <c r="L15" s="6" t="n">
        <v>255685</v>
      </c>
      <c r="M15" s="6" t="n">
        <v>9413.7</v>
      </c>
      <c r="N15" s="6" t="n">
        <v>174.72</v>
      </c>
      <c r="O15" s="6" t="n">
        <v>2292</v>
      </c>
      <c r="Q15" s="1" t="s">
        <v>28</v>
      </c>
      <c r="R15" s="1" t="n">
        <f aca="false">MAX($C$1:$C$366)</f>
        <v>38632</v>
      </c>
      <c r="S15" s="1" t="n">
        <f aca="false">MAX($E$1:$E$366)</f>
        <v>1529.1</v>
      </c>
      <c r="T15" s="1" t="n">
        <f aca="false">MAX($G$1:$G$366)</f>
        <v>27.82</v>
      </c>
      <c r="U15" s="1" t="n">
        <f aca="false">MAX($I$1:$I$366)</f>
        <v>382</v>
      </c>
    </row>
    <row r="16" customFormat="false" ht="14.4" hidden="false" customHeight="false" outlineLevel="0" collapsed="false">
      <c r="A16" s="20" t="n">
        <v>15</v>
      </c>
      <c r="B16" s="21" t="n">
        <v>43115</v>
      </c>
      <c r="C16" s="22" t="n">
        <v>6708</v>
      </c>
      <c r="D16" s="22" t="n">
        <f aca="false">Table13[[#This Row],[Steps]]-C15</f>
        <v>6347</v>
      </c>
      <c r="E16" s="23" t="n">
        <v>257.8</v>
      </c>
      <c r="F16" s="23" t="n">
        <f aca="false">Table13[[#This Row],[Colories]]-E15</f>
        <v>242.8</v>
      </c>
      <c r="G16" s="6" t="n">
        <v>4.83</v>
      </c>
      <c r="H16" s="24" t="n">
        <f aca="false">Table13[[#This Row],[Distance]]-G15</f>
        <v>4.57</v>
      </c>
      <c r="I16" s="22" t="n">
        <v>59</v>
      </c>
      <c r="J16" s="25" t="n">
        <f aca="false">Table13[[#This Row],[Time]]-I15</f>
        <v>55</v>
      </c>
      <c r="K16" s="20" t="s">
        <v>32</v>
      </c>
      <c r="L16" s="6" t="n">
        <v>31</v>
      </c>
      <c r="M16" s="6" t="n">
        <v>30</v>
      </c>
      <c r="N16" s="6" t="n">
        <v>30</v>
      </c>
      <c r="O16" s="6" t="n">
        <v>31</v>
      </c>
      <c r="Q16" s="1" t="s">
        <v>30</v>
      </c>
      <c r="R16" s="1" t="n">
        <f aca="false">SUM($C$1:$C$366)</f>
        <v>3597693</v>
      </c>
      <c r="S16" s="1" t="n">
        <f aca="false">SUM($E$1:$E$366)</f>
        <v>140049.2</v>
      </c>
      <c r="T16" s="1" t="n">
        <f aca="false">SUM($G$1:$G$366)</f>
        <v>2599.66</v>
      </c>
      <c r="U16" s="1" t="n">
        <f aca="false">SUM($I$1:$I$366)</f>
        <v>32665</v>
      </c>
    </row>
    <row r="17" customFormat="false" ht="14.4" hidden="false" customHeight="false" outlineLevel="0" collapsed="false">
      <c r="A17" s="20" t="n">
        <v>16</v>
      </c>
      <c r="B17" s="21" t="n">
        <v>43116</v>
      </c>
      <c r="C17" s="22" t="n">
        <v>9777</v>
      </c>
      <c r="D17" s="22" t="n">
        <f aca="false">Table13[[#This Row],[Steps]]-C16</f>
        <v>3069</v>
      </c>
      <c r="E17" s="23" t="n">
        <v>376.7</v>
      </c>
      <c r="F17" s="23" t="n">
        <f aca="false">Table13[[#This Row],[Colories]]-E16</f>
        <v>118.9</v>
      </c>
      <c r="G17" s="6" t="n">
        <v>7.04</v>
      </c>
      <c r="H17" s="24" t="n">
        <f aca="false">Table13[[#This Row],[Distance]]-G16</f>
        <v>2.21</v>
      </c>
      <c r="I17" s="22" t="n">
        <v>87</v>
      </c>
      <c r="J17" s="25" t="n">
        <f aca="false">Table13[[#This Row],[Time]]-I16</f>
        <v>28</v>
      </c>
      <c r="K17" s="20" t="s">
        <v>34</v>
      </c>
      <c r="L17" s="6" t="n">
        <v>20021</v>
      </c>
      <c r="M17" s="6" t="n">
        <v>770.2</v>
      </c>
      <c r="N17" s="6" t="n">
        <v>14.42</v>
      </c>
      <c r="O17" s="6" t="n">
        <v>176</v>
      </c>
      <c r="Q17" s="1" t="s">
        <v>32</v>
      </c>
      <c r="R17" s="1" t="n">
        <f aca="false">COUNT($C$1:$C$366)</f>
        <v>365</v>
      </c>
      <c r="S17" s="1" t="n">
        <f aca="false">COUNT($E$1:$E$366)</f>
        <v>365</v>
      </c>
      <c r="T17" s="1" t="n">
        <f aca="false">COUNT($G$1:$G$366)</f>
        <v>365</v>
      </c>
      <c r="U17" s="1" t="n">
        <f aca="false">COUNT($I$1:$I$366)</f>
        <v>365</v>
      </c>
    </row>
    <row r="18" customFormat="false" ht="14.4" hidden="false" customHeight="false" outlineLevel="0" collapsed="false">
      <c r="A18" s="20" t="n">
        <v>17</v>
      </c>
      <c r="B18" s="21" t="n">
        <v>43117</v>
      </c>
      <c r="C18" s="22" t="n">
        <v>9430</v>
      </c>
      <c r="D18" s="22" t="n">
        <f aca="false">Table13[[#This Row],[Steps]]-C17</f>
        <v>-347</v>
      </c>
      <c r="E18" s="23" t="n">
        <v>363.6</v>
      </c>
      <c r="F18" s="23" t="n">
        <f aca="false">Table13[[#This Row],[Colories]]-E17</f>
        <v>-13.1</v>
      </c>
      <c r="G18" s="6" t="n">
        <v>6.79</v>
      </c>
      <c r="H18" s="24" t="n">
        <f aca="false">Table13[[#This Row],[Distance]]-G17</f>
        <v>-0.25</v>
      </c>
      <c r="I18" s="22" t="n">
        <v>84</v>
      </c>
      <c r="J18" s="25" t="n">
        <f aca="false">Table13[[#This Row],[Time]]-I17</f>
        <v>-3</v>
      </c>
      <c r="K18" s="20" t="s">
        <v>36</v>
      </c>
      <c r="L18" s="6" t="n">
        <v>208</v>
      </c>
      <c r="M18" s="6" t="n">
        <v>8.2</v>
      </c>
      <c r="N18" s="6" t="n">
        <v>0.15</v>
      </c>
      <c r="O18" s="6" t="n">
        <v>2</v>
      </c>
    </row>
    <row r="19" customFormat="false" ht="14.4" hidden="false" customHeight="false" outlineLevel="0" collapsed="false">
      <c r="A19" s="20" t="n">
        <v>18</v>
      </c>
      <c r="B19" s="21" t="n">
        <v>43118</v>
      </c>
      <c r="C19" s="22" t="n">
        <v>6042</v>
      </c>
      <c r="D19" s="22" t="n">
        <f aca="false">Table13[[#This Row],[Steps]]-C18</f>
        <v>-3388</v>
      </c>
      <c r="E19" s="23" t="n">
        <v>230.4</v>
      </c>
      <c r="F19" s="23" t="n">
        <f aca="false">Table13[[#This Row],[Colories]]-E18</f>
        <v>-133.2</v>
      </c>
      <c r="G19" s="6" t="n">
        <v>4.35</v>
      </c>
      <c r="H19" s="24" t="n">
        <f aca="false">Table13[[#This Row],[Distance]]-G18</f>
        <v>-2.44</v>
      </c>
      <c r="I19" s="22" t="n">
        <v>50</v>
      </c>
      <c r="J19" s="25" t="n">
        <f aca="false">Table13[[#This Row],[Time]]-I18</f>
        <v>-34</v>
      </c>
      <c r="K19" s="20" t="s">
        <v>158</v>
      </c>
      <c r="L19" s="6" t="n">
        <v>1635.14493443137</v>
      </c>
      <c r="M19" s="6" t="n">
        <v>63.8193020978903</v>
      </c>
      <c r="N19" s="6" t="n">
        <v>1.19505237028878</v>
      </c>
      <c r="O19" s="6" t="n">
        <v>14.4534440775388</v>
      </c>
    </row>
    <row r="20" customFormat="false" ht="14.4" hidden="false" customHeight="false" outlineLevel="0" collapsed="false">
      <c r="A20" s="20" t="n">
        <v>19</v>
      </c>
      <c r="B20" s="21" t="n">
        <v>43119</v>
      </c>
      <c r="C20" s="22" t="n">
        <v>6351</v>
      </c>
      <c r="D20" s="22" t="n">
        <f aca="false">Table13[[#This Row],[Steps]]-C19</f>
        <v>309</v>
      </c>
      <c r="E20" s="23" t="n">
        <v>251.7</v>
      </c>
      <c r="F20" s="23" t="n">
        <f aca="false">Table13[[#This Row],[Colories]]-E19</f>
        <v>21.3</v>
      </c>
      <c r="G20" s="6" t="n">
        <v>4.57</v>
      </c>
      <c r="H20" s="24" t="n">
        <f aca="false">Table13[[#This Row],[Distance]]-G19</f>
        <v>0.220000000000001</v>
      </c>
      <c r="I20" s="22" t="n">
        <v>61</v>
      </c>
      <c r="J20" s="25" t="n">
        <f aca="false">Table13[[#This Row],[Time]]-I19</f>
        <v>11</v>
      </c>
    </row>
    <row r="21" customFormat="false" ht="14.4" hidden="false" customHeight="false" outlineLevel="0" collapsed="false">
      <c r="A21" s="20" t="n">
        <v>20</v>
      </c>
      <c r="B21" s="21" t="n">
        <v>43120</v>
      </c>
      <c r="C21" s="22" t="n">
        <v>5218</v>
      </c>
      <c r="D21" s="22" t="n">
        <f aca="false">Table13[[#This Row],[Steps]]-C20</f>
        <v>-1133</v>
      </c>
      <c r="E21" s="23" t="n">
        <v>206.8</v>
      </c>
      <c r="F21" s="23" t="n">
        <f aca="false">Table13[[#This Row],[Colories]]-E20</f>
        <v>-44.9</v>
      </c>
      <c r="G21" s="6" t="n">
        <v>3.76</v>
      </c>
      <c r="H21" s="24" t="n">
        <f aca="false">Table13[[#This Row],[Distance]]-G20</f>
        <v>-0.810000000000001</v>
      </c>
      <c r="I21" s="22" t="n">
        <v>51</v>
      </c>
      <c r="J21" s="25" t="n">
        <f aca="false">Table13[[#This Row],[Time]]-I20</f>
        <v>-10</v>
      </c>
    </row>
    <row r="22" customFormat="false" ht="14.4" hidden="false" customHeight="false" outlineLevel="0" collapsed="false">
      <c r="A22" s="20" t="n">
        <v>21</v>
      </c>
      <c r="B22" s="21" t="n">
        <v>43121</v>
      </c>
      <c r="C22" s="22" t="n">
        <v>208</v>
      </c>
      <c r="D22" s="22" t="n">
        <f aca="false">Table13[[#This Row],[Steps]]-C21</f>
        <v>-5010</v>
      </c>
      <c r="E22" s="23" t="n">
        <v>8.2</v>
      </c>
      <c r="F22" s="23" t="n">
        <f aca="false">Table13[[#This Row],[Colories]]-E21</f>
        <v>-198.6</v>
      </c>
      <c r="G22" s="6" t="n">
        <v>0.15</v>
      </c>
      <c r="H22" s="24" t="n">
        <f aca="false">Table13[[#This Row],[Distance]]-G21</f>
        <v>-3.61</v>
      </c>
      <c r="I22" s="22" t="n">
        <v>2</v>
      </c>
      <c r="J22" s="25" t="n">
        <f aca="false">Table13[[#This Row],[Time]]-I21</f>
        <v>-49</v>
      </c>
    </row>
    <row r="23" customFormat="false" ht="14.4" hidden="false" customHeight="false" outlineLevel="0" collapsed="false">
      <c r="A23" s="20" t="n">
        <v>22</v>
      </c>
      <c r="B23" s="21" t="n">
        <v>43122</v>
      </c>
      <c r="C23" s="22" t="n">
        <v>8905</v>
      </c>
      <c r="D23" s="22" t="n">
        <f aca="false">Table13[[#This Row],[Steps]]-C22</f>
        <v>8697</v>
      </c>
      <c r="E23" s="23" t="n">
        <v>341.6</v>
      </c>
      <c r="F23" s="23" t="n">
        <f aca="false">Table13[[#This Row],[Colories]]-E22</f>
        <v>333.4</v>
      </c>
      <c r="G23" s="6" t="n">
        <v>6.41</v>
      </c>
      <c r="H23" s="24" t="n">
        <f aca="false">Table13[[#This Row],[Distance]]-G22</f>
        <v>6.26</v>
      </c>
      <c r="I23" s="22" t="n">
        <v>77</v>
      </c>
      <c r="J23" s="25" t="n">
        <f aca="false">Table13[[#This Row],[Time]]-I22</f>
        <v>75</v>
      </c>
      <c r="K23" s="28"/>
    </row>
    <row r="24" customFormat="false" ht="14.4" hidden="false" customHeight="false" outlineLevel="0" collapsed="false">
      <c r="A24" s="20" t="n">
        <v>23</v>
      </c>
      <c r="B24" s="21" t="n">
        <v>43123</v>
      </c>
      <c r="C24" s="22" t="n">
        <v>11164</v>
      </c>
      <c r="D24" s="22" t="n">
        <f aca="false">Table13[[#This Row],[Steps]]-C23</f>
        <v>2259</v>
      </c>
      <c r="E24" s="23" t="n">
        <v>430</v>
      </c>
      <c r="F24" s="23" t="n">
        <f aca="false">Table13[[#This Row],[Colories]]-E23</f>
        <v>88.4</v>
      </c>
      <c r="G24" s="6" t="n">
        <v>8.04</v>
      </c>
      <c r="H24" s="24" t="n">
        <f aca="false">Table13[[#This Row],[Distance]]-G23</f>
        <v>1.63</v>
      </c>
      <c r="I24" s="22" t="n">
        <v>98</v>
      </c>
      <c r="J24" s="25" t="n">
        <f aca="false">Table13[[#This Row],[Time]]-I23</f>
        <v>21</v>
      </c>
      <c r="K24" s="28"/>
    </row>
    <row r="25" customFormat="false" ht="14.4" hidden="false" customHeight="false" outlineLevel="0" collapsed="false">
      <c r="A25" s="20" t="n">
        <v>24</v>
      </c>
      <c r="B25" s="21" t="n">
        <v>43124</v>
      </c>
      <c r="C25" s="22" t="n">
        <v>3496</v>
      </c>
      <c r="D25" s="22" t="n">
        <f aca="false">Table13[[#This Row],[Steps]]-C24</f>
        <v>-7668</v>
      </c>
      <c r="E25" s="23" t="n">
        <v>134.1</v>
      </c>
      <c r="F25" s="23" t="n">
        <f aca="false">Table13[[#This Row],[Colories]]-E24</f>
        <v>-295.9</v>
      </c>
      <c r="G25" s="6" t="n">
        <v>2.52</v>
      </c>
      <c r="H25" s="24" t="n">
        <f aca="false">Table13[[#This Row],[Distance]]-G24</f>
        <v>-5.52</v>
      </c>
      <c r="I25" s="22" t="n">
        <v>30</v>
      </c>
      <c r="J25" s="25" t="n">
        <f aca="false">Table13[[#This Row],[Time]]-I24</f>
        <v>-68</v>
      </c>
      <c r="K25" s="28"/>
    </row>
    <row r="26" customFormat="false" ht="14.4" hidden="false" customHeight="false" outlineLevel="0" collapsed="false">
      <c r="A26" s="20" t="n">
        <v>25</v>
      </c>
      <c r="B26" s="21" t="n">
        <v>43125</v>
      </c>
      <c r="C26" s="22" t="n">
        <v>12432</v>
      </c>
      <c r="D26" s="22" t="n">
        <f aca="false">Table13[[#This Row],[Steps]]-C25</f>
        <v>8936</v>
      </c>
      <c r="E26" s="23" t="n">
        <v>480.2</v>
      </c>
      <c r="F26" s="23" t="n">
        <f aca="false">Table13[[#This Row],[Colories]]-E25</f>
        <v>346.1</v>
      </c>
      <c r="G26" s="6" t="n">
        <v>8.95</v>
      </c>
      <c r="H26" s="24" t="n">
        <f aca="false">Table13[[#This Row],[Distance]]-G25</f>
        <v>6.43</v>
      </c>
      <c r="I26" s="22" t="n">
        <v>112</v>
      </c>
      <c r="J26" s="25" t="n">
        <f aca="false">Table13[[#This Row],[Time]]-I25</f>
        <v>82</v>
      </c>
      <c r="K26" s="28"/>
    </row>
    <row r="27" customFormat="false" ht="14.4" hidden="false" customHeight="false" outlineLevel="0" collapsed="false">
      <c r="A27" s="20" t="n">
        <v>26</v>
      </c>
      <c r="B27" s="21" t="n">
        <v>43126</v>
      </c>
      <c r="C27" s="22" t="n">
        <v>5963</v>
      </c>
      <c r="D27" s="22" t="n">
        <f aca="false">Table13[[#This Row],[Steps]]-C26</f>
        <v>-6469</v>
      </c>
      <c r="E27" s="23" t="n">
        <v>229.2</v>
      </c>
      <c r="F27" s="23" t="n">
        <f aca="false">Table13[[#This Row],[Colories]]-E26</f>
        <v>-251</v>
      </c>
      <c r="G27" s="6" t="n">
        <v>4.29</v>
      </c>
      <c r="H27" s="24" t="n">
        <f aca="false">Table13[[#This Row],[Distance]]-G26</f>
        <v>-4.66</v>
      </c>
      <c r="I27" s="22" t="n">
        <v>51</v>
      </c>
      <c r="J27" s="25" t="n">
        <f aca="false">Table13[[#This Row],[Time]]-I26</f>
        <v>-61</v>
      </c>
      <c r="K27" s="28"/>
    </row>
    <row r="28" customFormat="false" ht="14.4" hidden="false" customHeight="false" outlineLevel="0" collapsed="false">
      <c r="A28" s="20" t="n">
        <v>27</v>
      </c>
      <c r="B28" s="21" t="n">
        <v>43127</v>
      </c>
      <c r="C28" s="22" t="n">
        <v>2881</v>
      </c>
      <c r="D28" s="22" t="n">
        <f aca="false">Table13[[#This Row],[Steps]]-C27</f>
        <v>-3082</v>
      </c>
      <c r="E28" s="23" t="n">
        <v>117.1</v>
      </c>
      <c r="F28" s="23" t="n">
        <f aca="false">Table13[[#This Row],[Colories]]-E27</f>
        <v>-112.1</v>
      </c>
      <c r="G28" s="6" t="n">
        <v>2.07</v>
      </c>
      <c r="H28" s="24" t="n">
        <f aca="false">Table13[[#This Row],[Distance]]-G27</f>
        <v>-2.22</v>
      </c>
      <c r="I28" s="22" t="n">
        <v>30</v>
      </c>
      <c r="J28" s="25" t="n">
        <f aca="false">Table13[[#This Row],[Time]]-I27</f>
        <v>-21</v>
      </c>
      <c r="K28" s="28"/>
    </row>
    <row r="29" customFormat="false" ht="14.4" hidden="false" customHeight="false" outlineLevel="0" collapsed="false">
      <c r="A29" s="20" t="n">
        <v>28</v>
      </c>
      <c r="B29" s="21" t="n">
        <v>43128</v>
      </c>
      <c r="C29" s="22" t="n">
        <v>4893</v>
      </c>
      <c r="D29" s="22" t="n">
        <f aca="false">Table13[[#This Row],[Steps]]-C28</f>
        <v>2012</v>
      </c>
      <c r="E29" s="23" t="n">
        <v>195.2</v>
      </c>
      <c r="F29" s="23" t="n">
        <f aca="false">Table13[[#This Row],[Colories]]-E28</f>
        <v>78.1</v>
      </c>
      <c r="G29" s="6" t="n">
        <v>3.52</v>
      </c>
      <c r="H29" s="24" t="n">
        <f aca="false">Table13[[#This Row],[Distance]]-G28</f>
        <v>1.45</v>
      </c>
      <c r="I29" s="22" t="n">
        <v>42</v>
      </c>
      <c r="J29" s="25" t="n">
        <f aca="false">Table13[[#This Row],[Time]]-I28</f>
        <v>12</v>
      </c>
      <c r="K29" s="28"/>
    </row>
    <row r="30" customFormat="false" ht="14.4" hidden="false" customHeight="false" outlineLevel="0" collapsed="false">
      <c r="A30" s="20" t="n">
        <v>29</v>
      </c>
      <c r="B30" s="21" t="n">
        <v>43129</v>
      </c>
      <c r="C30" s="22" t="n">
        <v>6004</v>
      </c>
      <c r="D30" s="22" t="n">
        <f aca="false">Table13[[#This Row],[Steps]]-C29</f>
        <v>1111</v>
      </c>
      <c r="E30" s="23" t="n">
        <v>233</v>
      </c>
      <c r="F30" s="23" t="n">
        <f aca="false">Table13[[#This Row],[Colories]]-E29</f>
        <v>37.8</v>
      </c>
      <c r="G30" s="6" t="n">
        <v>4.32</v>
      </c>
      <c r="H30" s="24" t="n">
        <f aca="false">Table13[[#This Row],[Distance]]-G29</f>
        <v>0.8</v>
      </c>
      <c r="I30" s="22" t="n">
        <v>53</v>
      </c>
      <c r="J30" s="25" t="n">
        <f aca="false">Table13[[#This Row],[Time]]-I29</f>
        <v>11</v>
      </c>
      <c r="K30" s="28"/>
    </row>
    <row r="31" customFormat="false" ht="14.4" hidden="false" customHeight="false" outlineLevel="0" collapsed="false">
      <c r="A31" s="20" t="n">
        <v>30</v>
      </c>
      <c r="B31" s="21" t="n">
        <v>43130</v>
      </c>
      <c r="C31" s="22" t="n">
        <v>17278</v>
      </c>
      <c r="D31" s="22" t="n">
        <f aca="false">Table13[[#This Row],[Steps]]-C30</f>
        <v>11274</v>
      </c>
      <c r="E31" s="23" t="n">
        <v>667.3</v>
      </c>
      <c r="F31" s="23" t="n">
        <f aca="false">Table13[[#This Row],[Colories]]-E30</f>
        <v>434.3</v>
      </c>
      <c r="G31" s="6" t="n">
        <v>12.44</v>
      </c>
      <c r="H31" s="24" t="n">
        <f aca="false">Table13[[#This Row],[Distance]]-G30</f>
        <v>8.12</v>
      </c>
      <c r="I31" s="22" t="n">
        <v>153</v>
      </c>
      <c r="J31" s="25" t="n">
        <f aca="false">Table13[[#This Row],[Time]]-I30</f>
        <v>100</v>
      </c>
      <c r="K31" s="28"/>
    </row>
    <row r="32" customFormat="false" ht="14.4" hidden="false" customHeight="false" outlineLevel="0" collapsed="false">
      <c r="A32" s="20" t="n">
        <v>31</v>
      </c>
      <c r="B32" s="21" t="n">
        <v>43131</v>
      </c>
      <c r="C32" s="22" t="n">
        <v>14811</v>
      </c>
      <c r="D32" s="22" t="n">
        <f aca="false">Table13[[#This Row],[Steps]]-C31</f>
        <v>-2467</v>
      </c>
      <c r="E32" s="23" t="n">
        <v>575.8</v>
      </c>
      <c r="F32" s="23" t="n">
        <f aca="false">Table13[[#This Row],[Colories]]-E31</f>
        <v>-91.5</v>
      </c>
      <c r="G32" s="6" t="n">
        <v>10.66</v>
      </c>
      <c r="H32" s="24" t="n">
        <f aca="false">Table13[[#This Row],[Distance]]-G31</f>
        <v>-1.78</v>
      </c>
      <c r="I32" s="22" t="n">
        <v>136</v>
      </c>
      <c r="J32" s="25" t="n">
        <f aca="false">Table13[[#This Row],[Time]]-I31</f>
        <v>-17</v>
      </c>
      <c r="K32" s="28"/>
    </row>
    <row r="33" customFormat="false" ht="14.4" hidden="false" customHeight="false" outlineLevel="0" collapsed="false">
      <c r="A33" s="20" t="n">
        <v>13</v>
      </c>
      <c r="B33" s="21" t="n">
        <v>43132</v>
      </c>
      <c r="C33" s="22" t="n">
        <v>7538</v>
      </c>
      <c r="D33" s="22" t="n">
        <f aca="false">Table13[[#This Row],[Steps]]-C32</f>
        <v>-7273</v>
      </c>
      <c r="E33" s="23" t="n">
        <v>289</v>
      </c>
      <c r="F33" s="23" t="n">
        <f aca="false">Table13[[#This Row],[Colories]]-E32</f>
        <v>-286.8</v>
      </c>
      <c r="G33" s="6" t="n">
        <v>5.43</v>
      </c>
      <c r="H33" s="24" t="n">
        <f aca="false">Table13[[#This Row],[Distance]]-G32</f>
        <v>-5.23</v>
      </c>
      <c r="I33" s="22" t="n">
        <v>65</v>
      </c>
      <c r="J33" s="25" t="n">
        <f aca="false">Table13[[#This Row],[Time]]-I32</f>
        <v>-71</v>
      </c>
      <c r="K33" s="20" t="s">
        <v>183</v>
      </c>
      <c r="L33" s="6" t="s">
        <v>2</v>
      </c>
      <c r="M33" s="5" t="s">
        <v>179</v>
      </c>
      <c r="N33" s="6" t="s">
        <v>175</v>
      </c>
      <c r="O33" s="5" t="s">
        <v>177</v>
      </c>
    </row>
    <row r="34" customFormat="false" ht="14.4" hidden="false" customHeight="false" outlineLevel="0" collapsed="false">
      <c r="A34" s="20" t="n">
        <v>14</v>
      </c>
      <c r="B34" s="21" t="n">
        <v>43133</v>
      </c>
      <c r="C34" s="22" t="n">
        <v>9721</v>
      </c>
      <c r="D34" s="22" t="n">
        <f aca="false">Table13[[#This Row],[Steps]]-C33</f>
        <v>2183</v>
      </c>
      <c r="E34" s="23" t="n">
        <v>375.4</v>
      </c>
      <c r="F34" s="23" t="n">
        <f aca="false">Table13[[#This Row],[Colories]]-E33</f>
        <v>86.4</v>
      </c>
      <c r="G34" s="6" t="n">
        <v>7</v>
      </c>
      <c r="H34" s="24" t="n">
        <f aca="false">Table13[[#This Row],[Distance]]-G33</f>
        <v>1.57</v>
      </c>
      <c r="I34" s="22" t="n">
        <v>87</v>
      </c>
      <c r="J34" s="25" t="n">
        <f aca="false">Table13[[#This Row],[Time]]-I33</f>
        <v>22</v>
      </c>
      <c r="K34" s="20"/>
      <c r="L34" s="6"/>
      <c r="M34" s="6"/>
      <c r="N34" s="6"/>
      <c r="O34" s="6"/>
    </row>
    <row r="35" customFormat="false" ht="14.4" hidden="false" customHeight="false" outlineLevel="0" collapsed="false">
      <c r="A35" s="20" t="n">
        <v>15</v>
      </c>
      <c r="B35" s="21" t="n">
        <v>43134</v>
      </c>
      <c r="C35" s="22" t="n">
        <v>13284</v>
      </c>
      <c r="D35" s="22" t="n">
        <f aca="false">Table13[[#This Row],[Steps]]-C34</f>
        <v>3563</v>
      </c>
      <c r="E35" s="23" t="n">
        <v>518.4</v>
      </c>
      <c r="F35" s="23" t="n">
        <f aca="false">Table13[[#This Row],[Colories]]-E34</f>
        <v>143</v>
      </c>
      <c r="G35" s="6" t="n">
        <v>9.56</v>
      </c>
      <c r="H35" s="24" t="n">
        <f aca="false">Table13[[#This Row],[Distance]]-G34</f>
        <v>2.56</v>
      </c>
      <c r="I35" s="22" t="n">
        <v>125</v>
      </c>
      <c r="J35" s="25" t="n">
        <f aca="false">Table13[[#This Row],[Time]]-I34</f>
        <v>38</v>
      </c>
      <c r="K35" s="20" t="s">
        <v>8</v>
      </c>
      <c r="L35" s="6" t="n">
        <v>9305.18518518518</v>
      </c>
      <c r="M35" s="6" t="n">
        <v>360.581481481481</v>
      </c>
      <c r="N35" s="6" t="n">
        <v>6.69740740740741</v>
      </c>
      <c r="O35" s="6" t="n">
        <v>81.4444444444444</v>
      </c>
    </row>
    <row r="36" customFormat="false" ht="14.4" hidden="false" customHeight="false" outlineLevel="0" collapsed="false">
      <c r="A36" s="20" t="n">
        <v>16</v>
      </c>
      <c r="B36" s="21" t="n">
        <v>43135</v>
      </c>
      <c r="C36" s="22" t="n">
        <v>5738</v>
      </c>
      <c r="D36" s="22" t="n">
        <f aca="false">Table13[[#This Row],[Steps]]-C35</f>
        <v>-7546</v>
      </c>
      <c r="E36" s="23" t="n">
        <v>221.8</v>
      </c>
      <c r="F36" s="23" t="n">
        <f aca="false">Table13[[#This Row],[Colories]]-E35</f>
        <v>-296.6</v>
      </c>
      <c r="G36" s="6" t="n">
        <v>4.13</v>
      </c>
      <c r="H36" s="24" t="n">
        <f aca="false">Table13[[#This Row],[Distance]]-G35</f>
        <v>-5.43</v>
      </c>
      <c r="I36" s="22" t="n">
        <v>50</v>
      </c>
      <c r="J36" s="25" t="n">
        <f aca="false">Table13[[#This Row],[Time]]-I35</f>
        <v>-75</v>
      </c>
      <c r="K36" s="20" t="s">
        <v>10</v>
      </c>
      <c r="L36" s="6" t="n">
        <v>643.091210442829</v>
      </c>
      <c r="M36" s="6" t="n">
        <v>24.6302063852955</v>
      </c>
      <c r="N36" s="6" t="n">
        <v>0.463431887874307</v>
      </c>
      <c r="O36" s="6" t="n">
        <v>6.3374555485628</v>
      </c>
    </row>
    <row r="37" customFormat="false" ht="14.4" hidden="false" customHeight="false" outlineLevel="0" collapsed="false">
      <c r="A37" s="20" t="n">
        <v>17</v>
      </c>
      <c r="B37" s="21" t="n">
        <v>43136</v>
      </c>
      <c r="C37" s="22" t="n">
        <v>8346</v>
      </c>
      <c r="D37" s="22" t="n">
        <f aca="false">Table13[[#This Row],[Steps]]-C36</f>
        <v>2608</v>
      </c>
      <c r="E37" s="23" t="n">
        <v>319.2</v>
      </c>
      <c r="F37" s="23" t="n">
        <f aca="false">Table13[[#This Row],[Colories]]-E36</f>
        <v>97.4</v>
      </c>
      <c r="G37" s="6" t="n">
        <v>6.01</v>
      </c>
      <c r="H37" s="24" t="n">
        <f aca="false">Table13[[#This Row],[Distance]]-G36</f>
        <v>1.88</v>
      </c>
      <c r="I37" s="22" t="n">
        <v>71</v>
      </c>
      <c r="J37" s="25" t="n">
        <f aca="false">Table13[[#This Row],[Time]]-I36</f>
        <v>21</v>
      </c>
      <c r="K37" s="20" t="s">
        <v>12</v>
      </c>
      <c r="L37" s="6" t="n">
        <v>9669</v>
      </c>
      <c r="M37" s="6" t="n">
        <v>375.4</v>
      </c>
      <c r="N37" s="6" t="n">
        <v>6.96</v>
      </c>
      <c r="O37" s="6" t="n">
        <v>86</v>
      </c>
    </row>
    <row r="38" customFormat="false" ht="14.4" hidden="false" customHeight="false" outlineLevel="0" collapsed="false">
      <c r="A38" s="20" t="n">
        <v>18</v>
      </c>
      <c r="B38" s="21" t="n">
        <v>43137</v>
      </c>
      <c r="C38" s="22" t="n">
        <v>12111</v>
      </c>
      <c r="D38" s="22" t="n">
        <f aca="false">Table13[[#This Row],[Steps]]-C37</f>
        <v>3765</v>
      </c>
      <c r="E38" s="23" t="n">
        <v>464.9</v>
      </c>
      <c r="F38" s="23" t="n">
        <f aca="false">Table13[[#This Row],[Colories]]-E37</f>
        <v>145.7</v>
      </c>
      <c r="G38" s="6" t="n">
        <v>8.72</v>
      </c>
      <c r="H38" s="24" t="n">
        <f aca="false">Table13[[#This Row],[Distance]]-G37</f>
        <v>2.71</v>
      </c>
      <c r="I38" s="22" t="n">
        <v>104</v>
      </c>
      <c r="J38" s="25" t="n">
        <f aca="false">Table13[[#This Row],[Time]]-I37</f>
        <v>33</v>
      </c>
      <c r="K38" s="20" t="s">
        <v>14</v>
      </c>
      <c r="L38" s="6" t="e">
        <f aca="false">#N/A</f>
        <v>#N/A</v>
      </c>
      <c r="M38" s="6" t="e">
        <f aca="false">#N/A</f>
        <v>#N/A</v>
      </c>
      <c r="N38" s="6" t="n">
        <v>6.01</v>
      </c>
      <c r="O38" s="6" t="n">
        <v>98</v>
      </c>
    </row>
    <row r="39" customFormat="false" ht="14.4" hidden="false" customHeight="false" outlineLevel="0" collapsed="false">
      <c r="A39" s="20" t="n">
        <v>19</v>
      </c>
      <c r="B39" s="21" t="n">
        <v>43138</v>
      </c>
      <c r="C39" s="22" t="n">
        <v>12821</v>
      </c>
      <c r="D39" s="22" t="n">
        <f aca="false">Table13[[#This Row],[Steps]]-C38</f>
        <v>710</v>
      </c>
      <c r="E39" s="23" t="n">
        <v>491.7</v>
      </c>
      <c r="F39" s="23" t="n">
        <f aca="false">Table13[[#This Row],[Colories]]-E38</f>
        <v>26.8</v>
      </c>
      <c r="G39" s="6" t="n">
        <v>9.23</v>
      </c>
      <c r="H39" s="24" t="n">
        <f aca="false">Table13[[#This Row],[Distance]]-G38</f>
        <v>0.51</v>
      </c>
      <c r="I39" s="22" t="n">
        <v>111</v>
      </c>
      <c r="J39" s="25" t="n">
        <f aca="false">Table13[[#This Row],[Time]]-I38</f>
        <v>7</v>
      </c>
      <c r="K39" s="20" t="s">
        <v>16</v>
      </c>
      <c r="L39" s="6" t="n">
        <v>3341.59995116385</v>
      </c>
      <c r="M39" s="6" t="n">
        <v>127.982306580718</v>
      </c>
      <c r="N39" s="6" t="n">
        <v>2.40806272693759</v>
      </c>
      <c r="O39" s="6" t="n">
        <v>32.9303850024602</v>
      </c>
    </row>
    <row r="40" customFormat="false" ht="14.4" hidden="false" customHeight="false" outlineLevel="0" collapsed="false">
      <c r="A40" s="20" t="n">
        <v>20</v>
      </c>
      <c r="B40" s="21" t="n">
        <v>43139</v>
      </c>
      <c r="C40" s="22" t="n">
        <v>13702</v>
      </c>
      <c r="D40" s="22" t="n">
        <f aca="false">Table13[[#This Row],[Steps]]-C39</f>
        <v>881</v>
      </c>
      <c r="E40" s="23" t="n">
        <v>528.6</v>
      </c>
      <c r="F40" s="23" t="n">
        <f aca="false">Table13[[#This Row],[Colories]]-E39</f>
        <v>36.9</v>
      </c>
      <c r="G40" s="6" t="n">
        <v>9.87</v>
      </c>
      <c r="H40" s="24" t="n">
        <f aca="false">Table13[[#This Row],[Distance]]-G39</f>
        <v>0.639999999999999</v>
      </c>
      <c r="I40" s="22" t="n">
        <v>120</v>
      </c>
      <c r="J40" s="25" t="n">
        <f aca="false">Table13[[#This Row],[Time]]-I39</f>
        <v>9</v>
      </c>
      <c r="K40" s="20" t="s">
        <v>18</v>
      </c>
      <c r="L40" s="6" t="n">
        <v>11166290.2336182</v>
      </c>
      <c r="M40" s="6" t="n">
        <v>16379.4707977208</v>
      </c>
      <c r="N40" s="6" t="n">
        <v>5.7987660968661</v>
      </c>
      <c r="O40" s="6" t="n">
        <v>1084.41025641026</v>
      </c>
    </row>
    <row r="41" customFormat="false" ht="14.4" hidden="false" customHeight="false" outlineLevel="0" collapsed="false">
      <c r="A41" s="20" t="n">
        <v>21</v>
      </c>
      <c r="B41" s="21" t="n">
        <v>43140</v>
      </c>
      <c r="C41" s="22" t="n">
        <v>10636</v>
      </c>
      <c r="D41" s="22" t="n">
        <f aca="false">Table13[[#This Row],[Steps]]-C40</f>
        <v>-3066</v>
      </c>
      <c r="E41" s="23" t="n">
        <v>417.1</v>
      </c>
      <c r="F41" s="23" t="n">
        <f aca="false">Table13[[#This Row],[Colories]]-E40</f>
        <v>-111.5</v>
      </c>
      <c r="G41" s="6" t="n">
        <v>7.66</v>
      </c>
      <c r="H41" s="24" t="n">
        <f aca="false">Table13[[#This Row],[Distance]]-G40</f>
        <v>-2.21</v>
      </c>
      <c r="I41" s="22" t="n">
        <v>100</v>
      </c>
      <c r="J41" s="25" t="n">
        <f aca="false">Table13[[#This Row],[Time]]-I40</f>
        <v>-20</v>
      </c>
      <c r="K41" s="20" t="s">
        <v>20</v>
      </c>
      <c r="L41" s="6" t="n">
        <v>0.962676617478104</v>
      </c>
      <c r="M41" s="6" t="n">
        <v>1.07111825939715</v>
      </c>
      <c r="N41" s="6" t="n">
        <v>0.953373547557435</v>
      </c>
      <c r="O41" s="6" t="n">
        <v>1.0049034990048</v>
      </c>
    </row>
    <row r="42" customFormat="false" ht="14.4" hidden="false" customHeight="false" outlineLevel="0" collapsed="false">
      <c r="A42" s="20" t="n">
        <v>22</v>
      </c>
      <c r="B42" s="21" t="n">
        <v>43141</v>
      </c>
      <c r="C42" s="22" t="n">
        <v>7581</v>
      </c>
      <c r="D42" s="22" t="n">
        <f aca="false">Table13[[#This Row],[Steps]]-C41</f>
        <v>-3055</v>
      </c>
      <c r="E42" s="23" t="n">
        <v>301.3</v>
      </c>
      <c r="F42" s="23" t="n">
        <f aca="false">Table13[[#This Row],[Colories]]-E41</f>
        <v>-115.8</v>
      </c>
      <c r="G42" s="6" t="n">
        <v>5.4</v>
      </c>
      <c r="H42" s="24" t="n">
        <f aca="false">Table13[[#This Row],[Distance]]-G41</f>
        <v>-2.26</v>
      </c>
      <c r="I42" s="22" t="n">
        <v>74</v>
      </c>
      <c r="J42" s="25" t="n">
        <f aca="false">Table13[[#This Row],[Time]]-I41</f>
        <v>-26</v>
      </c>
      <c r="K42" s="20" t="s">
        <v>22</v>
      </c>
      <c r="L42" s="6" t="n">
        <v>-0.530504139144748</v>
      </c>
      <c r="M42" s="6" t="n">
        <v>-0.558548676005953</v>
      </c>
      <c r="N42" s="6" t="n">
        <v>-0.528714598170792</v>
      </c>
      <c r="O42" s="6" t="n">
        <v>-0.82524432534698</v>
      </c>
    </row>
    <row r="43" customFormat="false" ht="14.4" hidden="false" customHeight="false" outlineLevel="0" collapsed="false">
      <c r="A43" s="20" t="n">
        <v>23</v>
      </c>
      <c r="B43" s="21" t="n">
        <v>43142</v>
      </c>
      <c r="C43" s="22" t="n">
        <v>10063</v>
      </c>
      <c r="D43" s="22" t="n">
        <f aca="false">Table13[[#This Row],[Steps]]-C42</f>
        <v>2482</v>
      </c>
      <c r="E43" s="23" t="n">
        <v>397.4</v>
      </c>
      <c r="F43" s="23" t="n">
        <f aca="false">Table13[[#This Row],[Colories]]-E42</f>
        <v>96.1</v>
      </c>
      <c r="G43" s="6" t="n">
        <v>7.25</v>
      </c>
      <c r="H43" s="24" t="n">
        <f aca="false">Table13[[#This Row],[Distance]]-G42</f>
        <v>1.85</v>
      </c>
      <c r="I43" s="22" t="n">
        <v>98</v>
      </c>
      <c r="J43" s="25" t="n">
        <f aca="false">Table13[[#This Row],[Time]]-I42</f>
        <v>24</v>
      </c>
      <c r="K43" s="20" t="s">
        <v>24</v>
      </c>
      <c r="L43" s="6" t="n">
        <v>15538</v>
      </c>
      <c r="M43" s="6" t="n">
        <v>598.1</v>
      </c>
      <c r="N43" s="6" t="n">
        <v>11.19</v>
      </c>
      <c r="O43" s="6" t="n">
        <v>136</v>
      </c>
    </row>
    <row r="44" customFormat="false" ht="14.4" hidden="false" customHeight="false" outlineLevel="0" collapsed="false">
      <c r="A44" s="20" t="n">
        <v>24</v>
      </c>
      <c r="B44" s="21" t="n">
        <v>43143</v>
      </c>
      <c r="C44" s="22" t="n">
        <v>13079</v>
      </c>
      <c r="D44" s="22" t="n">
        <f aca="false">Table13[[#This Row],[Steps]]-C43</f>
        <v>3016</v>
      </c>
      <c r="E44" s="23" t="n">
        <v>503.7</v>
      </c>
      <c r="F44" s="23" t="n">
        <f aca="false">Table13[[#This Row],[Colories]]-E43</f>
        <v>106.3</v>
      </c>
      <c r="G44" s="6" t="n">
        <v>9.42</v>
      </c>
      <c r="H44" s="24" t="n">
        <f aca="false">Table13[[#This Row],[Distance]]-G43</f>
        <v>2.17</v>
      </c>
      <c r="I44" s="22" t="n">
        <v>116</v>
      </c>
      <c r="J44" s="25" t="n">
        <f aca="false">Table13[[#This Row],[Time]]-I43</f>
        <v>18</v>
      </c>
      <c r="K44" s="20" t="s">
        <v>26</v>
      </c>
      <c r="L44" s="6" t="n">
        <v>19</v>
      </c>
      <c r="M44" s="6" t="n">
        <v>0.8</v>
      </c>
      <c r="N44" s="6" t="n">
        <v>0.01</v>
      </c>
      <c r="O44" s="6" t="n">
        <v>1</v>
      </c>
    </row>
    <row r="45" customFormat="false" ht="14.4" hidden="false" customHeight="false" outlineLevel="0" collapsed="false">
      <c r="A45" s="20" t="n">
        <v>25</v>
      </c>
      <c r="B45" s="21" t="n">
        <v>43144</v>
      </c>
      <c r="C45" s="22" t="n">
        <v>7643</v>
      </c>
      <c r="D45" s="22" t="n">
        <f aca="false">Table13[[#This Row],[Steps]]-C44</f>
        <v>-5436</v>
      </c>
      <c r="E45" s="23" t="n">
        <v>293.6</v>
      </c>
      <c r="F45" s="23" t="n">
        <f aca="false">Table13[[#This Row],[Colories]]-E44</f>
        <v>-210.1</v>
      </c>
      <c r="G45" s="6" t="n">
        <v>5.5</v>
      </c>
      <c r="H45" s="24" t="n">
        <f aca="false">Table13[[#This Row],[Distance]]-G44</f>
        <v>-3.92</v>
      </c>
      <c r="I45" s="22" t="n">
        <v>66</v>
      </c>
      <c r="J45" s="25" t="n">
        <f aca="false">Table13[[#This Row],[Time]]-I44</f>
        <v>-50</v>
      </c>
      <c r="K45" s="20" t="s">
        <v>28</v>
      </c>
      <c r="L45" s="6" t="n">
        <v>15557</v>
      </c>
      <c r="M45" s="6" t="n">
        <v>598.9</v>
      </c>
      <c r="N45" s="6" t="n">
        <v>11.2</v>
      </c>
      <c r="O45" s="6" t="n">
        <v>137</v>
      </c>
    </row>
    <row r="46" customFormat="false" ht="14.4" hidden="false" customHeight="false" outlineLevel="0" collapsed="false">
      <c r="A46" s="20" t="n">
        <v>26</v>
      </c>
      <c r="B46" s="21" t="n">
        <v>43145</v>
      </c>
      <c r="C46" s="22" t="n">
        <v>9823</v>
      </c>
      <c r="D46" s="22" t="n">
        <f aca="false">Table13[[#This Row],[Steps]]-C45</f>
        <v>2180</v>
      </c>
      <c r="E46" s="23" t="n">
        <v>378.1</v>
      </c>
      <c r="F46" s="23" t="n">
        <f aca="false">Table13[[#This Row],[Colories]]-E45</f>
        <v>84.5</v>
      </c>
      <c r="G46" s="6" t="n">
        <v>7.07</v>
      </c>
      <c r="H46" s="24" t="n">
        <f aca="false">Table13[[#This Row],[Distance]]-G45</f>
        <v>1.57</v>
      </c>
      <c r="I46" s="22" t="n">
        <v>86</v>
      </c>
      <c r="J46" s="25" t="n">
        <f aca="false">Table13[[#This Row],[Time]]-I45</f>
        <v>20</v>
      </c>
      <c r="K46" s="20" t="s">
        <v>30</v>
      </c>
      <c r="L46" s="6" t="n">
        <v>251240</v>
      </c>
      <c r="M46" s="6" t="n">
        <v>9735.7</v>
      </c>
      <c r="N46" s="6" t="n">
        <v>180.83</v>
      </c>
      <c r="O46" s="6" t="n">
        <v>2199</v>
      </c>
    </row>
    <row r="47" customFormat="false" ht="14.4" hidden="false" customHeight="false" outlineLevel="0" collapsed="false">
      <c r="A47" s="20" t="n">
        <v>27</v>
      </c>
      <c r="B47" s="21" t="n">
        <v>43146</v>
      </c>
      <c r="C47" s="22" t="n">
        <v>8268</v>
      </c>
      <c r="D47" s="22" t="n">
        <f aca="false">Table13[[#This Row],[Steps]]-C46</f>
        <v>-1555</v>
      </c>
      <c r="E47" s="23" t="n">
        <v>318.1</v>
      </c>
      <c r="F47" s="23" t="n">
        <f aca="false">Table13[[#This Row],[Colories]]-E46</f>
        <v>-60</v>
      </c>
      <c r="G47" s="6" t="n">
        <v>5.95</v>
      </c>
      <c r="H47" s="24" t="n">
        <f aca="false">Table13[[#This Row],[Distance]]-G46</f>
        <v>-1.12</v>
      </c>
      <c r="I47" s="22" t="n">
        <v>73</v>
      </c>
      <c r="J47" s="25" t="n">
        <f aca="false">Table13[[#This Row],[Time]]-I46</f>
        <v>-13</v>
      </c>
      <c r="K47" s="20" t="s">
        <v>32</v>
      </c>
      <c r="L47" s="6" t="n">
        <v>27</v>
      </c>
      <c r="M47" s="6" t="n">
        <v>27</v>
      </c>
      <c r="N47" s="6" t="n">
        <v>27</v>
      </c>
      <c r="O47" s="6" t="n">
        <v>27</v>
      </c>
    </row>
    <row r="48" customFormat="false" ht="14.4" hidden="false" customHeight="false" outlineLevel="0" collapsed="false">
      <c r="A48" s="20" t="n">
        <v>28</v>
      </c>
      <c r="B48" s="21" t="n">
        <v>43147</v>
      </c>
      <c r="C48" s="22" t="n">
        <v>9132</v>
      </c>
      <c r="D48" s="22" t="n">
        <f aca="false">Table13[[#This Row],[Steps]]-C47</f>
        <v>864</v>
      </c>
      <c r="E48" s="23" t="n">
        <v>350</v>
      </c>
      <c r="F48" s="23" t="n">
        <f aca="false">Table13[[#This Row],[Colories]]-E47</f>
        <v>31.9</v>
      </c>
      <c r="G48" s="6" t="n">
        <v>6.58</v>
      </c>
      <c r="H48" s="24" t="n">
        <f aca="false">Table13[[#This Row],[Distance]]-G47</f>
        <v>0.63</v>
      </c>
      <c r="I48" s="22" t="n">
        <v>78</v>
      </c>
      <c r="J48" s="25" t="n">
        <f aca="false">Table13[[#This Row],[Time]]-I47</f>
        <v>5</v>
      </c>
      <c r="K48" s="20" t="s">
        <v>34</v>
      </c>
      <c r="L48" s="6" t="n">
        <v>15557</v>
      </c>
      <c r="M48" s="6" t="n">
        <v>598.9</v>
      </c>
      <c r="N48" s="6" t="n">
        <v>11.2</v>
      </c>
      <c r="O48" s="6" t="n">
        <v>137</v>
      </c>
    </row>
    <row r="49" customFormat="false" ht="14.4" hidden="false" customHeight="false" outlineLevel="0" collapsed="false">
      <c r="A49" s="20" t="n">
        <v>29</v>
      </c>
      <c r="B49" s="21" t="n">
        <v>43148</v>
      </c>
      <c r="C49" s="22" t="n">
        <v>6407</v>
      </c>
      <c r="D49" s="22" t="n">
        <f aca="false">Table13[[#This Row],[Steps]]-C48</f>
        <v>-2725</v>
      </c>
      <c r="E49" s="23" t="n">
        <v>257.9</v>
      </c>
      <c r="F49" s="23" t="n">
        <f aca="false">Table13[[#This Row],[Colories]]-E48</f>
        <v>-92.1</v>
      </c>
      <c r="G49" s="6" t="n">
        <v>4.61</v>
      </c>
      <c r="H49" s="24" t="n">
        <f aca="false">Table13[[#This Row],[Distance]]-G48</f>
        <v>-1.97</v>
      </c>
      <c r="I49" s="22" t="n">
        <v>65</v>
      </c>
      <c r="J49" s="25" t="n">
        <f aca="false">Table13[[#This Row],[Time]]-I48</f>
        <v>-13</v>
      </c>
      <c r="K49" s="20" t="s">
        <v>36</v>
      </c>
      <c r="L49" s="6" t="n">
        <v>19</v>
      </c>
      <c r="M49" s="6" t="n">
        <v>0.8</v>
      </c>
      <c r="N49" s="6" t="n">
        <v>0.01</v>
      </c>
      <c r="O49" s="6" t="n">
        <v>1</v>
      </c>
    </row>
    <row r="50" customFormat="false" ht="14.4" hidden="false" customHeight="false" outlineLevel="0" collapsed="false">
      <c r="A50" s="20" t="n">
        <v>30</v>
      </c>
      <c r="B50" s="21" t="n">
        <v>43149</v>
      </c>
      <c r="C50" s="22" t="n">
        <v>4503</v>
      </c>
      <c r="D50" s="22" t="n">
        <f aca="false">Table13[[#This Row],[Steps]]-C49</f>
        <v>-1904</v>
      </c>
      <c r="E50" s="23" t="n">
        <v>178.2</v>
      </c>
      <c r="F50" s="23" t="n">
        <f aca="false">Table13[[#This Row],[Colories]]-E49</f>
        <v>-79.7</v>
      </c>
      <c r="G50" s="6" t="n">
        <v>3.24</v>
      </c>
      <c r="H50" s="24" t="n">
        <f aca="false">Table13[[#This Row],[Distance]]-G49</f>
        <v>-1.37</v>
      </c>
      <c r="I50" s="22" t="n">
        <v>44</v>
      </c>
      <c r="J50" s="25" t="n">
        <f aca="false">Table13[[#This Row],[Time]]-I49</f>
        <v>-21</v>
      </c>
      <c r="K50" s="20" t="s">
        <v>158</v>
      </c>
      <c r="L50" s="6" t="n">
        <v>1321.89291479772</v>
      </c>
      <c r="M50" s="6" t="n">
        <v>50.6281143048246</v>
      </c>
      <c r="N50" s="6" t="n">
        <v>0.952597888331482</v>
      </c>
      <c r="O50" s="6" t="n">
        <v>13.0268264461615</v>
      </c>
    </row>
    <row r="51" customFormat="false" ht="14.4" hidden="false" customHeight="false" outlineLevel="0" collapsed="false">
      <c r="A51" s="20" t="n">
        <v>31</v>
      </c>
      <c r="B51" s="21" t="n">
        <v>43150</v>
      </c>
      <c r="C51" s="22" t="n">
        <v>13080</v>
      </c>
      <c r="D51" s="22" t="n">
        <f aca="false">Table13[[#This Row],[Steps]]-C50</f>
        <v>8577</v>
      </c>
      <c r="E51" s="23" t="n">
        <v>503.2</v>
      </c>
      <c r="F51" s="23" t="n">
        <f aca="false">Table13[[#This Row],[Colories]]-E50</f>
        <v>325</v>
      </c>
      <c r="G51" s="6" t="n">
        <v>9.42</v>
      </c>
      <c r="H51" s="24" t="n">
        <f aca="false">Table13[[#This Row],[Distance]]-G50</f>
        <v>6.18</v>
      </c>
      <c r="I51" s="22" t="n">
        <v>114</v>
      </c>
      <c r="J51" s="25" t="n">
        <f aca="false">Table13[[#This Row],[Time]]-I50</f>
        <v>70</v>
      </c>
      <c r="K51" s="28"/>
    </row>
    <row r="52" customFormat="false" ht="14.4" hidden="false" customHeight="false" outlineLevel="0" collapsed="false">
      <c r="A52" s="20" t="n">
        <v>1</v>
      </c>
      <c r="B52" s="21" t="n">
        <v>43151</v>
      </c>
      <c r="C52" s="22" t="n">
        <v>8341</v>
      </c>
      <c r="D52" s="22" t="n">
        <f aca="false">Table13[[#This Row],[Steps]]-C51</f>
        <v>-4739</v>
      </c>
      <c r="E52" s="23" t="n">
        <v>321.7</v>
      </c>
      <c r="F52" s="23" t="n">
        <f aca="false">Table13[[#This Row],[Colories]]-E51</f>
        <v>-181.5</v>
      </c>
      <c r="G52" s="6" t="n">
        <v>6.01</v>
      </c>
      <c r="H52" s="24" t="n">
        <f aca="false">Table13[[#This Row],[Distance]]-G51</f>
        <v>-3.41</v>
      </c>
      <c r="I52" s="22" t="n">
        <v>72</v>
      </c>
      <c r="J52" s="25" t="n">
        <f aca="false">Table13[[#This Row],[Time]]-I51</f>
        <v>-42</v>
      </c>
    </row>
    <row r="53" customFormat="false" ht="14.4" hidden="false" customHeight="false" outlineLevel="0" collapsed="false">
      <c r="A53" s="20" t="n">
        <v>2</v>
      </c>
      <c r="B53" s="21" t="n">
        <v>43152</v>
      </c>
      <c r="C53" s="22" t="n">
        <v>7149</v>
      </c>
      <c r="D53" s="22" t="n">
        <f aca="false">Table13[[#This Row],[Steps]]-C52</f>
        <v>-1192</v>
      </c>
      <c r="E53" s="23" t="n">
        <v>273.8</v>
      </c>
      <c r="F53" s="23" t="n">
        <f aca="false">Table13[[#This Row],[Colories]]-E52</f>
        <v>-47.9</v>
      </c>
      <c r="G53" s="6" t="n">
        <v>5.15</v>
      </c>
      <c r="H53" s="24" t="n">
        <f aca="false">Table13[[#This Row],[Distance]]-G52</f>
        <v>-0.859999999999999</v>
      </c>
      <c r="I53" s="22" t="n">
        <v>1</v>
      </c>
      <c r="J53" s="25" t="n">
        <f aca="false">Table13[[#This Row],[Time]]-I52</f>
        <v>-71</v>
      </c>
    </row>
    <row r="54" customFormat="false" ht="14.4" hidden="false" customHeight="false" outlineLevel="0" collapsed="false">
      <c r="A54" s="20" t="n">
        <v>3</v>
      </c>
      <c r="B54" s="21" t="n">
        <v>43153</v>
      </c>
      <c r="C54" s="22" t="n">
        <v>15557</v>
      </c>
      <c r="D54" s="22" t="n">
        <f aca="false">Table13[[#This Row],[Steps]]-C53</f>
        <v>8408</v>
      </c>
      <c r="E54" s="23" t="n">
        <v>598.9</v>
      </c>
      <c r="F54" s="23" t="n">
        <f aca="false">Table13[[#This Row],[Colories]]-E53</f>
        <v>325.1</v>
      </c>
      <c r="G54" s="6" t="n">
        <v>11.2</v>
      </c>
      <c r="H54" s="24" t="n">
        <f aca="false">Table13[[#This Row],[Distance]]-G53</f>
        <v>6.05</v>
      </c>
      <c r="I54" s="22" t="n">
        <v>137</v>
      </c>
      <c r="J54" s="25" t="n">
        <f aca="false">Table13[[#This Row],[Time]]-I53</f>
        <v>136</v>
      </c>
    </row>
    <row r="55" customFormat="false" ht="14.4" hidden="false" customHeight="false" outlineLevel="0" collapsed="false">
      <c r="A55" s="20" t="n">
        <v>4</v>
      </c>
      <c r="B55" s="21" t="n">
        <v>43154</v>
      </c>
      <c r="C55" s="22" t="n">
        <v>10978</v>
      </c>
      <c r="D55" s="22" t="n">
        <f aca="false">Table13[[#This Row],[Steps]]-C54</f>
        <v>-4579</v>
      </c>
      <c r="E55" s="23" t="n">
        <v>423.7</v>
      </c>
      <c r="F55" s="23" t="n">
        <f aca="false">Table13[[#This Row],[Colories]]-E54</f>
        <v>-175.2</v>
      </c>
      <c r="G55" s="6" t="n">
        <v>7.9</v>
      </c>
      <c r="H55" s="24" t="n">
        <f aca="false">Table13[[#This Row],[Distance]]-G54</f>
        <v>-3.3</v>
      </c>
      <c r="I55" s="22" t="n">
        <v>98</v>
      </c>
      <c r="J55" s="25" t="n">
        <f aca="false">Table13[[#This Row],[Time]]-I54</f>
        <v>-39</v>
      </c>
    </row>
    <row r="56" customFormat="false" ht="14.4" hidden="false" customHeight="false" outlineLevel="0" collapsed="false">
      <c r="A56" s="20" t="n">
        <v>5</v>
      </c>
      <c r="B56" s="21" t="n">
        <v>43155</v>
      </c>
      <c r="C56" s="22" t="n">
        <v>9669</v>
      </c>
      <c r="D56" s="22" t="n">
        <f aca="false">Table13[[#This Row],[Steps]]-C55</f>
        <v>-1309</v>
      </c>
      <c r="E56" s="23" t="n">
        <v>377.5</v>
      </c>
      <c r="F56" s="23" t="n">
        <f aca="false">Table13[[#This Row],[Colories]]-E55</f>
        <v>-46.2</v>
      </c>
      <c r="G56" s="6" t="n">
        <v>6.96</v>
      </c>
      <c r="H56" s="24" t="n">
        <f aca="false">Table13[[#This Row],[Distance]]-G55</f>
        <v>-0.94</v>
      </c>
      <c r="I56" s="22" t="n">
        <v>90</v>
      </c>
      <c r="J56" s="25" t="n">
        <f aca="false">Table13[[#This Row],[Time]]-I55</f>
        <v>-8</v>
      </c>
    </row>
    <row r="57" customFormat="false" ht="14.4" hidden="false" customHeight="false" outlineLevel="0" collapsed="false">
      <c r="A57" s="20" t="n">
        <v>6</v>
      </c>
      <c r="B57" s="21" t="n">
        <v>43156</v>
      </c>
      <c r="C57" s="22" t="n">
        <v>19</v>
      </c>
      <c r="D57" s="22" t="n">
        <f aca="false">Table13[[#This Row],[Steps]]-C56</f>
        <v>-9650</v>
      </c>
      <c r="E57" s="23" t="n">
        <v>0.8</v>
      </c>
      <c r="F57" s="23" t="n">
        <f aca="false">Table13[[#This Row],[Colories]]-E56</f>
        <v>-376.7</v>
      </c>
      <c r="G57" s="6" t="n">
        <v>0.01</v>
      </c>
      <c r="H57" s="24" t="n">
        <f aca="false">Table13[[#This Row],[Distance]]-G56</f>
        <v>-6.95</v>
      </c>
      <c r="I57" s="22" t="n">
        <v>1</v>
      </c>
      <c r="J57" s="25" t="n">
        <f aca="false">Table13[[#This Row],[Time]]-I56</f>
        <v>-89</v>
      </c>
    </row>
    <row r="58" customFormat="false" ht="14.4" hidden="false" customHeight="false" outlineLevel="0" collapsed="false">
      <c r="A58" s="20" t="n">
        <v>7</v>
      </c>
      <c r="B58" s="21" t="n">
        <v>43157</v>
      </c>
      <c r="C58" s="22" t="n">
        <v>6032</v>
      </c>
      <c r="D58" s="22" t="n">
        <f aca="false">Table13[[#This Row],[Steps]]-C57</f>
        <v>6013</v>
      </c>
      <c r="E58" s="23" t="n">
        <v>238.5</v>
      </c>
      <c r="F58" s="23" t="n">
        <f aca="false">Table13[[#This Row],[Colories]]-E57</f>
        <v>237.7</v>
      </c>
      <c r="G58" s="6" t="n">
        <v>4.34</v>
      </c>
      <c r="H58" s="24" t="n">
        <f aca="false">Table13[[#This Row],[Distance]]-G57</f>
        <v>4.33</v>
      </c>
      <c r="I58" s="22" t="n">
        <v>58</v>
      </c>
      <c r="J58" s="25" t="n">
        <f aca="false">Table13[[#This Row],[Time]]-I57</f>
        <v>57</v>
      </c>
    </row>
    <row r="59" customFormat="false" ht="14.4" hidden="false" customHeight="false" outlineLevel="0" collapsed="false">
      <c r="A59" s="20" t="n">
        <v>8</v>
      </c>
      <c r="B59" s="21" t="n">
        <v>43158</v>
      </c>
      <c r="C59" s="22" t="n">
        <v>6961</v>
      </c>
      <c r="D59" s="22" t="n">
        <f aca="false">Table13[[#This Row],[Steps]]-C58</f>
        <v>929</v>
      </c>
      <c r="E59" s="23" t="n">
        <v>274.6</v>
      </c>
      <c r="F59" s="23" t="n">
        <f aca="false">Table13[[#This Row],[Colories]]-E58</f>
        <v>36.1</v>
      </c>
      <c r="G59" s="6" t="n">
        <v>5.01</v>
      </c>
      <c r="H59" s="24" t="n">
        <f aca="false">Table13[[#This Row],[Distance]]-G58</f>
        <v>0.67</v>
      </c>
      <c r="I59" s="22" t="n">
        <v>67</v>
      </c>
      <c r="J59" s="25" t="n">
        <f aca="false">Table13[[#This Row],[Time]]-I58</f>
        <v>9</v>
      </c>
    </row>
    <row r="60" customFormat="false" ht="14.4" hidden="false" customHeight="false" outlineLevel="0" collapsed="false">
      <c r="A60" s="20" t="n">
        <v>9</v>
      </c>
      <c r="B60" s="21" t="n">
        <v>43159</v>
      </c>
      <c r="C60" s="22" t="n">
        <v>10596</v>
      </c>
      <c r="D60" s="22" t="n">
        <f aca="false">Table13[[#This Row],[Steps]]-C59</f>
        <v>3635</v>
      </c>
      <c r="E60" s="23" t="n">
        <v>407.6</v>
      </c>
      <c r="F60" s="23" t="n">
        <f aca="false">Table13[[#This Row],[Colories]]-E59</f>
        <v>133</v>
      </c>
      <c r="G60" s="6" t="n">
        <v>7.63</v>
      </c>
      <c r="H60" s="24" t="n">
        <f aca="false">Table13[[#This Row],[Distance]]-G59</f>
        <v>2.62</v>
      </c>
      <c r="I60" s="22" t="n">
        <v>93</v>
      </c>
      <c r="J60" s="25" t="n">
        <f aca="false">Table13[[#This Row],[Time]]-I59</f>
        <v>26</v>
      </c>
    </row>
    <row r="61" customFormat="false" ht="14.4" hidden="false" customHeight="false" outlineLevel="0" collapsed="false">
      <c r="A61" s="20" t="n">
        <v>10</v>
      </c>
      <c r="B61" s="21" t="n">
        <v>43160</v>
      </c>
      <c r="C61" s="22" t="n">
        <v>17595</v>
      </c>
      <c r="D61" s="22" t="n">
        <f aca="false">Table13[[#This Row],[Steps]]-C60</f>
        <v>6999</v>
      </c>
      <c r="E61" s="23" t="n">
        <v>680.4</v>
      </c>
      <c r="F61" s="23" t="n">
        <f aca="false">Table13[[#This Row],[Colories]]-E60</f>
        <v>272.8</v>
      </c>
      <c r="G61" s="6" t="n">
        <v>12.67</v>
      </c>
      <c r="H61" s="24" t="n">
        <f aca="false">Table13[[#This Row],[Distance]]-G60</f>
        <v>5.04</v>
      </c>
      <c r="I61" s="22" t="n">
        <v>156</v>
      </c>
      <c r="J61" s="25" t="n">
        <f aca="false">Table13[[#This Row],[Time]]-I60</f>
        <v>63</v>
      </c>
      <c r="K61" s="27" t="s">
        <v>184</v>
      </c>
      <c r="L61" s="6" t="s">
        <v>2</v>
      </c>
      <c r="M61" s="5" t="s">
        <v>179</v>
      </c>
      <c r="N61" s="6" t="s">
        <v>175</v>
      </c>
      <c r="O61" s="5" t="s">
        <v>177</v>
      </c>
    </row>
    <row r="62" customFormat="false" ht="14.4" hidden="false" customHeight="false" outlineLevel="0" collapsed="false">
      <c r="A62" s="20" t="n">
        <v>11</v>
      </c>
      <c r="B62" s="21" t="n">
        <v>43161</v>
      </c>
      <c r="C62" s="22" t="n">
        <v>11948</v>
      </c>
      <c r="D62" s="22" t="n">
        <f aca="false">Table13[[#This Row],[Steps]]-C61</f>
        <v>-5647</v>
      </c>
      <c r="E62" s="23" t="n">
        <v>459.9</v>
      </c>
      <c r="F62" s="23" t="n">
        <f aca="false">Table13[[#This Row],[Colories]]-E61</f>
        <v>-220.5</v>
      </c>
      <c r="G62" s="6" t="n">
        <v>8.6</v>
      </c>
      <c r="H62" s="24" t="n">
        <f aca="false">Table13[[#This Row],[Distance]]-G61</f>
        <v>-4.07</v>
      </c>
      <c r="I62" s="22" t="n">
        <v>105</v>
      </c>
      <c r="J62" s="25" t="n">
        <f aca="false">Table13[[#This Row],[Time]]-I61</f>
        <v>-51</v>
      </c>
    </row>
    <row r="63" customFormat="false" ht="14.4" hidden="false" customHeight="false" outlineLevel="0" collapsed="false">
      <c r="A63" s="20" t="n">
        <v>12</v>
      </c>
      <c r="B63" s="21" t="n">
        <v>43162</v>
      </c>
      <c r="C63" s="22" t="n">
        <v>6050</v>
      </c>
      <c r="D63" s="22" t="n">
        <f aca="false">Table13[[#This Row],[Steps]]-C62</f>
        <v>-5898</v>
      </c>
      <c r="E63" s="23" t="n">
        <v>241.4</v>
      </c>
      <c r="F63" s="23" t="n">
        <f aca="false">Table13[[#This Row],[Colories]]-E62</f>
        <v>-218.5</v>
      </c>
      <c r="G63" s="6" t="n">
        <v>4.36</v>
      </c>
      <c r="H63" s="24" t="n">
        <f aca="false">Table13[[#This Row],[Distance]]-G62</f>
        <v>-4.24</v>
      </c>
      <c r="I63" s="22" t="n">
        <v>61</v>
      </c>
      <c r="J63" s="25" t="n">
        <f aca="false">Table13[[#This Row],[Time]]-I62</f>
        <v>-44</v>
      </c>
      <c r="K63" s="1" t="s">
        <v>8</v>
      </c>
      <c r="L63" s="1" t="n">
        <v>11413.8333333333</v>
      </c>
      <c r="M63" s="1" t="n">
        <v>458.863333333334</v>
      </c>
      <c r="N63" s="1" t="n">
        <v>8.541</v>
      </c>
      <c r="O63" s="1" t="n">
        <v>106.8</v>
      </c>
    </row>
    <row r="64" customFormat="false" ht="14.4" hidden="false" customHeight="false" outlineLevel="0" collapsed="false">
      <c r="A64" s="20" t="n">
        <v>13</v>
      </c>
      <c r="B64" s="21" t="n">
        <v>43163</v>
      </c>
      <c r="C64" s="22" t="n">
        <v>11937</v>
      </c>
      <c r="D64" s="22" t="n">
        <f aca="false">Table13[[#This Row],[Steps]]-C63</f>
        <v>5887</v>
      </c>
      <c r="E64" s="23" t="n">
        <v>466.8</v>
      </c>
      <c r="F64" s="23" t="n">
        <f aca="false">Table13[[#This Row],[Colories]]-E63</f>
        <v>225.4</v>
      </c>
      <c r="G64" s="6" t="n">
        <v>8.59</v>
      </c>
      <c r="H64" s="24" t="n">
        <f aca="false">Table13[[#This Row],[Distance]]-G63</f>
        <v>4.23</v>
      </c>
      <c r="I64" s="22" t="n">
        <v>111</v>
      </c>
      <c r="J64" s="25" t="n">
        <f aca="false">Table13[[#This Row],[Time]]-I63</f>
        <v>50</v>
      </c>
      <c r="K64" s="1" t="s">
        <v>10</v>
      </c>
      <c r="L64" s="1" t="n">
        <v>1130.7368913381</v>
      </c>
      <c r="M64" s="1" t="n">
        <v>41.7441777847785</v>
      </c>
      <c r="N64" s="1" t="n">
        <v>0.779927103873382</v>
      </c>
      <c r="O64" s="1" t="n">
        <v>9.69872606873304</v>
      </c>
    </row>
    <row r="65" customFormat="false" ht="14.4" hidden="false" customHeight="false" outlineLevel="0" collapsed="false">
      <c r="A65" s="20" t="n">
        <v>14</v>
      </c>
      <c r="B65" s="21" t="n">
        <v>43164</v>
      </c>
      <c r="C65" s="22" t="n">
        <v>6364</v>
      </c>
      <c r="D65" s="22" t="n">
        <f aca="false">Table13[[#This Row],[Steps]]-C64</f>
        <v>-5573</v>
      </c>
      <c r="E65" s="23" t="n">
        <v>244.7</v>
      </c>
      <c r="F65" s="23" t="n">
        <f aca="false">Table13[[#This Row],[Colories]]-E64</f>
        <v>-222.1</v>
      </c>
      <c r="G65" s="6" t="n">
        <v>4.58</v>
      </c>
      <c r="H65" s="24" t="n">
        <f aca="false">Table13[[#This Row],[Distance]]-G64</f>
        <v>-4.01</v>
      </c>
      <c r="I65" s="22" t="n">
        <v>56</v>
      </c>
      <c r="J65" s="25" t="n">
        <f aca="false">Table13[[#This Row],[Time]]-I64</f>
        <v>-55</v>
      </c>
      <c r="K65" s="1" t="s">
        <v>12</v>
      </c>
      <c r="L65" s="1" t="n">
        <v>11942.5</v>
      </c>
      <c r="M65" s="1" t="n">
        <v>471</v>
      </c>
      <c r="N65" s="1" t="n">
        <v>8.73</v>
      </c>
      <c r="O65" s="1" t="n">
        <v>109</v>
      </c>
    </row>
    <row r="66" customFormat="false" ht="14.4" hidden="false" customHeight="false" outlineLevel="0" collapsed="false">
      <c r="A66" s="20" t="n">
        <v>15</v>
      </c>
      <c r="B66" s="21" t="n">
        <v>43165</v>
      </c>
      <c r="C66" s="22" t="n">
        <v>18407</v>
      </c>
      <c r="D66" s="22" t="n">
        <f aca="false">Table13[[#This Row],[Steps]]-C65</f>
        <v>12043</v>
      </c>
      <c r="E66" s="23" t="n">
        <v>707.8</v>
      </c>
      <c r="F66" s="23" t="n">
        <f aca="false">Table13[[#This Row],[Colories]]-E65</f>
        <v>463.1</v>
      </c>
      <c r="G66" s="6" t="n">
        <v>13.25</v>
      </c>
      <c r="H66" s="24" t="n">
        <f aca="false">Table13[[#This Row],[Distance]]-G65</f>
        <v>8.67</v>
      </c>
      <c r="I66" s="22" t="n">
        <v>163</v>
      </c>
      <c r="J66" s="25" t="n">
        <f aca="false">Table13[[#This Row],[Time]]-I65</f>
        <v>107</v>
      </c>
      <c r="K66" s="1" t="s">
        <v>14</v>
      </c>
      <c r="L66" s="1" t="e">
        <f aca="false">#N/A</f>
        <v>#N/A</v>
      </c>
      <c r="M66" s="1" t="n">
        <v>575.2</v>
      </c>
      <c r="N66" s="1" t="n">
        <v>5.61</v>
      </c>
      <c r="O66" s="1" t="e">
        <f aca="false">#N/A</f>
        <v>#N/A</v>
      </c>
    </row>
    <row r="67" customFormat="false" ht="14.4" hidden="false" customHeight="false" outlineLevel="0" collapsed="false">
      <c r="A67" s="20" t="n">
        <v>16</v>
      </c>
      <c r="B67" s="21" t="n">
        <v>43166</v>
      </c>
      <c r="C67" s="22" t="n">
        <v>17410</v>
      </c>
      <c r="D67" s="22" t="n">
        <f aca="false">Table13[[#This Row],[Steps]]-C66</f>
        <v>-997</v>
      </c>
      <c r="E67" s="23" t="n">
        <v>667.7</v>
      </c>
      <c r="F67" s="23" t="n">
        <f aca="false">Table13[[#This Row],[Colories]]-E66</f>
        <v>-40.0999999999999</v>
      </c>
      <c r="G67" s="6" t="n">
        <v>12.54</v>
      </c>
      <c r="H67" s="24" t="n">
        <f aca="false">Table13[[#This Row],[Distance]]-G66</f>
        <v>-0.710000000000001</v>
      </c>
      <c r="I67" s="22" t="n">
        <v>151</v>
      </c>
      <c r="J67" s="25" t="n">
        <f aca="false">Table13[[#This Row],[Time]]-I66</f>
        <v>-12</v>
      </c>
      <c r="K67" s="1" t="s">
        <v>16</v>
      </c>
      <c r="L67" s="1" t="n">
        <v>6193.30101989145</v>
      </c>
      <c r="M67" s="1" t="n">
        <v>228.642278172292</v>
      </c>
      <c r="N67" s="1" t="n">
        <v>4.27183668001126</v>
      </c>
      <c r="O67" s="1" t="n">
        <v>53.1221104690849</v>
      </c>
    </row>
    <row r="68" customFormat="false" ht="14.4" hidden="false" customHeight="false" outlineLevel="0" collapsed="false">
      <c r="A68" s="20" t="n">
        <v>17</v>
      </c>
      <c r="B68" s="21" t="n">
        <v>43167</v>
      </c>
      <c r="C68" s="22" t="n">
        <v>12306</v>
      </c>
      <c r="D68" s="22" t="n">
        <f aca="false">Table13[[#This Row],[Steps]]-C67</f>
        <v>-5104</v>
      </c>
      <c r="E68" s="23" t="n">
        <v>476.3</v>
      </c>
      <c r="F68" s="23" t="n">
        <f aca="false">Table13[[#This Row],[Colories]]-E67</f>
        <v>-191.4</v>
      </c>
      <c r="G68" s="6" t="n">
        <v>8.86</v>
      </c>
      <c r="H68" s="24" t="n">
        <f aca="false">Table13[[#This Row],[Distance]]-G67</f>
        <v>-3.68</v>
      </c>
      <c r="I68" s="22" t="n">
        <v>110</v>
      </c>
      <c r="J68" s="25" t="n">
        <f aca="false">Table13[[#This Row],[Time]]-I67</f>
        <v>-41</v>
      </c>
      <c r="K68" s="1" t="s">
        <v>18</v>
      </c>
      <c r="L68" s="1" t="n">
        <v>38356977.5229885</v>
      </c>
      <c r="M68" s="1" t="n">
        <v>52277.2913678159</v>
      </c>
      <c r="N68" s="1" t="n">
        <v>18.2485886206897</v>
      </c>
      <c r="O68" s="1" t="n">
        <v>2821.95862068965</v>
      </c>
    </row>
    <row r="69" customFormat="false" ht="14.4" hidden="false" customHeight="false" outlineLevel="0" collapsed="false">
      <c r="A69" s="20" t="n">
        <v>18</v>
      </c>
      <c r="B69" s="21" t="n">
        <v>43168</v>
      </c>
      <c r="C69" s="22" t="n">
        <v>13585</v>
      </c>
      <c r="D69" s="22" t="n">
        <f aca="false">Table13[[#This Row],[Steps]]-C68</f>
        <v>1279</v>
      </c>
      <c r="E69" s="23" t="n">
        <v>523.7</v>
      </c>
      <c r="F69" s="23" t="n">
        <f aca="false">Table13[[#This Row],[Colories]]-E68</f>
        <v>47.4</v>
      </c>
      <c r="G69" s="6" t="n">
        <v>9.78</v>
      </c>
      <c r="H69" s="24" t="n">
        <f aca="false">Table13[[#This Row],[Distance]]-G68</f>
        <v>0.92</v>
      </c>
      <c r="I69" s="22" t="n">
        <v>120</v>
      </c>
      <c r="J69" s="25" t="n">
        <f aca="false">Table13[[#This Row],[Time]]-I68</f>
        <v>10</v>
      </c>
      <c r="K69" s="1" t="s">
        <v>20</v>
      </c>
      <c r="L69" s="1" t="n">
        <v>1.49567029246716</v>
      </c>
      <c r="M69" s="1" t="n">
        <v>1.64139629992402</v>
      </c>
      <c r="N69" s="1" t="n">
        <v>1.81361139430511</v>
      </c>
      <c r="O69" s="1" t="n">
        <v>1.09883295392119</v>
      </c>
    </row>
    <row r="70" customFormat="false" ht="14.4" hidden="false" customHeight="false" outlineLevel="0" collapsed="false">
      <c r="A70" s="20" t="n">
        <v>19</v>
      </c>
      <c r="B70" s="21" t="n">
        <v>43169</v>
      </c>
      <c r="C70" s="22" t="n">
        <v>17771</v>
      </c>
      <c r="D70" s="22" t="n">
        <f aca="false">Table13[[#This Row],[Steps]]-C69</f>
        <v>4186</v>
      </c>
      <c r="E70" s="23" t="n">
        <v>703.8</v>
      </c>
      <c r="F70" s="23" t="n">
        <f aca="false">Table13[[#This Row],[Colories]]-E69</f>
        <v>180.1</v>
      </c>
      <c r="G70" s="6" t="n">
        <v>12.8</v>
      </c>
      <c r="H70" s="24" t="n">
        <f aca="false">Table13[[#This Row],[Distance]]-G69</f>
        <v>3.02</v>
      </c>
      <c r="I70" s="22" t="n">
        <v>176</v>
      </c>
      <c r="J70" s="25" t="n">
        <f aca="false">Table13[[#This Row],[Time]]-I69</f>
        <v>56</v>
      </c>
      <c r="K70" s="1" t="s">
        <v>22</v>
      </c>
      <c r="L70" s="1" t="n">
        <v>0.622420984752966</v>
      </c>
      <c r="M70" s="1" t="n">
        <v>0.60719481625043</v>
      </c>
      <c r="N70" s="1" t="n">
        <v>0.64613570573339</v>
      </c>
      <c r="O70" s="1" t="n">
        <v>0.505892762643723</v>
      </c>
    </row>
    <row r="71" customFormat="false" ht="14.4" hidden="false" customHeight="false" outlineLevel="0" collapsed="false">
      <c r="A71" s="20" t="n">
        <v>20</v>
      </c>
      <c r="B71" s="21" t="n">
        <v>43170</v>
      </c>
      <c r="C71" s="22" t="n">
        <v>15938</v>
      </c>
      <c r="D71" s="22" t="n">
        <f aca="false">Table13[[#This Row],[Steps]]-C70</f>
        <v>-1833</v>
      </c>
      <c r="E71" s="23" t="n">
        <v>612.6</v>
      </c>
      <c r="F71" s="23" t="n">
        <f aca="false">Table13[[#This Row],[Colories]]-E70</f>
        <v>-91.1999999999999</v>
      </c>
      <c r="G71" s="6" t="n">
        <v>11.48</v>
      </c>
      <c r="H71" s="24" t="n">
        <f aca="false">Table13[[#This Row],[Distance]]-G70</f>
        <v>-1.32</v>
      </c>
      <c r="I71" s="22" t="n">
        <v>141</v>
      </c>
      <c r="J71" s="25" t="n">
        <f aca="false">Table13[[#This Row],[Time]]-I70</f>
        <v>-35</v>
      </c>
      <c r="K71" s="1" t="s">
        <v>24</v>
      </c>
      <c r="L71" s="1" t="n">
        <v>29332</v>
      </c>
      <c r="M71" s="1" t="n">
        <v>1122.4</v>
      </c>
      <c r="N71" s="1" t="n">
        <v>21.12</v>
      </c>
      <c r="O71" s="1" t="n">
        <v>253</v>
      </c>
    </row>
    <row r="72" customFormat="false" ht="14.4" hidden="false" customHeight="false" outlineLevel="0" collapsed="false">
      <c r="A72" s="20" t="n">
        <v>21</v>
      </c>
      <c r="B72" s="21" t="n">
        <v>43171</v>
      </c>
      <c r="C72" s="22" t="n">
        <v>30161</v>
      </c>
      <c r="D72" s="22" t="n">
        <f aca="false">Table13[[#This Row],[Steps]]-C71</f>
        <v>14223</v>
      </c>
      <c r="E72" s="23" t="n">
        <v>1154.9</v>
      </c>
      <c r="F72" s="23" t="n">
        <f aca="false">Table13[[#This Row],[Colories]]-E71</f>
        <v>542.3</v>
      </c>
      <c r="G72" s="6" t="n">
        <v>21.72</v>
      </c>
      <c r="H72" s="24" t="n">
        <f aca="false">Table13[[#This Row],[Distance]]-G71</f>
        <v>10.24</v>
      </c>
      <c r="I72" s="6" t="n">
        <v>261</v>
      </c>
      <c r="J72" s="25" t="n">
        <f aca="false">Table13[[#This Row],[Time]]-I71</f>
        <v>120</v>
      </c>
      <c r="K72" s="1" t="s">
        <v>26</v>
      </c>
      <c r="L72" s="1" t="n">
        <v>829</v>
      </c>
      <c r="M72" s="1" t="n">
        <v>32.5</v>
      </c>
      <c r="N72" s="1" t="n">
        <v>0.6</v>
      </c>
      <c r="O72" s="1" t="n">
        <v>8</v>
      </c>
    </row>
    <row r="73" customFormat="false" ht="14.4" hidden="false" customHeight="false" outlineLevel="0" collapsed="false">
      <c r="A73" s="20" t="n">
        <v>22</v>
      </c>
      <c r="B73" s="21" t="n">
        <v>43172</v>
      </c>
      <c r="C73" s="22" t="n">
        <v>7790</v>
      </c>
      <c r="D73" s="22" t="n">
        <f aca="false">Table13[[#This Row],[Steps]]-C72</f>
        <v>-22371</v>
      </c>
      <c r="E73" s="23" t="n">
        <v>299.1</v>
      </c>
      <c r="F73" s="23" t="n">
        <f aca="false">Table13[[#This Row],[Colories]]-E72</f>
        <v>-855.8</v>
      </c>
      <c r="G73" s="6" t="n">
        <v>5.61</v>
      </c>
      <c r="H73" s="24" t="n">
        <f aca="false">Table13[[#This Row],[Distance]]-G72</f>
        <v>-16.11</v>
      </c>
      <c r="I73" s="6" t="n">
        <v>67</v>
      </c>
      <c r="J73" s="25" t="n">
        <f aca="false">Table13[[#This Row],[Time]]-I72</f>
        <v>-194</v>
      </c>
      <c r="K73" s="1" t="s">
        <v>28</v>
      </c>
      <c r="L73" s="1" t="n">
        <v>30161</v>
      </c>
      <c r="M73" s="1" t="n">
        <v>1154.9</v>
      </c>
      <c r="N73" s="1" t="n">
        <v>21.72</v>
      </c>
      <c r="O73" s="1" t="n">
        <v>261</v>
      </c>
    </row>
    <row r="74" customFormat="false" ht="14.4" hidden="false" customHeight="false" outlineLevel="0" collapsed="false">
      <c r="A74" s="20" t="n">
        <v>23</v>
      </c>
      <c r="B74" s="21" t="n">
        <v>43173</v>
      </c>
      <c r="C74" s="22" t="n">
        <v>3534</v>
      </c>
      <c r="D74" s="22" t="n">
        <f aca="false">Table13[[#This Row],[Steps]]-C73</f>
        <v>-4256</v>
      </c>
      <c r="E74" s="23" t="n">
        <v>135.8</v>
      </c>
      <c r="F74" s="23" t="n">
        <f aca="false">Table13[[#This Row],[Colories]]-E73</f>
        <v>-163.3</v>
      </c>
      <c r="G74" s="6" t="n">
        <v>2.54</v>
      </c>
      <c r="H74" s="24" t="n">
        <f aca="false">Table13[[#This Row],[Distance]]-G73</f>
        <v>-3.07</v>
      </c>
      <c r="I74" s="6" t="n">
        <v>30</v>
      </c>
      <c r="J74" s="25" t="n">
        <f aca="false">Table13[[#This Row],[Time]]-I73</f>
        <v>-37</v>
      </c>
      <c r="K74" s="1" t="s">
        <v>30</v>
      </c>
      <c r="L74" s="1" t="n">
        <v>342415</v>
      </c>
      <c r="M74" s="1" t="n">
        <v>13765.9</v>
      </c>
      <c r="N74" s="1" t="n">
        <v>256.23</v>
      </c>
      <c r="O74" s="1" t="n">
        <v>3204</v>
      </c>
    </row>
    <row r="75" customFormat="false" ht="14.4" hidden="false" customHeight="false" outlineLevel="0" collapsed="false">
      <c r="A75" s="20" t="n">
        <v>24</v>
      </c>
      <c r="B75" s="21" t="n">
        <v>43174</v>
      </c>
      <c r="C75" s="22" t="n">
        <v>6888</v>
      </c>
      <c r="D75" s="22" t="n">
        <f aca="false">Table13[[#This Row],[Steps]]-C74</f>
        <v>3354</v>
      </c>
      <c r="E75" s="23" t="n">
        <v>269.1</v>
      </c>
      <c r="F75" s="23" t="n">
        <f aca="false">Table13[[#This Row],[Colories]]-E74</f>
        <v>133.3</v>
      </c>
      <c r="G75" s="6" t="n">
        <v>4.96</v>
      </c>
      <c r="H75" s="24" t="n">
        <f aca="false">Table13[[#This Row],[Distance]]-G74</f>
        <v>2.42</v>
      </c>
      <c r="I75" s="6" t="n">
        <v>64</v>
      </c>
      <c r="J75" s="25" t="n">
        <f aca="false">Table13[[#This Row],[Time]]-I74</f>
        <v>34</v>
      </c>
      <c r="K75" s="1" t="s">
        <v>32</v>
      </c>
      <c r="L75" s="1" t="n">
        <v>30</v>
      </c>
      <c r="M75" s="1" t="n">
        <v>30</v>
      </c>
      <c r="N75" s="1" t="n">
        <v>30</v>
      </c>
      <c r="O75" s="1" t="n">
        <v>30</v>
      </c>
    </row>
    <row r="76" customFormat="false" ht="14.4" hidden="false" customHeight="false" outlineLevel="0" collapsed="false">
      <c r="A76" s="20" t="n">
        <v>25</v>
      </c>
      <c r="B76" s="21" t="n">
        <v>43175</v>
      </c>
      <c r="C76" s="22" t="n">
        <v>14933</v>
      </c>
      <c r="D76" s="22" t="n">
        <f aca="false">Table13[[#This Row],[Steps]]-C75</f>
        <v>8045</v>
      </c>
      <c r="E76" s="23" t="n">
        <v>575.2</v>
      </c>
      <c r="F76" s="23" t="n">
        <f aca="false">Table13[[#This Row],[Colories]]-E75</f>
        <v>306.1</v>
      </c>
      <c r="G76" s="6" t="n">
        <v>10.75</v>
      </c>
      <c r="H76" s="24" t="n">
        <f aca="false">Table13[[#This Row],[Distance]]-G75</f>
        <v>5.79</v>
      </c>
      <c r="I76" s="6" t="n">
        <v>132</v>
      </c>
      <c r="J76" s="25" t="n">
        <f aca="false">Table13[[#This Row],[Time]]-I75</f>
        <v>68</v>
      </c>
      <c r="K76" s="1" t="s">
        <v>34</v>
      </c>
      <c r="L76" s="1" t="n">
        <v>30161</v>
      </c>
      <c r="M76" s="1" t="n">
        <v>1154.9</v>
      </c>
      <c r="N76" s="1" t="n">
        <v>21.72</v>
      </c>
      <c r="O76" s="1" t="n">
        <v>261</v>
      </c>
    </row>
    <row r="77" customFormat="false" ht="14.4" hidden="false" customHeight="false" outlineLevel="0" collapsed="false">
      <c r="A77" s="20" t="n">
        <v>26</v>
      </c>
      <c r="B77" s="21" t="n">
        <v>43176</v>
      </c>
      <c r="C77" s="22" t="n">
        <v>16147</v>
      </c>
      <c r="D77" s="22" t="n">
        <f aca="false">Table13[[#This Row],[Steps]]-C76</f>
        <v>1214</v>
      </c>
      <c r="E77" s="23" t="n">
        <v>631.2</v>
      </c>
      <c r="F77" s="23" t="n">
        <f aca="false">Table13[[#This Row],[Colories]]-E76</f>
        <v>56</v>
      </c>
      <c r="G77" s="6" t="n">
        <v>11.63</v>
      </c>
      <c r="H77" s="24" t="n">
        <f aca="false">Table13[[#This Row],[Distance]]-G76</f>
        <v>0.880000000000001</v>
      </c>
      <c r="I77" s="6" t="n">
        <v>154</v>
      </c>
      <c r="J77" s="25" t="n">
        <f aca="false">Table13[[#This Row],[Time]]-I76</f>
        <v>22</v>
      </c>
      <c r="K77" s="1" t="s">
        <v>36</v>
      </c>
      <c r="L77" s="1" t="n">
        <v>829</v>
      </c>
      <c r="M77" s="1" t="n">
        <v>32.5</v>
      </c>
      <c r="N77" s="1" t="n">
        <v>0.6</v>
      </c>
      <c r="O77" s="1" t="n">
        <v>8</v>
      </c>
    </row>
    <row r="78" customFormat="false" ht="14.4" hidden="false" customHeight="false" outlineLevel="0" collapsed="false">
      <c r="A78" s="20" t="n">
        <v>27</v>
      </c>
      <c r="B78" s="21" t="n">
        <v>43177</v>
      </c>
      <c r="C78" s="22" t="n">
        <v>8478</v>
      </c>
      <c r="D78" s="22" t="n">
        <f aca="false">Table13[[#This Row],[Steps]]-C77</f>
        <v>-7669</v>
      </c>
      <c r="E78" s="23" t="n">
        <v>328.4</v>
      </c>
      <c r="F78" s="23" t="n">
        <f aca="false">Table13[[#This Row],[Colories]]-E77</f>
        <v>-302.8</v>
      </c>
      <c r="G78" s="6" t="n">
        <v>6.1</v>
      </c>
      <c r="H78" s="24" t="n">
        <f aca="false">Table13[[#This Row],[Distance]]-G77</f>
        <v>-5.53</v>
      </c>
      <c r="I78" s="6" t="n">
        <v>77</v>
      </c>
      <c r="J78" s="25" t="n">
        <f aca="false">Table13[[#This Row],[Time]]-I77</f>
        <v>-77</v>
      </c>
      <c r="K78" s="29" t="s">
        <v>158</v>
      </c>
      <c r="L78" s="29" t="n">
        <v>2312.61660761767</v>
      </c>
      <c r="M78" s="29" t="n">
        <v>85.3764297918866</v>
      </c>
      <c r="N78" s="29" t="n">
        <v>1.59513003154455</v>
      </c>
      <c r="O78" s="29" t="n">
        <v>19.836122046698</v>
      </c>
    </row>
    <row r="79" customFormat="false" ht="14.4" hidden="false" customHeight="false" outlineLevel="0" collapsed="false">
      <c r="A79" s="20" t="n">
        <v>28</v>
      </c>
      <c r="B79" s="21" t="n">
        <v>43178</v>
      </c>
      <c r="C79" s="22" t="n">
        <v>16380</v>
      </c>
      <c r="D79" s="22" t="n">
        <f aca="false">Table13[[#This Row],[Steps]]-C78</f>
        <v>7902</v>
      </c>
      <c r="E79" s="23" t="n">
        <v>634.7</v>
      </c>
      <c r="F79" s="23" t="n">
        <f aca="false">Table13[[#This Row],[Colories]]-E78</f>
        <v>306.3</v>
      </c>
      <c r="G79" s="6" t="n">
        <v>11.79</v>
      </c>
      <c r="H79" s="24" t="n">
        <f aca="false">Table13[[#This Row],[Distance]]-G78</f>
        <v>5.69</v>
      </c>
      <c r="I79" s="6" t="n">
        <v>146</v>
      </c>
      <c r="J79" s="25" t="n">
        <f aca="false">Table13[[#This Row],[Time]]-I78</f>
        <v>69</v>
      </c>
    </row>
    <row r="80" customFormat="false" ht="14.4" hidden="false" customHeight="false" outlineLevel="0" collapsed="false">
      <c r="A80" s="20" t="n">
        <v>29</v>
      </c>
      <c r="B80" s="21" t="n">
        <v>43179</v>
      </c>
      <c r="C80" s="22" t="n">
        <v>7792</v>
      </c>
      <c r="D80" s="22" t="n">
        <f aca="false">Table13[[#This Row],[Steps]]-C79</f>
        <v>-8588</v>
      </c>
      <c r="E80" s="23" t="n">
        <v>300.2</v>
      </c>
      <c r="F80" s="23" t="n">
        <f aca="false">Table13[[#This Row],[Colories]]-E79</f>
        <v>-334.5</v>
      </c>
      <c r="G80" s="6" t="n">
        <v>5.61</v>
      </c>
      <c r="H80" s="24" t="n">
        <f aca="false">Table13[[#This Row],[Distance]]-G79</f>
        <v>-6.18</v>
      </c>
      <c r="I80" s="22" t="n">
        <v>69</v>
      </c>
      <c r="J80" s="25" t="n">
        <f aca="false">Table13[[#This Row],[Time]]-I79</f>
        <v>-77</v>
      </c>
    </row>
    <row r="81" customFormat="false" ht="14.4" hidden="false" customHeight="false" outlineLevel="0" collapsed="false">
      <c r="A81" s="20" t="n">
        <v>30</v>
      </c>
      <c r="B81" s="21" t="n">
        <v>43180</v>
      </c>
      <c r="C81" s="22" t="n">
        <v>2363</v>
      </c>
      <c r="D81" s="22" t="n">
        <f aca="false">Table13[[#This Row],[Steps]]-C80</f>
        <v>-5429</v>
      </c>
      <c r="E81" s="23" t="n">
        <v>91.2</v>
      </c>
      <c r="F81" s="23" t="n">
        <f aca="false">Table13[[#This Row],[Colories]]-E80</f>
        <v>-209</v>
      </c>
      <c r="G81" s="6" t="n">
        <v>1.7</v>
      </c>
      <c r="H81" s="24" t="n">
        <f aca="false">Table13[[#This Row],[Distance]]-G80</f>
        <v>-3.91</v>
      </c>
      <c r="I81" s="22" t="n">
        <v>21</v>
      </c>
      <c r="J81" s="25" t="n">
        <f aca="false">Table13[[#This Row],[Time]]-I80</f>
        <v>-48</v>
      </c>
    </row>
    <row r="82" customFormat="false" ht="14.4" hidden="false" customHeight="false" outlineLevel="0" collapsed="false">
      <c r="A82" s="20" t="n">
        <v>1</v>
      </c>
      <c r="B82" s="21" t="n">
        <v>43181</v>
      </c>
      <c r="C82" s="22" t="n">
        <v>12362</v>
      </c>
      <c r="D82" s="22" t="n">
        <f aca="false">Table13[[#This Row],[Steps]]-C81</f>
        <v>9999</v>
      </c>
      <c r="E82" s="23" t="n">
        <v>475.2</v>
      </c>
      <c r="F82" s="23" t="n">
        <f aca="false">Table13[[#This Row],[Colories]]-E81</f>
        <v>384</v>
      </c>
      <c r="G82" s="6" t="n">
        <v>8.9</v>
      </c>
      <c r="H82" s="24" t="n">
        <f aca="false">Table13[[#This Row],[Distance]]-G81</f>
        <v>7.2</v>
      </c>
      <c r="I82" s="22" t="n">
        <v>108</v>
      </c>
      <c r="J82" s="25" t="n">
        <f aca="false">Table13[[#This Row],[Time]]-I81</f>
        <v>87</v>
      </c>
    </row>
    <row r="83" customFormat="false" ht="14.4" hidden="false" customHeight="false" outlineLevel="0" collapsed="false">
      <c r="A83" s="20" t="n">
        <v>2</v>
      </c>
      <c r="B83" s="21" t="n">
        <v>43182</v>
      </c>
      <c r="C83" s="22" t="n">
        <v>7985</v>
      </c>
      <c r="D83" s="22" t="n">
        <f aca="false">Table13[[#This Row],[Steps]]-C82</f>
        <v>-4377</v>
      </c>
      <c r="E83" s="23" t="n">
        <v>307.9</v>
      </c>
      <c r="F83" s="23" t="n">
        <f aca="false">Table13[[#This Row],[Colories]]-E82</f>
        <v>-167.3</v>
      </c>
      <c r="G83" s="6" t="n">
        <v>5.75</v>
      </c>
      <c r="H83" s="24" t="n">
        <f aca="false">Table13[[#This Row],[Distance]]-G82</f>
        <v>-3.15</v>
      </c>
      <c r="I83" s="22" t="n">
        <v>70</v>
      </c>
      <c r="J83" s="25" t="n">
        <f aca="false">Table13[[#This Row],[Time]]-I82</f>
        <v>-38</v>
      </c>
    </row>
    <row r="84" customFormat="false" ht="14.4" hidden="false" customHeight="false" outlineLevel="0" collapsed="false">
      <c r="A84" s="20" t="n">
        <v>3</v>
      </c>
      <c r="B84" s="21" t="n">
        <v>43183</v>
      </c>
      <c r="C84" s="22" t="n">
        <v>6762</v>
      </c>
      <c r="D84" s="22" t="n">
        <f aca="false">Table13[[#This Row],[Steps]]-C83</f>
        <v>-1223</v>
      </c>
      <c r="E84" s="23" t="n">
        <v>260.3</v>
      </c>
      <c r="F84" s="23" t="n">
        <f aca="false">Table13[[#This Row],[Colories]]-E83</f>
        <v>-47.6</v>
      </c>
      <c r="G84" s="6" t="n">
        <v>4.87</v>
      </c>
      <c r="H84" s="24" t="n">
        <f aca="false">Table13[[#This Row],[Distance]]-G83</f>
        <v>-0.88</v>
      </c>
      <c r="I84" s="22" t="n">
        <v>60</v>
      </c>
      <c r="J84" s="25" t="n">
        <f aca="false">Table13[[#This Row],[Time]]-I83</f>
        <v>-10</v>
      </c>
    </row>
    <row r="85" customFormat="false" ht="14.4" hidden="false" customHeight="false" outlineLevel="0" collapsed="false">
      <c r="A85" s="20" t="n">
        <v>4</v>
      </c>
      <c r="B85" s="21" t="n">
        <v>43184</v>
      </c>
      <c r="C85" s="22" t="n">
        <v>829</v>
      </c>
      <c r="D85" s="22" t="n">
        <f aca="false">Table13[[#This Row],[Steps]]-C84</f>
        <v>-5933</v>
      </c>
      <c r="E85" s="23" t="n">
        <v>32.5</v>
      </c>
      <c r="F85" s="23" t="n">
        <f aca="false">Table13[[#This Row],[Colories]]-E84</f>
        <v>-227.8</v>
      </c>
      <c r="G85" s="6" t="n">
        <v>0.6</v>
      </c>
      <c r="H85" s="24" t="n">
        <f aca="false">Table13[[#This Row],[Distance]]-G84</f>
        <v>-4.27</v>
      </c>
      <c r="I85" s="22" t="n">
        <v>8</v>
      </c>
      <c r="J85" s="25" t="n">
        <f aca="false">Table13[[#This Row],[Time]]-I84</f>
        <v>-52</v>
      </c>
    </row>
    <row r="86" customFormat="false" ht="14.4" hidden="false" customHeight="false" outlineLevel="0" collapsed="false">
      <c r="A86" s="20" t="n">
        <v>5</v>
      </c>
      <c r="B86" s="21" t="n">
        <v>43185</v>
      </c>
      <c r="C86" s="22" t="n">
        <v>1496</v>
      </c>
      <c r="D86" s="22" t="n">
        <f aca="false">Table13[[#This Row],[Steps]]-C85</f>
        <v>667</v>
      </c>
      <c r="E86" s="23" t="n">
        <v>576.4</v>
      </c>
      <c r="F86" s="23" t="n">
        <f aca="false">Table13[[#This Row],[Colories]]-E85</f>
        <v>543.9</v>
      </c>
      <c r="G86" s="6" t="n">
        <v>10.77</v>
      </c>
      <c r="H86" s="24" t="n">
        <f aca="false">Table13[[#This Row],[Distance]]-G85</f>
        <v>10.17</v>
      </c>
      <c r="I86" s="22" t="n">
        <v>134</v>
      </c>
      <c r="J86" s="25" t="n">
        <f aca="false">Table13[[#This Row],[Time]]-I85</f>
        <v>126</v>
      </c>
    </row>
    <row r="87" customFormat="false" ht="14.4" hidden="false" customHeight="false" outlineLevel="0" collapsed="false">
      <c r="A87" s="20" t="n">
        <v>6</v>
      </c>
      <c r="B87" s="21" t="n">
        <v>43186</v>
      </c>
      <c r="C87" s="22" t="n">
        <v>10711</v>
      </c>
      <c r="D87" s="22" t="n">
        <f aca="false">Table13[[#This Row],[Steps]]-C86</f>
        <v>9215</v>
      </c>
      <c r="E87" s="23" t="n">
        <v>410.6</v>
      </c>
      <c r="F87" s="23" t="n">
        <f aca="false">Table13[[#This Row],[Colories]]-E86</f>
        <v>-165.8</v>
      </c>
      <c r="G87" s="6" t="n">
        <v>7.71</v>
      </c>
      <c r="H87" s="24" t="n">
        <f aca="false">Table13[[#This Row],[Distance]]-G86</f>
        <v>-3.06</v>
      </c>
      <c r="I87" s="22" t="n">
        <v>92</v>
      </c>
      <c r="J87" s="25" t="n">
        <f aca="false">Table13[[#This Row],[Time]]-I86</f>
        <v>-42</v>
      </c>
    </row>
    <row r="88" customFormat="false" ht="14.4" hidden="false" customHeight="false" outlineLevel="0" collapsed="false">
      <c r="A88" s="20" t="n">
        <v>7</v>
      </c>
      <c r="B88" s="21" t="n">
        <v>43187</v>
      </c>
      <c r="C88" s="22" t="n">
        <v>10600</v>
      </c>
      <c r="D88" s="22" t="n">
        <f aca="false">Table13[[#This Row],[Steps]]-C87</f>
        <v>-111</v>
      </c>
      <c r="E88" s="23" t="n">
        <v>408.3</v>
      </c>
      <c r="F88" s="23" t="n">
        <f aca="false">Table13[[#This Row],[Colories]]-E87</f>
        <v>-2.30000000000001</v>
      </c>
      <c r="G88" s="6" t="n">
        <v>7.63</v>
      </c>
      <c r="H88" s="24" t="n">
        <f aca="false">Table13[[#This Row],[Distance]]-G87</f>
        <v>-0.0800000000000001</v>
      </c>
      <c r="I88" s="22" t="n">
        <v>94</v>
      </c>
      <c r="J88" s="25" t="n">
        <f aca="false">Table13[[#This Row],[Time]]-I87</f>
        <v>2</v>
      </c>
    </row>
    <row r="89" customFormat="false" ht="14.4" hidden="false" customHeight="false" outlineLevel="0" collapsed="false">
      <c r="A89" s="20" t="n">
        <v>8</v>
      </c>
      <c r="B89" s="21" t="n">
        <v>43188</v>
      </c>
      <c r="C89" s="22" t="n">
        <v>14791</v>
      </c>
      <c r="D89" s="22" t="n">
        <f aca="false">Table13[[#This Row],[Steps]]-C88</f>
        <v>4191</v>
      </c>
      <c r="E89" s="23" t="n">
        <v>575.2</v>
      </c>
      <c r="F89" s="23" t="n">
        <f aca="false">Table13[[#This Row],[Colories]]-E88</f>
        <v>166.9</v>
      </c>
      <c r="G89" s="6" t="n">
        <v>10.65</v>
      </c>
      <c r="H89" s="24" t="n">
        <f aca="false">Table13[[#This Row],[Distance]]-G88</f>
        <v>3.02</v>
      </c>
      <c r="I89" s="22" t="n">
        <v>138</v>
      </c>
      <c r="J89" s="25" t="n">
        <f aca="false">Table13[[#This Row],[Time]]-I88</f>
        <v>44</v>
      </c>
    </row>
    <row r="90" customFormat="false" ht="14.4" hidden="false" customHeight="false" outlineLevel="0" collapsed="false">
      <c r="A90" s="20" t="n">
        <v>9</v>
      </c>
      <c r="B90" s="21" t="n">
        <v>43189</v>
      </c>
      <c r="C90" s="22" t="n">
        <v>13376</v>
      </c>
      <c r="D90" s="22" t="n">
        <f aca="false">Table13[[#This Row],[Steps]]-C89</f>
        <v>-1415</v>
      </c>
      <c r="E90" s="23" t="n">
        <v>519.2</v>
      </c>
      <c r="F90" s="23" t="n">
        <f aca="false">Table13[[#This Row],[Colories]]-E89</f>
        <v>-56</v>
      </c>
      <c r="G90" s="6" t="n">
        <v>9.63</v>
      </c>
      <c r="H90" s="24" t="n">
        <f aca="false">Table13[[#This Row],[Distance]]-G89</f>
        <v>-1.02</v>
      </c>
      <c r="I90" s="22" t="n">
        <v>123</v>
      </c>
      <c r="J90" s="25" t="n">
        <f aca="false">Table13[[#This Row],[Time]]-I89</f>
        <v>-15</v>
      </c>
    </row>
    <row r="91" customFormat="false" ht="14.4" hidden="false" customHeight="false" outlineLevel="0" collapsed="false">
      <c r="A91" s="20" t="n">
        <v>10</v>
      </c>
      <c r="B91" s="21" t="n">
        <v>43190</v>
      </c>
      <c r="C91" s="22" t="n">
        <v>17321</v>
      </c>
      <c r="D91" s="22" t="n">
        <f aca="false">Table13[[#This Row],[Steps]]-C90</f>
        <v>3945</v>
      </c>
      <c r="E91" s="23" t="n">
        <v>675.8</v>
      </c>
      <c r="F91" s="23" t="n">
        <f aca="false">Table13[[#This Row],[Colories]]-E90</f>
        <v>156.6</v>
      </c>
      <c r="G91" s="6" t="n">
        <v>12.47</v>
      </c>
      <c r="H91" s="24" t="n">
        <f aca="false">Table13[[#This Row],[Distance]]-G90</f>
        <v>2.84</v>
      </c>
      <c r="I91" s="22" t="n">
        <v>162</v>
      </c>
      <c r="J91" s="25" t="n">
        <f aca="false">Table13[[#This Row],[Time]]-I90</f>
        <v>39</v>
      </c>
    </row>
    <row r="92" customFormat="false" ht="14.4" hidden="false" customHeight="false" outlineLevel="0" collapsed="false">
      <c r="A92" s="20" t="n">
        <v>11</v>
      </c>
      <c r="B92" s="21" t="n">
        <v>43191</v>
      </c>
      <c r="C92" s="22" t="n">
        <v>14535</v>
      </c>
      <c r="D92" s="22" t="n">
        <f aca="false">Table13[[#This Row],[Steps]]-C91</f>
        <v>-2786</v>
      </c>
      <c r="E92" s="23" t="n">
        <v>561</v>
      </c>
      <c r="F92" s="23" t="n">
        <f aca="false">Table13[[#This Row],[Colories]]-E91</f>
        <v>-114.8</v>
      </c>
      <c r="G92" s="6" t="n">
        <v>10.47</v>
      </c>
      <c r="H92" s="24" t="n">
        <f aca="false">Table13[[#This Row],[Distance]]-G91</f>
        <v>-2</v>
      </c>
      <c r="I92" s="22" t="n">
        <v>129</v>
      </c>
      <c r="J92" s="25" t="n">
        <f aca="false">Table13[[#This Row],[Time]]-I91</f>
        <v>-33</v>
      </c>
      <c r="K92" s="27" t="s">
        <v>185</v>
      </c>
      <c r="L92" s="6" t="s">
        <v>2</v>
      </c>
      <c r="M92" s="5" t="s">
        <v>179</v>
      </c>
      <c r="N92" s="6" t="s">
        <v>175</v>
      </c>
      <c r="O92" s="5" t="s">
        <v>177</v>
      </c>
    </row>
    <row r="93" customFormat="false" ht="14.4" hidden="false" customHeight="false" outlineLevel="0" collapsed="false">
      <c r="A93" s="20" t="n">
        <v>12</v>
      </c>
      <c r="B93" s="21" t="n">
        <v>43192</v>
      </c>
      <c r="C93" s="22" t="n">
        <v>11316</v>
      </c>
      <c r="D93" s="22" t="n">
        <f aca="false">Table13[[#This Row],[Steps]]-C92</f>
        <v>-3219</v>
      </c>
      <c r="E93" s="23" t="n">
        <v>433</v>
      </c>
      <c r="F93" s="23" t="n">
        <f aca="false">Table13[[#This Row],[Colories]]-E92</f>
        <v>-128</v>
      </c>
      <c r="G93" s="6" t="n">
        <v>8.15</v>
      </c>
      <c r="H93" s="24" t="n">
        <f aca="false">Table13[[#This Row],[Distance]]-G92</f>
        <v>-2.32</v>
      </c>
      <c r="I93" s="22" t="n">
        <v>97</v>
      </c>
      <c r="J93" s="25" t="n">
        <f aca="false">Table13[[#This Row],[Time]]-I92</f>
        <v>-32</v>
      </c>
    </row>
    <row r="94" customFormat="false" ht="14.4" hidden="false" customHeight="false" outlineLevel="0" collapsed="false">
      <c r="A94" s="20" t="n">
        <v>13</v>
      </c>
      <c r="B94" s="21" t="n">
        <v>43193</v>
      </c>
      <c r="C94" s="22" t="n">
        <v>12024</v>
      </c>
      <c r="D94" s="22" t="n">
        <f aca="false">Table13[[#This Row],[Steps]]-C93</f>
        <v>708</v>
      </c>
      <c r="E94" s="23" t="n">
        <v>462.7</v>
      </c>
      <c r="F94" s="23" t="n">
        <f aca="false">Table13[[#This Row],[Colories]]-E93</f>
        <v>29.7</v>
      </c>
      <c r="G94" s="6" t="n">
        <v>8.66</v>
      </c>
      <c r="H94" s="24" t="n">
        <f aca="false">Table13[[#This Row],[Distance]]-G93</f>
        <v>0.51</v>
      </c>
      <c r="I94" s="22" t="n">
        <v>106</v>
      </c>
      <c r="J94" s="25" t="n">
        <f aca="false">Table13[[#This Row],[Time]]-I93</f>
        <v>9</v>
      </c>
      <c r="K94" s="1" t="s">
        <v>8</v>
      </c>
      <c r="L94" s="1" t="n">
        <v>10963.9666666667</v>
      </c>
      <c r="M94" s="1" t="n">
        <v>423.553333333333</v>
      </c>
      <c r="N94" s="1" t="n">
        <v>7.89466666666667</v>
      </c>
      <c r="O94" s="1" t="n">
        <v>-2.33333333333333</v>
      </c>
    </row>
    <row r="95" customFormat="false" ht="14.4" hidden="false" customHeight="false" outlineLevel="0" collapsed="false">
      <c r="A95" s="20" t="n">
        <v>14</v>
      </c>
      <c r="B95" s="21" t="n">
        <v>43194</v>
      </c>
      <c r="C95" s="22" t="n">
        <v>9064</v>
      </c>
      <c r="D95" s="22" t="n">
        <f aca="false">Table13[[#This Row],[Steps]]-C94</f>
        <v>-2960</v>
      </c>
      <c r="E95" s="23" t="n">
        <v>347.9</v>
      </c>
      <c r="F95" s="23" t="n">
        <f aca="false">Table13[[#This Row],[Colories]]-E94</f>
        <v>-114.8</v>
      </c>
      <c r="G95" s="6" t="n">
        <v>6.53</v>
      </c>
      <c r="H95" s="24" t="n">
        <f aca="false">Table13[[#This Row],[Distance]]-G94</f>
        <v>-2.13</v>
      </c>
      <c r="I95" s="22" t="n">
        <v>79</v>
      </c>
      <c r="J95" s="25" t="n">
        <f aca="false">Table13[[#This Row],[Time]]-I94</f>
        <v>-27</v>
      </c>
      <c r="K95" s="1" t="s">
        <v>10</v>
      </c>
      <c r="L95" s="1" t="n">
        <v>693.097442989748</v>
      </c>
      <c r="M95" s="1" t="n">
        <v>26.8382210441053</v>
      </c>
      <c r="N95" s="1" t="n">
        <v>0.499060204907791</v>
      </c>
      <c r="O95" s="1" t="n">
        <v>9.12724018583721</v>
      </c>
    </row>
    <row r="96" customFormat="false" ht="14.4" hidden="false" customHeight="false" outlineLevel="0" collapsed="false">
      <c r="A96" s="20" t="n">
        <v>15</v>
      </c>
      <c r="B96" s="21" t="n">
        <v>43195</v>
      </c>
      <c r="C96" s="22" t="n">
        <v>13672</v>
      </c>
      <c r="D96" s="22" t="n">
        <f aca="false">Table13[[#This Row],[Steps]]-C95</f>
        <v>4608</v>
      </c>
      <c r="E96" s="23" t="n">
        <v>524.9</v>
      </c>
      <c r="F96" s="23" t="n">
        <f aca="false">Table13[[#This Row],[Colories]]-E95</f>
        <v>177</v>
      </c>
      <c r="G96" s="6" t="n">
        <v>9.84</v>
      </c>
      <c r="H96" s="24" t="n">
        <f aca="false">Table13[[#This Row],[Distance]]-G95</f>
        <v>3.31</v>
      </c>
      <c r="I96" s="22" t="n">
        <v>118</v>
      </c>
      <c r="J96" s="25" t="n">
        <f aca="false">Table13[[#This Row],[Time]]-I95</f>
        <v>39</v>
      </c>
      <c r="K96" s="1" t="s">
        <v>12</v>
      </c>
      <c r="L96" s="1" t="n">
        <v>10595</v>
      </c>
      <c r="M96" s="1" t="n">
        <v>407.65</v>
      </c>
      <c r="N96" s="1" t="n">
        <v>7.63</v>
      </c>
      <c r="O96" s="1" t="n">
        <v>-8.5</v>
      </c>
    </row>
    <row r="97" customFormat="false" ht="14.4" hidden="false" customHeight="false" outlineLevel="0" collapsed="false">
      <c r="A97" s="20" t="n">
        <v>16</v>
      </c>
      <c r="B97" s="21" t="n">
        <v>43196</v>
      </c>
      <c r="C97" s="22" t="n">
        <v>6921</v>
      </c>
      <c r="D97" s="22" t="n">
        <f aca="false">Table13[[#This Row],[Steps]]-C96</f>
        <v>-6751</v>
      </c>
      <c r="E97" s="23" t="n">
        <v>270.7</v>
      </c>
      <c r="F97" s="23" t="n">
        <f aca="false">Table13[[#This Row],[Colories]]-E96</f>
        <v>-254.2</v>
      </c>
      <c r="G97" s="6" t="n">
        <v>4.98</v>
      </c>
      <c r="H97" s="24" t="n">
        <f aca="false">Table13[[#This Row],[Distance]]-G96</f>
        <v>-4.86</v>
      </c>
      <c r="I97" s="22" t="n">
        <v>63</v>
      </c>
      <c r="J97" s="25" t="n">
        <f aca="false">Table13[[#This Row],[Time]]-I96</f>
        <v>-55</v>
      </c>
      <c r="K97" s="1" t="s">
        <v>14</v>
      </c>
      <c r="L97" s="1" t="e">
        <f aca="false">#N/A</f>
        <v>#N/A</v>
      </c>
      <c r="M97" s="1" t="e">
        <f aca="false">#N/A</f>
        <v>#N/A</v>
      </c>
      <c r="N97" s="1" t="e">
        <f aca="false">#N/A</f>
        <v>#N/A</v>
      </c>
      <c r="O97" s="1" t="n">
        <v>-24</v>
      </c>
    </row>
    <row r="98" customFormat="false" ht="14.4" hidden="false" customHeight="false" outlineLevel="0" collapsed="false">
      <c r="A98" s="20" t="n">
        <v>17</v>
      </c>
      <c r="B98" s="21" t="n">
        <v>43197</v>
      </c>
      <c r="C98" s="22" t="n">
        <v>6065</v>
      </c>
      <c r="D98" s="22" t="n">
        <f aca="false">Table13[[#This Row],[Steps]]-C97</f>
        <v>-856</v>
      </c>
      <c r="E98" s="23" t="n">
        <v>234.8</v>
      </c>
      <c r="F98" s="23" t="n">
        <f aca="false">Table13[[#This Row],[Colories]]-E97</f>
        <v>-35.9</v>
      </c>
      <c r="G98" s="6" t="n">
        <v>4.37</v>
      </c>
      <c r="H98" s="24" t="n">
        <f aca="false">Table13[[#This Row],[Distance]]-G97</f>
        <v>-0.61</v>
      </c>
      <c r="I98" s="22" t="n">
        <v>55</v>
      </c>
      <c r="J98" s="25" t="n">
        <f aca="false">Table13[[#This Row],[Time]]-I97</f>
        <v>-8</v>
      </c>
      <c r="K98" s="1" t="s">
        <v>16</v>
      </c>
      <c r="L98" s="1" t="n">
        <v>3796.25104074636</v>
      </c>
      <c r="M98" s="1" t="n">
        <v>146.998990691663</v>
      </c>
      <c r="N98" s="1" t="n">
        <v>2.73346531781148</v>
      </c>
      <c r="O98" s="1" t="n">
        <v>49.9919533755069</v>
      </c>
    </row>
    <row r="99" customFormat="false" ht="14.4" hidden="false" customHeight="false" outlineLevel="0" collapsed="false">
      <c r="A99" s="20" t="n">
        <v>18</v>
      </c>
      <c r="B99" s="21" t="n">
        <v>43198</v>
      </c>
      <c r="C99" s="22" t="n">
        <v>6032</v>
      </c>
      <c r="D99" s="22" t="n">
        <f aca="false">Table13[[#This Row],[Steps]]-C98</f>
        <v>-33</v>
      </c>
      <c r="E99" s="23" t="n">
        <v>241.7</v>
      </c>
      <c r="F99" s="23" t="n">
        <f aca="false">Table13[[#This Row],[Colories]]-E98</f>
        <v>6.89999999999998</v>
      </c>
      <c r="G99" s="6" t="n">
        <v>4.34</v>
      </c>
      <c r="H99" s="24" t="n">
        <f aca="false">Table13[[#This Row],[Distance]]-G98</f>
        <v>-0.0300000000000003</v>
      </c>
      <c r="I99" s="22" t="n">
        <v>61</v>
      </c>
      <c r="J99" s="25" t="n">
        <f aca="false">Table13[[#This Row],[Time]]-I98</f>
        <v>6</v>
      </c>
      <c r="K99" s="1" t="s">
        <v>18</v>
      </c>
      <c r="L99" s="1" t="n">
        <v>14411521.9643678</v>
      </c>
      <c r="M99" s="1" t="n">
        <v>21608.7032643678</v>
      </c>
      <c r="N99" s="1" t="n">
        <v>7.4718326436782</v>
      </c>
      <c r="O99" s="1" t="n">
        <v>2499.19540229885</v>
      </c>
    </row>
    <row r="100" customFormat="false" ht="14.4" hidden="false" customHeight="false" outlineLevel="0" collapsed="false">
      <c r="A100" s="20" t="n">
        <v>19</v>
      </c>
      <c r="B100" s="21" t="n">
        <v>43199</v>
      </c>
      <c r="C100" s="22" t="n">
        <v>12087</v>
      </c>
      <c r="D100" s="22" t="n">
        <f aca="false">Table13[[#This Row],[Steps]]-C99</f>
        <v>6055</v>
      </c>
      <c r="E100" s="23" t="n">
        <v>463.4</v>
      </c>
      <c r="F100" s="23" t="n">
        <f aca="false">Table13[[#This Row],[Colories]]-E99</f>
        <v>221.7</v>
      </c>
      <c r="G100" s="6" t="n">
        <v>8.7</v>
      </c>
      <c r="H100" s="24" t="n">
        <f aca="false">Table13[[#This Row],[Distance]]-G99</f>
        <v>4.36</v>
      </c>
      <c r="I100" s="22" t="n">
        <v>105</v>
      </c>
      <c r="J100" s="25" t="n">
        <f aca="false">Table13[[#This Row],[Time]]-I99</f>
        <v>44</v>
      </c>
      <c r="K100" s="1" t="s">
        <v>20</v>
      </c>
      <c r="L100" s="1" t="n">
        <v>-0.667021758076998</v>
      </c>
      <c r="M100" s="1" t="n">
        <v>-0.596016026530426</v>
      </c>
      <c r="N100" s="1" t="n">
        <v>-0.667637068710283</v>
      </c>
      <c r="O100" s="1" t="n">
        <v>-0.314339038874528</v>
      </c>
    </row>
    <row r="101" customFormat="false" ht="14.4" hidden="false" customHeight="false" outlineLevel="0" collapsed="false">
      <c r="A101" s="20" t="n">
        <v>20</v>
      </c>
      <c r="B101" s="21" t="n">
        <v>43200</v>
      </c>
      <c r="C101" s="22" t="n">
        <v>7652</v>
      </c>
      <c r="D101" s="22" t="n">
        <f aca="false">Table13[[#This Row],[Steps]]-C100</f>
        <v>-4435</v>
      </c>
      <c r="E101" s="23" t="n">
        <v>294.2</v>
      </c>
      <c r="F101" s="23" t="n">
        <f aca="false">Table13[[#This Row],[Colories]]-E100</f>
        <v>-169.2</v>
      </c>
      <c r="G101" s="6" t="n">
        <v>5.51</v>
      </c>
      <c r="H101" s="24" t="n">
        <f aca="false">Table13[[#This Row],[Distance]]-G100</f>
        <v>-3.19</v>
      </c>
      <c r="I101" s="22" t="n">
        <v>67</v>
      </c>
      <c r="J101" s="25" t="n">
        <f aca="false">Table13[[#This Row],[Time]]-I100</f>
        <v>-38</v>
      </c>
      <c r="K101" s="1" t="s">
        <v>22</v>
      </c>
      <c r="L101" s="1" t="n">
        <v>0.587660056262366</v>
      </c>
      <c r="M101" s="1" t="n">
        <v>0.626480404839447</v>
      </c>
      <c r="N101" s="1" t="n">
        <v>0.586807696694373</v>
      </c>
      <c r="O101" s="1" t="n">
        <v>0.23169995781018</v>
      </c>
    </row>
    <row r="102" customFormat="false" ht="14.4" hidden="false" customHeight="false" outlineLevel="0" collapsed="false">
      <c r="A102" s="20" t="n">
        <v>21</v>
      </c>
      <c r="B102" s="21" t="n">
        <v>43201</v>
      </c>
      <c r="C102" s="22" t="n">
        <v>10632</v>
      </c>
      <c r="D102" s="22" t="n">
        <f aca="false">Table13[[#This Row],[Steps]]-C101</f>
        <v>2980</v>
      </c>
      <c r="E102" s="23" t="n">
        <v>409.7</v>
      </c>
      <c r="F102" s="23" t="n">
        <f aca="false">Table13[[#This Row],[Colories]]-E101</f>
        <v>115.5</v>
      </c>
      <c r="G102" s="6" t="n">
        <v>7.66</v>
      </c>
      <c r="H102" s="24" t="n">
        <f aca="false">Table13[[#This Row],[Distance]]-G101</f>
        <v>2.15</v>
      </c>
      <c r="I102" s="22" t="n">
        <v>94</v>
      </c>
      <c r="J102" s="25" t="n">
        <f aca="false">Table13[[#This Row],[Time]]-I101</f>
        <v>27</v>
      </c>
      <c r="K102" s="1" t="s">
        <v>24</v>
      </c>
      <c r="L102" s="1" t="n">
        <v>13149</v>
      </c>
      <c r="M102" s="1" t="n">
        <v>509.5</v>
      </c>
      <c r="N102" s="1" t="n">
        <v>9.47</v>
      </c>
      <c r="O102" s="1" t="n">
        <v>203</v>
      </c>
    </row>
    <row r="103" customFormat="false" ht="14.4" hidden="false" customHeight="false" outlineLevel="0" collapsed="false">
      <c r="A103" s="20" t="n">
        <v>22</v>
      </c>
      <c r="B103" s="21" t="n">
        <v>43202</v>
      </c>
      <c r="C103" s="22" t="n">
        <v>7922</v>
      </c>
      <c r="D103" s="22" t="n">
        <f aca="false">Table13[[#This Row],[Steps]]-C102</f>
        <v>-2710</v>
      </c>
      <c r="E103" s="23" t="n">
        <v>304.9</v>
      </c>
      <c r="F103" s="23" t="n">
        <f aca="false">Table13[[#This Row],[Colories]]-E102</f>
        <v>-104.8</v>
      </c>
      <c r="G103" s="6" t="n">
        <v>5.7</v>
      </c>
      <c r="H103" s="24" t="n">
        <f aca="false">Table13[[#This Row],[Distance]]-G102</f>
        <v>-1.96</v>
      </c>
      <c r="I103" s="22" t="n">
        <v>70</v>
      </c>
      <c r="J103" s="25" t="n">
        <f aca="false">Table13[[#This Row],[Time]]-I102</f>
        <v>-24</v>
      </c>
      <c r="K103" s="1" t="s">
        <v>26</v>
      </c>
      <c r="L103" s="1" t="n">
        <v>6032</v>
      </c>
      <c r="M103" s="1" t="n">
        <v>234.8</v>
      </c>
      <c r="N103" s="1" t="n">
        <v>4.34</v>
      </c>
      <c r="O103" s="1" t="n">
        <v>-99</v>
      </c>
    </row>
    <row r="104" customFormat="false" ht="14.4" hidden="false" customHeight="false" outlineLevel="0" collapsed="false">
      <c r="A104" s="20" t="n">
        <v>23</v>
      </c>
      <c r="B104" s="21" t="n">
        <v>43203</v>
      </c>
      <c r="C104" s="22" t="n">
        <v>7590</v>
      </c>
      <c r="D104" s="22" t="n">
        <f aca="false">Table13[[#This Row],[Steps]]-C103</f>
        <v>-332</v>
      </c>
      <c r="E104" s="23" t="n">
        <v>291.9</v>
      </c>
      <c r="F104" s="23" t="n">
        <f aca="false">Table13[[#This Row],[Colories]]-E103</f>
        <v>-13</v>
      </c>
      <c r="G104" s="6" t="n">
        <v>5.46</v>
      </c>
      <c r="H104" s="24" t="n">
        <f aca="false">Table13[[#This Row],[Distance]]-G103</f>
        <v>-0.24</v>
      </c>
      <c r="I104" s="22" t="n">
        <v>67</v>
      </c>
      <c r="J104" s="25" t="n">
        <f aca="false">Table13[[#This Row],[Time]]-I103</f>
        <v>-3</v>
      </c>
      <c r="K104" s="1" t="s">
        <v>28</v>
      </c>
      <c r="L104" s="1" t="n">
        <v>19181</v>
      </c>
      <c r="M104" s="1" t="n">
        <v>744.3</v>
      </c>
      <c r="N104" s="1" t="n">
        <v>13.81</v>
      </c>
      <c r="O104" s="1" t="n">
        <v>104</v>
      </c>
    </row>
    <row r="105" customFormat="false" ht="14.4" hidden="false" customHeight="false" outlineLevel="0" collapsed="false">
      <c r="A105" s="20" t="n">
        <v>24</v>
      </c>
      <c r="B105" s="21" t="n">
        <v>43204</v>
      </c>
      <c r="C105" s="22" t="n">
        <v>16797</v>
      </c>
      <c r="D105" s="22" t="n">
        <f aca="false">Table13[[#This Row],[Steps]]-C104</f>
        <v>9207</v>
      </c>
      <c r="E105" s="23" t="n">
        <v>646.1</v>
      </c>
      <c r="F105" s="23" t="n">
        <f aca="false">Table13[[#This Row],[Colories]]-E104</f>
        <v>354.2</v>
      </c>
      <c r="G105" s="6" t="n">
        <v>12.09</v>
      </c>
      <c r="H105" s="24" t="n">
        <f aca="false">Table13[[#This Row],[Distance]]-G104</f>
        <v>6.63</v>
      </c>
      <c r="I105" s="22" t="n">
        <v>149</v>
      </c>
      <c r="J105" s="25" t="n">
        <f aca="false">Table13[[#This Row],[Time]]-I104</f>
        <v>82</v>
      </c>
      <c r="K105" s="1" t="s">
        <v>30</v>
      </c>
      <c r="L105" s="1" t="n">
        <v>328919</v>
      </c>
      <c r="M105" s="1" t="n">
        <v>12706.6</v>
      </c>
      <c r="N105" s="1" t="n">
        <v>236.84</v>
      </c>
      <c r="O105" s="1" t="n">
        <v>-70</v>
      </c>
    </row>
    <row r="106" customFormat="false" ht="14.4" hidden="false" customHeight="false" outlineLevel="0" collapsed="false">
      <c r="A106" s="20" t="n">
        <v>25</v>
      </c>
      <c r="B106" s="21" t="n">
        <v>43205</v>
      </c>
      <c r="C106" s="22" t="n">
        <v>10558</v>
      </c>
      <c r="D106" s="22" t="n">
        <f aca="false">Table13[[#This Row],[Steps]]-C105</f>
        <v>-6239</v>
      </c>
      <c r="E106" s="23" t="n">
        <v>405.6</v>
      </c>
      <c r="F106" s="23" t="n">
        <f aca="false">Table13[[#This Row],[Colories]]-E105</f>
        <v>-240.5</v>
      </c>
      <c r="G106" s="6" t="n">
        <v>7.6</v>
      </c>
      <c r="H106" s="24" t="n">
        <f aca="false">Table13[[#This Row],[Distance]]-G105</f>
        <v>-4.49</v>
      </c>
      <c r="I106" s="22" t="n">
        <v>93</v>
      </c>
      <c r="J106" s="25" t="n">
        <f aca="false">Table13[[#This Row],[Time]]-I105</f>
        <v>-56</v>
      </c>
      <c r="K106" s="1" t="s">
        <v>32</v>
      </c>
      <c r="L106" s="1" t="n">
        <v>30</v>
      </c>
      <c r="M106" s="1" t="n">
        <v>30</v>
      </c>
      <c r="N106" s="1" t="n">
        <v>30</v>
      </c>
      <c r="O106" s="1" t="n">
        <v>30</v>
      </c>
    </row>
    <row r="107" customFormat="false" ht="14.4" hidden="false" customHeight="false" outlineLevel="0" collapsed="false">
      <c r="A107" s="20" t="n">
        <v>26</v>
      </c>
      <c r="B107" s="21" t="n">
        <v>43206</v>
      </c>
      <c r="C107" s="22" t="n">
        <v>7787</v>
      </c>
      <c r="D107" s="22" t="n">
        <f aca="false">Table13[[#This Row],[Steps]]-C106</f>
        <v>-2771</v>
      </c>
      <c r="E107" s="23" t="n">
        <v>300.1</v>
      </c>
      <c r="F107" s="23" t="n">
        <f aca="false">Table13[[#This Row],[Colories]]-E106</f>
        <v>-105.5</v>
      </c>
      <c r="G107" s="6" t="n">
        <v>5.61</v>
      </c>
      <c r="H107" s="24" t="n">
        <f aca="false">Table13[[#This Row],[Distance]]-G106</f>
        <v>-1.99</v>
      </c>
      <c r="I107" s="22" t="n">
        <v>69</v>
      </c>
      <c r="J107" s="25" t="n">
        <f aca="false">Table13[[#This Row],[Time]]-I106</f>
        <v>-24</v>
      </c>
      <c r="K107" s="1" t="s">
        <v>34</v>
      </c>
      <c r="L107" s="1" t="n">
        <v>19181</v>
      </c>
      <c r="M107" s="1" t="n">
        <v>744.3</v>
      </c>
      <c r="N107" s="1" t="n">
        <v>13.81</v>
      </c>
      <c r="O107" s="1" t="n">
        <v>104</v>
      </c>
    </row>
    <row r="108" customFormat="false" ht="14.4" hidden="false" customHeight="false" outlineLevel="0" collapsed="false">
      <c r="A108" s="20" t="n">
        <v>27</v>
      </c>
      <c r="B108" s="21" t="n">
        <v>43207</v>
      </c>
      <c r="C108" s="22" t="n">
        <v>18164</v>
      </c>
      <c r="D108" s="22" t="n">
        <f aca="false">Table13[[#This Row],[Steps]]-C107</f>
        <v>10377</v>
      </c>
      <c r="E108" s="23" t="n">
        <v>714.1</v>
      </c>
      <c r="F108" s="23" t="n">
        <f aca="false">Table13[[#This Row],[Colories]]-E107</f>
        <v>414</v>
      </c>
      <c r="G108" s="6" t="n">
        <v>13.08</v>
      </c>
      <c r="H108" s="24" t="n">
        <f aca="false">Table13[[#This Row],[Distance]]-G107</f>
        <v>7.47</v>
      </c>
      <c r="I108" s="22" t="n">
        <v>173</v>
      </c>
      <c r="J108" s="25" t="n">
        <f aca="false">Table13[[#This Row],[Time]]-I107</f>
        <v>104</v>
      </c>
      <c r="K108" s="1" t="s">
        <v>36</v>
      </c>
      <c r="L108" s="1" t="n">
        <v>6032</v>
      </c>
      <c r="M108" s="1" t="n">
        <v>234.8</v>
      </c>
      <c r="N108" s="1" t="n">
        <v>4.34</v>
      </c>
      <c r="O108" s="1" t="n">
        <v>-99</v>
      </c>
    </row>
    <row r="109" customFormat="false" ht="14.4" hidden="false" customHeight="false" outlineLevel="0" collapsed="false">
      <c r="A109" s="20" t="n">
        <v>28</v>
      </c>
      <c r="B109" s="21" t="n">
        <v>43208</v>
      </c>
      <c r="C109" s="22" t="n">
        <v>15130</v>
      </c>
      <c r="D109" s="22" t="n">
        <f aca="false">Table13[[#This Row],[Steps]]-C108</f>
        <v>-3034</v>
      </c>
      <c r="E109" s="23" t="n">
        <v>584.2</v>
      </c>
      <c r="F109" s="23" t="n">
        <f aca="false">Table13[[#This Row],[Colories]]-E108</f>
        <v>-129.9</v>
      </c>
      <c r="G109" s="6" t="n">
        <v>10.89</v>
      </c>
      <c r="H109" s="24" t="n">
        <f aca="false">Table13[[#This Row],[Distance]]-G108</f>
        <v>-2.19</v>
      </c>
      <c r="I109" s="22" t="n">
        <v>136</v>
      </c>
      <c r="J109" s="25" t="n">
        <f aca="false">Table13[[#This Row],[Time]]-I108</f>
        <v>-37</v>
      </c>
      <c r="K109" s="29" t="s">
        <v>158</v>
      </c>
      <c r="L109" s="29" t="n">
        <v>1417.54343528901</v>
      </c>
      <c r="M109" s="29" t="n">
        <v>54.890325221514</v>
      </c>
      <c r="N109" s="29" t="n">
        <v>1.02069272428624</v>
      </c>
      <c r="O109" s="29" t="n">
        <v>18.6673021789391</v>
      </c>
    </row>
    <row r="110" customFormat="false" ht="14.4" hidden="false" customHeight="false" outlineLevel="0" collapsed="false">
      <c r="A110" s="20" t="n">
        <v>29</v>
      </c>
      <c r="B110" s="21" t="n">
        <v>43209</v>
      </c>
      <c r="C110" s="22" t="n">
        <v>19181</v>
      </c>
      <c r="D110" s="22" t="n">
        <f aca="false">Table13[[#This Row],[Steps]]-C109</f>
        <v>4051</v>
      </c>
      <c r="E110" s="23" t="n">
        <v>744.3</v>
      </c>
      <c r="F110" s="23" t="n">
        <f aca="false">Table13[[#This Row],[Colories]]-E109</f>
        <v>160.1</v>
      </c>
      <c r="G110" s="6" t="n">
        <v>13.81</v>
      </c>
      <c r="H110" s="24" t="n">
        <f aca="false">Table13[[#This Row],[Distance]]-G109</f>
        <v>2.92</v>
      </c>
      <c r="I110" s="22" t="n">
        <v>176</v>
      </c>
      <c r="J110" s="25" t="n">
        <f aca="false">Table13[[#This Row],[Time]]-I109</f>
        <v>40</v>
      </c>
    </row>
    <row r="111" customFormat="false" ht="14.4" hidden="false" customHeight="false" outlineLevel="0" collapsed="false">
      <c r="A111" s="20" t="n">
        <v>30</v>
      </c>
      <c r="B111" s="21" t="n">
        <v>43210</v>
      </c>
      <c r="C111" s="22" t="n">
        <v>8608</v>
      </c>
      <c r="D111" s="22" t="n">
        <f aca="false">Table13[[#This Row],[Steps]]-C110</f>
        <v>-10573</v>
      </c>
      <c r="E111" s="23" t="n">
        <v>332.1</v>
      </c>
      <c r="F111" s="23" t="n">
        <f aca="false">Table13[[#This Row],[Colories]]-E110</f>
        <v>-412.2</v>
      </c>
      <c r="G111" s="6" t="n">
        <v>6.2</v>
      </c>
      <c r="H111" s="24" t="n">
        <f aca="false">Table13[[#This Row],[Distance]]-G110</f>
        <v>-7.61</v>
      </c>
      <c r="I111" s="22" t="n">
        <v>77</v>
      </c>
      <c r="J111" s="25" t="n">
        <f aca="false">Table13[[#This Row],[Time]]-I110</f>
        <v>-99</v>
      </c>
    </row>
    <row r="112" customFormat="false" ht="14.4" hidden="false" customHeight="false" outlineLevel="0" collapsed="false">
      <c r="A112" s="20" t="n">
        <v>31</v>
      </c>
      <c r="B112" s="21" t="n">
        <v>43211</v>
      </c>
      <c r="C112" s="22" t="n">
        <v>16485</v>
      </c>
      <c r="D112" s="22" t="n">
        <f aca="false">Table13[[#This Row],[Steps]]-C111</f>
        <v>7877</v>
      </c>
      <c r="E112" s="23" t="n">
        <v>632.9</v>
      </c>
      <c r="F112" s="23" t="n">
        <f aca="false">Table13[[#This Row],[Colories]]-E111</f>
        <v>300.8</v>
      </c>
      <c r="G112" s="6" t="n">
        <v>11.87</v>
      </c>
      <c r="H112" s="24" t="n">
        <f aca="false">Table13[[#This Row],[Distance]]-G111</f>
        <v>5.67</v>
      </c>
      <c r="I112" s="22" t="n">
        <v>144</v>
      </c>
      <c r="J112" s="25" t="n">
        <f aca="false">Table13[[#This Row],[Time]]-I111</f>
        <v>67</v>
      </c>
    </row>
    <row r="113" customFormat="false" ht="14.4" hidden="false" customHeight="false" outlineLevel="0" collapsed="false">
      <c r="A113" s="20" t="n">
        <v>1</v>
      </c>
      <c r="B113" s="21" t="n">
        <v>43212</v>
      </c>
      <c r="C113" s="22" t="n">
        <v>6575</v>
      </c>
      <c r="D113" s="22" t="n">
        <f aca="false">Table13[[#This Row],[Steps]]-C112</f>
        <v>-9910</v>
      </c>
      <c r="E113" s="23" t="n">
        <v>253.7</v>
      </c>
      <c r="F113" s="23" t="n">
        <f aca="false">Table13[[#This Row],[Colories]]-E112</f>
        <v>-379.2</v>
      </c>
      <c r="G113" s="6" t="n">
        <v>4.73</v>
      </c>
      <c r="H113" s="24" t="n">
        <f aca="false">Table13[[#This Row],[Distance]]-G112</f>
        <v>-7.14</v>
      </c>
      <c r="I113" s="22" t="n">
        <v>59</v>
      </c>
      <c r="J113" s="25" t="n">
        <f aca="false">Table13[[#This Row],[Time]]-I112</f>
        <v>-85</v>
      </c>
    </row>
    <row r="114" customFormat="false" ht="14.4" hidden="false" customHeight="false" outlineLevel="0" collapsed="false">
      <c r="A114" s="20" t="n">
        <v>2</v>
      </c>
      <c r="B114" s="21" t="n">
        <v>43213</v>
      </c>
      <c r="C114" s="22" t="n">
        <v>8748</v>
      </c>
      <c r="D114" s="22" t="n">
        <f aca="false">Table13[[#This Row],[Steps]]-C113</f>
        <v>2173</v>
      </c>
      <c r="E114" s="23" t="n">
        <v>336.2</v>
      </c>
      <c r="F114" s="23" t="n">
        <f aca="false">Table13[[#This Row],[Colories]]-E113</f>
        <v>82.5</v>
      </c>
      <c r="G114" s="6" t="n">
        <v>6.3</v>
      </c>
      <c r="H114" s="24" t="n">
        <f aca="false">Table13[[#This Row],[Distance]]-G113</f>
        <v>1.57</v>
      </c>
      <c r="I114" s="22" t="n">
        <v>76</v>
      </c>
      <c r="J114" s="25" t="n">
        <f aca="false">Table13[[#This Row],[Time]]-I113</f>
        <v>17</v>
      </c>
    </row>
    <row r="115" customFormat="false" ht="14.4" hidden="false" customHeight="false" outlineLevel="0" collapsed="false">
      <c r="A115" s="20" t="n">
        <v>3</v>
      </c>
      <c r="B115" s="21" t="n">
        <v>43214</v>
      </c>
      <c r="C115" s="22" t="n">
        <v>6787</v>
      </c>
      <c r="D115" s="22" t="n">
        <f aca="false">Table13[[#This Row],[Steps]]-C114</f>
        <v>-1961</v>
      </c>
      <c r="E115" s="23" t="n">
        <v>260.8</v>
      </c>
      <c r="F115" s="23" t="n">
        <f aca="false">Table13[[#This Row],[Colories]]-E114</f>
        <v>-75.4</v>
      </c>
      <c r="G115" s="6" t="n">
        <v>4.89</v>
      </c>
      <c r="H115" s="24" t="n">
        <f aca="false">Table13[[#This Row],[Distance]]-G114</f>
        <v>-1.41</v>
      </c>
      <c r="I115" s="22" t="n">
        <v>60</v>
      </c>
      <c r="J115" s="25" t="n">
        <f aca="false">Table13[[#This Row],[Time]]-I114</f>
        <v>-16</v>
      </c>
    </row>
    <row r="116" customFormat="false" ht="14.4" hidden="false" customHeight="false" outlineLevel="0" collapsed="false">
      <c r="A116" s="20" t="n">
        <v>4</v>
      </c>
      <c r="B116" s="21" t="n">
        <v>43215</v>
      </c>
      <c r="C116" s="22" t="n">
        <v>15591</v>
      </c>
      <c r="D116" s="22" t="n">
        <f aca="false">Table13[[#This Row],[Steps]]-C115</f>
        <v>8804</v>
      </c>
      <c r="E116" s="23" t="n">
        <v>602.4</v>
      </c>
      <c r="F116" s="23" t="n">
        <f aca="false">Table13[[#This Row],[Colories]]-E115</f>
        <v>341.6</v>
      </c>
      <c r="G116" s="6" t="n">
        <v>11.23</v>
      </c>
      <c r="H116" s="24" t="n">
        <f aca="false">Table13[[#This Row],[Distance]]-G115</f>
        <v>6.34</v>
      </c>
      <c r="I116" s="22" t="n">
        <v>140</v>
      </c>
      <c r="J116" s="25" t="n">
        <f aca="false">Table13[[#This Row],[Time]]-I115</f>
        <v>80</v>
      </c>
    </row>
    <row r="117" customFormat="false" ht="14.4" hidden="false" customHeight="false" outlineLevel="0" collapsed="false">
      <c r="A117" s="20" t="n">
        <v>5</v>
      </c>
      <c r="B117" s="21" t="n">
        <v>43216</v>
      </c>
      <c r="C117" s="22" t="n">
        <v>7525</v>
      </c>
      <c r="D117" s="22" t="n">
        <f aca="false">Table13[[#This Row],[Steps]]-C116</f>
        <v>-8066</v>
      </c>
      <c r="E117" s="23" t="n">
        <v>291.4</v>
      </c>
      <c r="F117" s="23" t="n">
        <f aca="false">Table13[[#This Row],[Colories]]-E116</f>
        <v>-311</v>
      </c>
      <c r="G117" s="6" t="n">
        <v>5.42</v>
      </c>
      <c r="H117" s="24" t="n">
        <f aca="false">Table13[[#This Row],[Distance]]-G116</f>
        <v>-5.81</v>
      </c>
      <c r="I117" s="22" t="n">
        <v>67</v>
      </c>
      <c r="J117" s="25" t="n">
        <f aca="false">Table13[[#This Row],[Time]]-I116</f>
        <v>-73</v>
      </c>
    </row>
    <row r="118" customFormat="false" ht="14.4" hidden="false" customHeight="false" outlineLevel="0" collapsed="false">
      <c r="A118" s="20" t="n">
        <v>6</v>
      </c>
      <c r="B118" s="21" t="n">
        <v>43217</v>
      </c>
      <c r="C118" s="22" t="n">
        <v>12537</v>
      </c>
      <c r="D118" s="22" t="n">
        <f aca="false">Table13[[#This Row],[Steps]]-C117</f>
        <v>5012</v>
      </c>
      <c r="E118" s="23" t="n">
        <v>484.5</v>
      </c>
      <c r="F118" s="23" t="n">
        <f aca="false">Table13[[#This Row],[Colories]]-E117</f>
        <v>193.1</v>
      </c>
      <c r="G118" s="6" t="n">
        <v>9.03</v>
      </c>
      <c r="H118" s="24" t="n">
        <f aca="false">Table13[[#This Row],[Distance]]-G117</f>
        <v>3.61</v>
      </c>
      <c r="I118" s="22" t="n">
        <v>113</v>
      </c>
      <c r="J118" s="25" t="n">
        <f aca="false">Table13[[#This Row],[Time]]-I117</f>
        <v>46</v>
      </c>
    </row>
    <row r="119" customFormat="false" ht="14.4" hidden="false" customHeight="false" outlineLevel="0" collapsed="false">
      <c r="A119" s="20" t="n">
        <v>7</v>
      </c>
      <c r="B119" s="21" t="n">
        <v>43218</v>
      </c>
      <c r="C119" s="22" t="n">
        <v>11288</v>
      </c>
      <c r="D119" s="22" t="n">
        <f aca="false">Table13[[#This Row],[Steps]]-C118</f>
        <v>-1249</v>
      </c>
      <c r="E119" s="23" t="n">
        <v>438.1</v>
      </c>
      <c r="F119" s="23" t="n">
        <f aca="false">Table13[[#This Row],[Colories]]-E118</f>
        <v>-46.4</v>
      </c>
      <c r="G119" s="6" t="n">
        <v>8.13</v>
      </c>
      <c r="H119" s="24" t="n">
        <f aca="false">Table13[[#This Row],[Distance]]-G118</f>
        <v>-0.899999999999999</v>
      </c>
      <c r="I119" s="22" t="n">
        <v>104</v>
      </c>
      <c r="J119" s="25" t="n">
        <f aca="false">Table13[[#This Row],[Time]]-I118</f>
        <v>-9</v>
      </c>
    </row>
    <row r="120" customFormat="false" ht="14.4" hidden="false" customHeight="false" outlineLevel="0" collapsed="false">
      <c r="A120" s="20" t="n">
        <v>8</v>
      </c>
      <c r="B120" s="21" t="n">
        <v>43219</v>
      </c>
      <c r="C120" s="22" t="n">
        <v>11470</v>
      </c>
      <c r="D120" s="22" t="n">
        <f aca="false">Table13[[#This Row],[Steps]]-C119</f>
        <v>182</v>
      </c>
      <c r="E120" s="23" t="n">
        <v>446.1</v>
      </c>
      <c r="F120" s="23" t="n">
        <f aca="false">Table13[[#This Row],[Colories]]-E119</f>
        <v>8</v>
      </c>
      <c r="G120" s="6" t="n">
        <v>8.26</v>
      </c>
      <c r="H120" s="24" t="n">
        <f aca="false">Table13[[#This Row],[Distance]]-G119</f>
        <v>0.129999999999999</v>
      </c>
      <c r="I120" s="22" t="n">
        <v>105</v>
      </c>
      <c r="J120" s="25" t="n">
        <f aca="false">Table13[[#This Row],[Time]]-I119</f>
        <v>1</v>
      </c>
    </row>
    <row r="121" customFormat="false" ht="14.4" hidden="false" customHeight="false" outlineLevel="0" collapsed="false">
      <c r="A121" s="20" t="n">
        <v>9</v>
      </c>
      <c r="B121" s="21" t="n">
        <v>43220</v>
      </c>
      <c r="C121" s="22" t="n">
        <v>10176</v>
      </c>
      <c r="D121" s="22" t="n">
        <f aca="false">Table13[[#This Row],[Steps]]-C120</f>
        <v>-1294</v>
      </c>
      <c r="E121" s="23" t="n">
        <v>393.2</v>
      </c>
      <c r="F121" s="23" t="n">
        <f aca="false">Table13[[#This Row],[Colories]]-E120</f>
        <v>-52.9</v>
      </c>
      <c r="G121" s="6" t="n">
        <v>7.33</v>
      </c>
      <c r="H121" s="24" t="n">
        <f aca="false">Table13[[#This Row],[Distance]]-G120</f>
        <v>-0.93</v>
      </c>
      <c r="I121" s="22" t="n">
        <v>92</v>
      </c>
      <c r="J121" s="25" t="n">
        <f aca="false">Table13[[#This Row],[Time]]-I120</f>
        <v>-13</v>
      </c>
      <c r="K121" s="27" t="s">
        <v>186</v>
      </c>
      <c r="L121" s="6" t="s">
        <v>2</v>
      </c>
      <c r="M121" s="5" t="s">
        <v>179</v>
      </c>
      <c r="N121" s="6" t="s">
        <v>175</v>
      </c>
      <c r="O121" s="5" t="s">
        <v>177</v>
      </c>
    </row>
    <row r="122" customFormat="false" ht="14.4" hidden="false" customHeight="false" outlineLevel="0" collapsed="false">
      <c r="A122" s="20" t="n">
        <v>10</v>
      </c>
      <c r="B122" s="21" t="n">
        <v>43221</v>
      </c>
      <c r="C122" s="22" t="n">
        <v>18529</v>
      </c>
      <c r="D122" s="22" t="n">
        <f aca="false">Table13[[#This Row],[Steps]]-C121</f>
        <v>8353</v>
      </c>
      <c r="E122" s="23" t="n">
        <v>715.4</v>
      </c>
      <c r="F122" s="23" t="n">
        <f aca="false">Table13[[#This Row],[Colories]]-E121</f>
        <v>322.2</v>
      </c>
      <c r="G122" s="6" t="n">
        <v>13.34</v>
      </c>
      <c r="H122" s="24" t="n">
        <f aca="false">Table13[[#This Row],[Distance]]-G121</f>
        <v>6.01</v>
      </c>
      <c r="I122" s="22" t="n">
        <v>167</v>
      </c>
      <c r="J122" s="25" t="n">
        <f aca="false">Table13[[#This Row],[Time]]-I121</f>
        <v>75</v>
      </c>
    </row>
    <row r="123" customFormat="false" ht="14.4" hidden="false" customHeight="false" outlineLevel="0" collapsed="false">
      <c r="A123" s="20" t="n">
        <v>11</v>
      </c>
      <c r="B123" s="21" t="n">
        <v>43222</v>
      </c>
      <c r="C123" s="22" t="n">
        <v>9294</v>
      </c>
      <c r="D123" s="22" t="n">
        <f aca="false">Table13[[#This Row],[Steps]]-C122</f>
        <v>-9235</v>
      </c>
      <c r="E123" s="23" t="n">
        <v>356.8</v>
      </c>
      <c r="F123" s="23" t="n">
        <f aca="false">Table13[[#This Row],[Colories]]-E122</f>
        <v>-358.6</v>
      </c>
      <c r="G123" s="6" t="n">
        <v>6.69</v>
      </c>
      <c r="H123" s="24" t="n">
        <f aca="false">Table13[[#This Row],[Distance]]-G122</f>
        <v>-6.65</v>
      </c>
      <c r="I123" s="22" t="n">
        <v>81</v>
      </c>
      <c r="J123" s="25" t="n">
        <f aca="false">Table13[[#This Row],[Time]]-I122</f>
        <v>-86</v>
      </c>
      <c r="K123" s="1" t="s">
        <v>8</v>
      </c>
      <c r="L123" s="1" t="n">
        <v>10279.4666666667</v>
      </c>
      <c r="M123" s="1" t="n">
        <v>397.98</v>
      </c>
      <c r="N123" s="1" t="n">
        <v>7.40133333333334</v>
      </c>
      <c r="O123" s="1" t="n">
        <v>92.6</v>
      </c>
    </row>
    <row r="124" customFormat="false" ht="14.4" hidden="false" customHeight="false" outlineLevel="0" collapsed="false">
      <c r="A124" s="20" t="n">
        <v>12</v>
      </c>
      <c r="B124" s="21" t="n">
        <v>43223</v>
      </c>
      <c r="C124" s="22" t="n">
        <v>21070</v>
      </c>
      <c r="D124" s="22" t="n">
        <f aca="false">Table13[[#This Row],[Steps]]-C123</f>
        <v>11776</v>
      </c>
      <c r="E124" s="23" t="n">
        <v>814.1</v>
      </c>
      <c r="F124" s="23" t="n">
        <f aca="false">Table13[[#This Row],[Colories]]-E123</f>
        <v>457.3</v>
      </c>
      <c r="G124" s="6" t="n">
        <v>15.17</v>
      </c>
      <c r="H124" s="24" t="n">
        <f aca="false">Table13[[#This Row],[Distance]]-G123</f>
        <v>8.48</v>
      </c>
      <c r="I124" s="22" t="n">
        <v>191</v>
      </c>
      <c r="J124" s="25" t="n">
        <f aca="false">Table13[[#This Row],[Time]]-I123</f>
        <v>110</v>
      </c>
      <c r="K124" s="1" t="s">
        <v>10</v>
      </c>
      <c r="L124" s="1" t="n">
        <v>1039.39670580133</v>
      </c>
      <c r="M124" s="1" t="n">
        <v>40.2632411003889</v>
      </c>
      <c r="N124" s="1" t="n">
        <v>0.74833404756385</v>
      </c>
      <c r="O124" s="1" t="n">
        <v>9.46628621544076</v>
      </c>
    </row>
    <row r="125" customFormat="false" ht="14.4" hidden="false" customHeight="false" outlineLevel="0" collapsed="false">
      <c r="A125" s="20" t="n">
        <v>13</v>
      </c>
      <c r="B125" s="21" t="n">
        <v>43224</v>
      </c>
      <c r="C125" s="22" t="n">
        <v>6718</v>
      </c>
      <c r="D125" s="22" t="n">
        <f aca="false">Table13[[#This Row],[Steps]]-C124</f>
        <v>-14352</v>
      </c>
      <c r="E125" s="23" t="n">
        <v>259.3</v>
      </c>
      <c r="F125" s="23" t="n">
        <f aca="false">Table13[[#This Row],[Colories]]-E124</f>
        <v>-554.8</v>
      </c>
      <c r="G125" s="6" t="n">
        <v>4.84</v>
      </c>
      <c r="H125" s="24" t="n">
        <f aca="false">Table13[[#This Row],[Distance]]-G124</f>
        <v>-10.33</v>
      </c>
      <c r="I125" s="22" t="n">
        <v>60</v>
      </c>
      <c r="J125" s="25" t="n">
        <f aca="false">Table13[[#This Row],[Time]]-I124</f>
        <v>-131</v>
      </c>
      <c r="K125" s="1" t="s">
        <v>12</v>
      </c>
      <c r="L125" s="1" t="n">
        <v>10069</v>
      </c>
      <c r="M125" s="1" t="n">
        <v>387.6</v>
      </c>
      <c r="N125" s="1" t="n">
        <v>7.25</v>
      </c>
      <c r="O125" s="1" t="n">
        <v>87.5</v>
      </c>
    </row>
    <row r="126" customFormat="false" ht="14.4" hidden="false" customHeight="false" outlineLevel="0" collapsed="false">
      <c r="A126" s="20" t="n">
        <v>14</v>
      </c>
      <c r="B126" s="21" t="n">
        <v>43225</v>
      </c>
      <c r="C126" s="22" t="n">
        <v>6082</v>
      </c>
      <c r="D126" s="22" t="n">
        <f aca="false">Table13[[#This Row],[Steps]]-C125</f>
        <v>-636</v>
      </c>
      <c r="E126" s="23" t="n">
        <v>238.6</v>
      </c>
      <c r="F126" s="23" t="n">
        <f aca="false">Table13[[#This Row],[Colories]]-E125</f>
        <v>-20.7</v>
      </c>
      <c r="G126" s="6" t="n">
        <v>4.38</v>
      </c>
      <c r="H126" s="24" t="n">
        <f aca="false">Table13[[#This Row],[Distance]]-G125</f>
        <v>-0.46</v>
      </c>
      <c r="I126" s="22" t="n">
        <v>58</v>
      </c>
      <c r="J126" s="25" t="n">
        <f aca="false">Table13[[#This Row],[Time]]-I125</f>
        <v>-2</v>
      </c>
      <c r="K126" s="1" t="s">
        <v>14</v>
      </c>
      <c r="L126" s="1" t="e">
        <f aca="false">#N/A</f>
        <v>#N/A</v>
      </c>
      <c r="M126" s="1" t="e">
        <f aca="false">#N/A</f>
        <v>#N/A</v>
      </c>
      <c r="N126" s="1" t="e">
        <f aca="false">#N/A</f>
        <v>#N/A</v>
      </c>
      <c r="O126" s="1" t="n">
        <v>96</v>
      </c>
    </row>
    <row r="127" customFormat="false" ht="14.4" hidden="false" customHeight="false" outlineLevel="0" collapsed="false">
      <c r="A127" s="20" t="n">
        <v>15</v>
      </c>
      <c r="B127" s="21" t="n">
        <v>43226</v>
      </c>
      <c r="C127" s="22" t="n">
        <v>2903</v>
      </c>
      <c r="D127" s="22" t="n">
        <f aca="false">Table13[[#This Row],[Steps]]-C126</f>
        <v>-3179</v>
      </c>
      <c r="E127" s="23" t="n">
        <v>116.4</v>
      </c>
      <c r="F127" s="23" t="n">
        <f aca="false">Table13[[#This Row],[Colories]]-E126</f>
        <v>-122.2</v>
      </c>
      <c r="G127" s="6" t="n">
        <v>2.09</v>
      </c>
      <c r="H127" s="24" t="n">
        <f aca="false">Table13[[#This Row],[Distance]]-G126</f>
        <v>-2.29</v>
      </c>
      <c r="I127" s="22" t="n">
        <v>29</v>
      </c>
      <c r="J127" s="25" t="n">
        <f aca="false">Table13[[#This Row],[Time]]-I126</f>
        <v>-29</v>
      </c>
      <c r="K127" s="1" t="s">
        <v>16</v>
      </c>
      <c r="L127" s="1" t="n">
        <v>5693.01021963948</v>
      </c>
      <c r="M127" s="1" t="n">
        <v>220.530853889521</v>
      </c>
      <c r="N127" s="1" t="n">
        <v>4.09879438399864</v>
      </c>
      <c r="O127" s="1" t="n">
        <v>51.8489849599711</v>
      </c>
    </row>
    <row r="128" customFormat="false" ht="14.4" hidden="false" customHeight="false" outlineLevel="0" collapsed="false">
      <c r="A128" s="20" t="n">
        <v>16</v>
      </c>
      <c r="B128" s="21" t="n">
        <v>43227</v>
      </c>
      <c r="C128" s="22" t="n">
        <v>13699</v>
      </c>
      <c r="D128" s="22" t="n">
        <f aca="false">Table13[[#This Row],[Steps]]-C127</f>
        <v>10796</v>
      </c>
      <c r="E128" s="23" t="n">
        <v>525.5</v>
      </c>
      <c r="F128" s="23" t="n">
        <f aca="false">Table13[[#This Row],[Colories]]-E127</f>
        <v>409.1</v>
      </c>
      <c r="G128" s="6" t="n">
        <v>9.86</v>
      </c>
      <c r="H128" s="24" t="n">
        <f aca="false">Table13[[#This Row],[Distance]]-G127</f>
        <v>7.77</v>
      </c>
      <c r="I128" s="22" t="n">
        <v>119</v>
      </c>
      <c r="J128" s="25" t="n">
        <f aca="false">Table13[[#This Row],[Time]]-I127</f>
        <v>90</v>
      </c>
      <c r="K128" s="1" t="s">
        <v>18</v>
      </c>
      <c r="L128" s="1" t="n">
        <v>32410365.3609195</v>
      </c>
      <c r="M128" s="1" t="n">
        <v>48633.8575172414</v>
      </c>
      <c r="N128" s="1" t="n">
        <v>16.8001154022988</v>
      </c>
      <c r="O128" s="1" t="n">
        <v>2688.31724137931</v>
      </c>
    </row>
    <row r="129" customFormat="false" ht="14.4" hidden="false" customHeight="false" outlineLevel="0" collapsed="false">
      <c r="A129" s="20" t="n">
        <v>17</v>
      </c>
      <c r="B129" s="21" t="n">
        <v>43228</v>
      </c>
      <c r="C129" s="22" t="n">
        <v>8725</v>
      </c>
      <c r="D129" s="22" t="n">
        <f aca="false">Table13[[#This Row],[Steps]]-C128</f>
        <v>-4974</v>
      </c>
      <c r="E129" s="23" t="n">
        <v>338</v>
      </c>
      <c r="F129" s="23" t="n">
        <f aca="false">Table13[[#This Row],[Colories]]-E128</f>
        <v>-187.5</v>
      </c>
      <c r="G129" s="6" t="n">
        <v>6.28</v>
      </c>
      <c r="H129" s="24" t="n">
        <f aca="false">Table13[[#This Row],[Distance]]-G128</f>
        <v>-3.58</v>
      </c>
      <c r="I129" s="22" t="n">
        <v>79</v>
      </c>
      <c r="J129" s="25" t="n">
        <f aca="false">Table13[[#This Row],[Time]]-I128</f>
        <v>-40</v>
      </c>
      <c r="K129" s="1" t="s">
        <v>20</v>
      </c>
      <c r="L129" s="1" t="n">
        <v>6.02889942793849</v>
      </c>
      <c r="M129" s="1" t="n">
        <v>6.25840309403846</v>
      </c>
      <c r="N129" s="1" t="n">
        <v>6.03200389559584</v>
      </c>
      <c r="O129" s="1" t="n">
        <v>6.92374986615241</v>
      </c>
    </row>
    <row r="130" customFormat="false" ht="14.4" hidden="false" customHeight="false" outlineLevel="0" collapsed="false">
      <c r="A130" s="20" t="n">
        <v>18</v>
      </c>
      <c r="B130" s="21" t="n">
        <v>43229</v>
      </c>
      <c r="C130" s="22" t="n">
        <v>7410</v>
      </c>
      <c r="D130" s="22" t="n">
        <f aca="false">Table13[[#This Row],[Steps]]-C129</f>
        <v>-1315</v>
      </c>
      <c r="E130" s="23" t="n">
        <v>285.7</v>
      </c>
      <c r="F130" s="23" t="n">
        <f aca="false">Table13[[#This Row],[Colories]]-E129</f>
        <v>-52.3</v>
      </c>
      <c r="G130" s="6" t="n">
        <v>5.34</v>
      </c>
      <c r="H130" s="24" t="n">
        <f aca="false">Table13[[#This Row],[Distance]]-G129</f>
        <v>-0.94</v>
      </c>
      <c r="I130" s="22" t="n">
        <v>66</v>
      </c>
      <c r="J130" s="25" t="n">
        <f aca="false">Table13[[#This Row],[Time]]-I129</f>
        <v>-13</v>
      </c>
      <c r="K130" s="1" t="s">
        <v>22</v>
      </c>
      <c r="L130" s="1" t="n">
        <v>1.76197007902012</v>
      </c>
      <c r="M130" s="1" t="n">
        <v>1.81851101959871</v>
      </c>
      <c r="N130" s="1" t="n">
        <v>1.76249392069833</v>
      </c>
      <c r="O130" s="1" t="n">
        <v>1.97806955855729</v>
      </c>
    </row>
    <row r="131" customFormat="false" ht="14.4" hidden="false" customHeight="false" outlineLevel="0" collapsed="false">
      <c r="A131" s="20" t="n">
        <v>19</v>
      </c>
      <c r="B131" s="21" t="n">
        <v>43230</v>
      </c>
      <c r="C131" s="22" t="n">
        <v>10585</v>
      </c>
      <c r="D131" s="22" t="n">
        <f aca="false">Table13[[#This Row],[Steps]]-C130</f>
        <v>3175</v>
      </c>
      <c r="E131" s="23" t="n">
        <v>406.3</v>
      </c>
      <c r="F131" s="23" t="n">
        <f aca="false">Table13[[#This Row],[Colories]]-E130</f>
        <v>120.6</v>
      </c>
      <c r="G131" s="6" t="n">
        <v>7.62</v>
      </c>
      <c r="H131" s="24" t="n">
        <f aca="false">Table13[[#This Row],[Distance]]-G130</f>
        <v>2.28</v>
      </c>
      <c r="I131" s="22" t="n">
        <v>92</v>
      </c>
      <c r="J131" s="25" t="n">
        <f aca="false">Table13[[#This Row],[Time]]-I130</f>
        <v>26</v>
      </c>
      <c r="K131" s="1" t="s">
        <v>24</v>
      </c>
      <c r="L131" s="1" t="n">
        <v>30666</v>
      </c>
      <c r="M131" s="1" t="n">
        <v>1192.4</v>
      </c>
      <c r="N131" s="1" t="n">
        <v>22.08</v>
      </c>
      <c r="O131" s="1" t="n">
        <v>283</v>
      </c>
    </row>
    <row r="132" customFormat="false" ht="14.4" hidden="false" customHeight="false" outlineLevel="0" collapsed="false">
      <c r="A132" s="20" t="n">
        <v>20</v>
      </c>
      <c r="B132" s="21" t="n">
        <v>43231</v>
      </c>
      <c r="C132" s="22" t="n">
        <v>10507</v>
      </c>
      <c r="D132" s="22" t="n">
        <f aca="false">Table13[[#This Row],[Steps]]-C131</f>
        <v>-78</v>
      </c>
      <c r="E132" s="23" t="n">
        <v>408.9</v>
      </c>
      <c r="F132" s="23" t="n">
        <f aca="false">Table13[[#This Row],[Colories]]-E131</f>
        <v>2.59999999999997</v>
      </c>
      <c r="G132" s="6" t="n">
        <v>7.57</v>
      </c>
      <c r="H132" s="24" t="n">
        <f aca="false">Table13[[#This Row],[Distance]]-G131</f>
        <v>-0.0499999999999998</v>
      </c>
      <c r="I132" s="22" t="n">
        <v>96</v>
      </c>
      <c r="J132" s="25" t="n">
        <f aca="false">Table13[[#This Row],[Time]]-I131</f>
        <v>4</v>
      </c>
      <c r="K132" s="1" t="s">
        <v>26</v>
      </c>
      <c r="L132" s="1" t="n">
        <v>777</v>
      </c>
      <c r="M132" s="1" t="n">
        <v>32.1</v>
      </c>
      <c r="N132" s="1" t="n">
        <v>0.56</v>
      </c>
      <c r="O132" s="1" t="n">
        <v>8</v>
      </c>
    </row>
    <row r="133" customFormat="false" ht="14.4" hidden="false" customHeight="false" outlineLevel="0" collapsed="false">
      <c r="A133" s="20" t="n">
        <v>21</v>
      </c>
      <c r="B133" s="21" t="n">
        <v>43232</v>
      </c>
      <c r="C133" s="22" t="n">
        <v>777</v>
      </c>
      <c r="D133" s="22" t="n">
        <f aca="false">Table13[[#This Row],[Steps]]-C132</f>
        <v>-9730</v>
      </c>
      <c r="E133" s="23" t="n">
        <v>32.1</v>
      </c>
      <c r="F133" s="23" t="n">
        <f aca="false">Table13[[#This Row],[Colories]]-E132</f>
        <v>-376.8</v>
      </c>
      <c r="G133" s="6" t="n">
        <v>0.56</v>
      </c>
      <c r="H133" s="24" t="n">
        <f aca="false">Table13[[#This Row],[Distance]]-G132</f>
        <v>-7.01</v>
      </c>
      <c r="I133" s="22" t="n">
        <v>8</v>
      </c>
      <c r="J133" s="25" t="n">
        <f aca="false">Table13[[#This Row],[Time]]-I132</f>
        <v>-88</v>
      </c>
      <c r="K133" s="1" t="s">
        <v>28</v>
      </c>
      <c r="L133" s="1" t="n">
        <v>31443</v>
      </c>
      <c r="M133" s="1" t="n">
        <v>1224.5</v>
      </c>
      <c r="N133" s="1" t="n">
        <v>22.64</v>
      </c>
      <c r="O133" s="1" t="n">
        <v>291</v>
      </c>
    </row>
    <row r="134" customFormat="false" ht="14.4" hidden="false" customHeight="false" outlineLevel="0" collapsed="false">
      <c r="A134" s="20" t="n">
        <v>22</v>
      </c>
      <c r="B134" s="21" t="n">
        <v>43233</v>
      </c>
      <c r="C134" s="22" t="n">
        <v>8807</v>
      </c>
      <c r="D134" s="22" t="n">
        <f aca="false">Table13[[#This Row],[Steps]]-C133</f>
        <v>8030</v>
      </c>
      <c r="E134" s="23" t="n">
        <v>343.7</v>
      </c>
      <c r="F134" s="23" t="n">
        <f aca="false">Table13[[#This Row],[Colories]]-E133</f>
        <v>311.6</v>
      </c>
      <c r="G134" s="6" t="n">
        <v>6.34</v>
      </c>
      <c r="H134" s="24" t="n">
        <f aca="false">Table13[[#This Row],[Distance]]-G133</f>
        <v>5.78</v>
      </c>
      <c r="I134" s="22" t="n">
        <v>82</v>
      </c>
      <c r="J134" s="25" t="n">
        <f aca="false">Table13[[#This Row],[Time]]-I133</f>
        <v>74</v>
      </c>
      <c r="K134" s="1" t="s">
        <v>30</v>
      </c>
      <c r="L134" s="1" t="n">
        <v>308384</v>
      </c>
      <c r="M134" s="1" t="n">
        <v>11939.4</v>
      </c>
      <c r="N134" s="1" t="n">
        <v>222.04</v>
      </c>
      <c r="O134" s="1" t="n">
        <v>2778</v>
      </c>
    </row>
    <row r="135" customFormat="false" ht="14.4" hidden="false" customHeight="false" outlineLevel="0" collapsed="false">
      <c r="A135" s="20" t="n">
        <v>23</v>
      </c>
      <c r="B135" s="21" t="n">
        <v>43234</v>
      </c>
      <c r="C135" s="22" t="n">
        <v>12537</v>
      </c>
      <c r="D135" s="22" t="n">
        <f aca="false">Table13[[#This Row],[Steps]]-C134</f>
        <v>3730</v>
      </c>
      <c r="E135" s="23" t="n">
        <v>486.2</v>
      </c>
      <c r="F135" s="23" t="n">
        <f aca="false">Table13[[#This Row],[Colories]]-E134</f>
        <v>142.5</v>
      </c>
      <c r="G135" s="6" t="n">
        <v>9.03</v>
      </c>
      <c r="H135" s="24" t="n">
        <f aca="false">Table13[[#This Row],[Distance]]-G134</f>
        <v>2.69</v>
      </c>
      <c r="I135" s="22" t="n">
        <v>113</v>
      </c>
      <c r="J135" s="25" t="n">
        <f aca="false">Table13[[#This Row],[Time]]-I134</f>
        <v>31</v>
      </c>
      <c r="K135" s="1" t="s">
        <v>32</v>
      </c>
      <c r="L135" s="1" t="n">
        <v>30</v>
      </c>
      <c r="M135" s="1" t="n">
        <v>30</v>
      </c>
      <c r="N135" s="1" t="n">
        <v>30</v>
      </c>
      <c r="O135" s="1" t="n">
        <v>30</v>
      </c>
    </row>
    <row r="136" customFormat="false" ht="14.4" hidden="false" customHeight="false" outlineLevel="0" collapsed="false">
      <c r="A136" s="20" t="n">
        <v>24</v>
      </c>
      <c r="B136" s="21" t="n">
        <v>43235</v>
      </c>
      <c r="C136" s="22" t="n">
        <v>8690</v>
      </c>
      <c r="D136" s="22" t="n">
        <f aca="false">Table13[[#This Row],[Steps]]-C135</f>
        <v>-3847</v>
      </c>
      <c r="E136" s="23" t="n">
        <v>333.8</v>
      </c>
      <c r="F136" s="23" t="n">
        <f aca="false">Table13[[#This Row],[Colories]]-E135</f>
        <v>-152.4</v>
      </c>
      <c r="G136" s="6" t="n">
        <v>6.26</v>
      </c>
      <c r="H136" s="24" t="n">
        <f aca="false">Table13[[#This Row],[Distance]]-G135</f>
        <v>-2.77</v>
      </c>
      <c r="I136" s="22" t="n">
        <v>76</v>
      </c>
      <c r="J136" s="25" t="n">
        <f aca="false">Table13[[#This Row],[Time]]-I135</f>
        <v>-37</v>
      </c>
      <c r="K136" s="1" t="s">
        <v>34</v>
      </c>
      <c r="L136" s="1" t="n">
        <v>31443</v>
      </c>
      <c r="M136" s="1" t="n">
        <v>1224.5</v>
      </c>
      <c r="N136" s="1" t="n">
        <v>22.64</v>
      </c>
      <c r="O136" s="1" t="n">
        <v>291</v>
      </c>
    </row>
    <row r="137" customFormat="false" ht="14.4" hidden="false" customHeight="false" outlineLevel="0" collapsed="false">
      <c r="A137" s="20" t="n">
        <v>25</v>
      </c>
      <c r="B137" s="21" t="n">
        <v>43236</v>
      </c>
      <c r="C137" s="22" t="n">
        <v>9200</v>
      </c>
      <c r="D137" s="22" t="n">
        <f aca="false">Table13[[#This Row],[Steps]]-C136</f>
        <v>510</v>
      </c>
      <c r="E137" s="23" t="n">
        <v>355.7</v>
      </c>
      <c r="F137" s="23" t="n">
        <f aca="false">Table13[[#This Row],[Colories]]-E136</f>
        <v>21.9</v>
      </c>
      <c r="G137" s="6" t="n">
        <v>6.62</v>
      </c>
      <c r="H137" s="24" t="n">
        <f aca="false">Table13[[#This Row],[Distance]]-G136</f>
        <v>0.36</v>
      </c>
      <c r="I137" s="22" t="n">
        <v>83</v>
      </c>
      <c r="J137" s="25" t="n">
        <f aca="false">Table13[[#This Row],[Time]]-I136</f>
        <v>7</v>
      </c>
      <c r="K137" s="1" t="s">
        <v>36</v>
      </c>
      <c r="L137" s="1" t="n">
        <v>777</v>
      </c>
      <c r="M137" s="1" t="n">
        <v>32.1</v>
      </c>
      <c r="N137" s="1" t="n">
        <v>0.56</v>
      </c>
      <c r="O137" s="1" t="n">
        <v>8</v>
      </c>
    </row>
    <row r="138" customFormat="false" ht="14.4" hidden="false" customHeight="false" outlineLevel="0" collapsed="false">
      <c r="A138" s="20" t="n">
        <v>26</v>
      </c>
      <c r="B138" s="21" t="n">
        <v>43237</v>
      </c>
      <c r="C138" s="22" t="n">
        <v>10704</v>
      </c>
      <c r="D138" s="22" t="n">
        <f aca="false">Table13[[#This Row],[Steps]]-C137</f>
        <v>1504</v>
      </c>
      <c r="E138" s="23" t="n">
        <v>412.5</v>
      </c>
      <c r="F138" s="23" t="n">
        <f aca="false">Table13[[#This Row],[Colories]]-E137</f>
        <v>56.8</v>
      </c>
      <c r="G138" s="6" t="n">
        <v>7.71</v>
      </c>
      <c r="H138" s="24" t="n">
        <f aca="false">Table13[[#This Row],[Distance]]-G137</f>
        <v>1.09</v>
      </c>
      <c r="I138" s="22" t="n">
        <v>96</v>
      </c>
      <c r="J138" s="25" t="n">
        <f aca="false">Table13[[#This Row],[Time]]-I137</f>
        <v>13</v>
      </c>
      <c r="K138" s="29" t="s">
        <v>158</v>
      </c>
      <c r="L138" s="29" t="n">
        <v>2125.80495263996</v>
      </c>
      <c r="M138" s="29" t="n">
        <v>82.3475741868512</v>
      </c>
      <c r="N138" s="29" t="n">
        <v>1.53051497629473</v>
      </c>
      <c r="O138" s="29" t="n">
        <v>19.3607291687316</v>
      </c>
    </row>
    <row r="139" customFormat="false" ht="14.4" hidden="false" customHeight="false" outlineLevel="0" collapsed="false">
      <c r="A139" s="20" t="n">
        <v>27</v>
      </c>
      <c r="B139" s="21" t="n">
        <v>43238</v>
      </c>
      <c r="C139" s="22" t="n">
        <v>6010</v>
      </c>
      <c r="D139" s="22" t="n">
        <f aca="false">Table13[[#This Row],[Steps]]-C138</f>
        <v>-4694</v>
      </c>
      <c r="E139" s="23" t="n">
        <v>231.2</v>
      </c>
      <c r="F139" s="23" t="n">
        <f aca="false">Table13[[#This Row],[Colories]]-E138</f>
        <v>-181.3</v>
      </c>
      <c r="G139" s="6" t="n">
        <v>4.33</v>
      </c>
      <c r="H139" s="24" t="n">
        <f aca="false">Table13[[#This Row],[Distance]]-G138</f>
        <v>-3.38</v>
      </c>
      <c r="I139" s="22" t="n">
        <v>53</v>
      </c>
      <c r="J139" s="25" t="n">
        <f aca="false">Table13[[#This Row],[Time]]-I138</f>
        <v>-43</v>
      </c>
    </row>
    <row r="140" customFormat="false" ht="14.4" hidden="false" customHeight="false" outlineLevel="0" collapsed="false">
      <c r="A140" s="20" t="n">
        <v>28</v>
      </c>
      <c r="B140" s="21" t="n">
        <v>43239</v>
      </c>
      <c r="C140" s="22" t="n">
        <v>13218</v>
      </c>
      <c r="D140" s="22" t="n">
        <f aca="false">Table13[[#This Row],[Steps]]-C139</f>
        <v>7208</v>
      </c>
      <c r="E140" s="23" t="n">
        <v>512.6</v>
      </c>
      <c r="F140" s="23" t="n">
        <f aca="false">Table13[[#This Row],[Colories]]-E139</f>
        <v>281.4</v>
      </c>
      <c r="G140" s="6" t="n">
        <v>9.52</v>
      </c>
      <c r="H140" s="24" t="n">
        <f aca="false">Table13[[#This Row],[Distance]]-G139</f>
        <v>5.19</v>
      </c>
      <c r="I140" s="22" t="n">
        <v>120</v>
      </c>
      <c r="J140" s="25" t="n">
        <f aca="false">Table13[[#This Row],[Time]]-I139</f>
        <v>67</v>
      </c>
    </row>
    <row r="141" customFormat="false" ht="14.4" hidden="false" customHeight="false" outlineLevel="0" collapsed="false">
      <c r="A141" s="20" t="n">
        <v>29</v>
      </c>
      <c r="B141" s="21" t="n">
        <v>43240</v>
      </c>
      <c r="C141" s="22" t="n">
        <v>31443</v>
      </c>
      <c r="D141" s="22" t="n">
        <f aca="false">Table13[[#This Row],[Steps]]-C140</f>
        <v>18225</v>
      </c>
      <c r="E141" s="23" t="n">
        <v>1224.5</v>
      </c>
      <c r="F141" s="23" t="n">
        <f aca="false">Table13[[#This Row],[Colories]]-E140</f>
        <v>711.9</v>
      </c>
      <c r="G141" s="6" t="n">
        <v>22.64</v>
      </c>
      <c r="H141" s="24" t="n">
        <f aca="false">Table13[[#This Row],[Distance]]-G140</f>
        <v>13.12</v>
      </c>
      <c r="I141" s="22" t="n">
        <v>291</v>
      </c>
      <c r="J141" s="25" t="n">
        <f aca="false">Table13[[#This Row],[Time]]-I140</f>
        <v>171</v>
      </c>
    </row>
    <row r="142" customFormat="false" ht="14.4" hidden="false" customHeight="false" outlineLevel="0" collapsed="false">
      <c r="A142" s="20" t="n">
        <v>30</v>
      </c>
      <c r="B142" s="21" t="n">
        <v>43241</v>
      </c>
      <c r="C142" s="22" t="n">
        <v>6044</v>
      </c>
      <c r="D142" s="22" t="n">
        <f aca="false">Table13[[#This Row],[Steps]]-C141</f>
        <v>-25399</v>
      </c>
      <c r="E142" s="23" t="n">
        <v>233.7</v>
      </c>
      <c r="F142" s="23" t="n">
        <f aca="false">Table13[[#This Row],[Colories]]-E141</f>
        <v>-990.8</v>
      </c>
      <c r="G142" s="6" t="n">
        <v>4.35</v>
      </c>
      <c r="H142" s="24" t="n">
        <f aca="false">Table13[[#This Row],[Distance]]-G141</f>
        <v>-18.29</v>
      </c>
      <c r="I142" s="22" t="n">
        <v>55</v>
      </c>
      <c r="J142" s="25" t="n">
        <f aca="false">Table13[[#This Row],[Time]]-I141</f>
        <v>-236</v>
      </c>
    </row>
    <row r="143" customFormat="false" ht="14.4" hidden="false" customHeight="false" outlineLevel="0" collapsed="false">
      <c r="A143" s="20" t="n">
        <v>1</v>
      </c>
      <c r="B143" s="21" t="n">
        <v>43242</v>
      </c>
      <c r="C143" s="22" t="n">
        <v>11083</v>
      </c>
      <c r="D143" s="22" t="n">
        <f aca="false">Table13[[#This Row],[Steps]]-C142</f>
        <v>5039</v>
      </c>
      <c r="E143" s="23" t="n">
        <v>424.1</v>
      </c>
      <c r="F143" s="23" t="n">
        <f aca="false">Table13[[#This Row],[Colories]]-E142</f>
        <v>190.4</v>
      </c>
      <c r="G143" s="6" t="n">
        <v>7.98</v>
      </c>
      <c r="H143" s="24" t="n">
        <f aca="false">Table13[[#This Row],[Distance]]-G142</f>
        <v>3.63</v>
      </c>
      <c r="I143" s="22" t="n">
        <v>95</v>
      </c>
      <c r="J143" s="25" t="n">
        <f aca="false">Table13[[#This Row],[Time]]-I142</f>
        <v>40</v>
      </c>
    </row>
    <row r="144" customFormat="false" ht="14.4" hidden="false" customHeight="false" outlineLevel="0" collapsed="false">
      <c r="A144" s="20" t="n">
        <v>2</v>
      </c>
      <c r="B144" s="21" t="n">
        <v>43243</v>
      </c>
      <c r="C144" s="22" t="n">
        <v>12975</v>
      </c>
      <c r="D144" s="22" t="n">
        <f aca="false">Table13[[#This Row],[Steps]]-C143</f>
        <v>1892</v>
      </c>
      <c r="E144" s="23" t="n">
        <v>502.1</v>
      </c>
      <c r="F144" s="23" t="n">
        <f aca="false">Table13[[#This Row],[Colories]]-E143</f>
        <v>78</v>
      </c>
      <c r="G144" s="6" t="n">
        <v>9.34</v>
      </c>
      <c r="H144" s="24" t="n">
        <f aca="false">Table13[[#This Row],[Distance]]-G143</f>
        <v>1.36</v>
      </c>
      <c r="I144" s="22" t="n">
        <v>117</v>
      </c>
      <c r="J144" s="25" t="n">
        <f aca="false">Table13[[#This Row],[Time]]-I143</f>
        <v>22</v>
      </c>
    </row>
    <row r="145" customFormat="false" ht="14.4" hidden="false" customHeight="false" outlineLevel="0" collapsed="false">
      <c r="A145" s="20" t="n">
        <v>3</v>
      </c>
      <c r="B145" s="21" t="n">
        <v>43244</v>
      </c>
      <c r="C145" s="22" t="n">
        <v>12582</v>
      </c>
      <c r="D145" s="22" t="n">
        <f aca="false">Table13[[#This Row],[Steps]]-C144</f>
        <v>-393</v>
      </c>
      <c r="E145" s="23" t="n">
        <v>485</v>
      </c>
      <c r="F145" s="23" t="n">
        <f aca="false">Table13[[#This Row],[Colories]]-E144</f>
        <v>-17.1</v>
      </c>
      <c r="G145" s="6" t="n">
        <v>9.06</v>
      </c>
      <c r="H145" s="24" t="n">
        <f aca="false">Table13[[#This Row],[Distance]]-G144</f>
        <v>-0.279999999999999</v>
      </c>
      <c r="I145" s="22" t="n">
        <v>112</v>
      </c>
      <c r="J145" s="25" t="n">
        <f aca="false">Table13[[#This Row],[Time]]-I144</f>
        <v>-5</v>
      </c>
    </row>
    <row r="146" customFormat="false" ht="14.4" hidden="false" customHeight="false" outlineLevel="0" collapsed="false">
      <c r="A146" s="20" t="n">
        <v>4</v>
      </c>
      <c r="B146" s="21" t="n">
        <v>43245</v>
      </c>
      <c r="C146" s="22" t="n">
        <v>2152</v>
      </c>
      <c r="D146" s="22" t="n">
        <f aca="false">Table13[[#This Row],[Steps]]-C145</f>
        <v>-10430</v>
      </c>
      <c r="E146" s="23" t="n">
        <v>89.3</v>
      </c>
      <c r="F146" s="23" t="n">
        <f aca="false">Table13[[#This Row],[Colories]]-E145</f>
        <v>-395.7</v>
      </c>
      <c r="G146" s="6" t="n">
        <v>1.55</v>
      </c>
      <c r="H146" s="24" t="n">
        <f aca="false">Table13[[#This Row],[Distance]]-G145</f>
        <v>-7.51</v>
      </c>
      <c r="I146" s="22" t="n">
        <v>23</v>
      </c>
      <c r="J146" s="25" t="n">
        <f aca="false">Table13[[#This Row],[Time]]-I145</f>
        <v>-89</v>
      </c>
    </row>
    <row r="147" customFormat="false" ht="14.4" hidden="false" customHeight="false" outlineLevel="0" collapsed="false">
      <c r="A147" s="20" t="n">
        <v>5</v>
      </c>
      <c r="B147" s="21" t="n">
        <v>43246</v>
      </c>
      <c r="C147" s="22" t="n">
        <v>6461</v>
      </c>
      <c r="D147" s="22" t="n">
        <f aca="false">Table13[[#This Row],[Steps]]-C146</f>
        <v>4309</v>
      </c>
      <c r="E147" s="23" t="n">
        <v>253</v>
      </c>
      <c r="F147" s="23" t="n">
        <f aca="false">Table13[[#This Row],[Colories]]-E146</f>
        <v>163.7</v>
      </c>
      <c r="G147" s="6" t="n">
        <v>4.65</v>
      </c>
      <c r="H147" s="24" t="n">
        <f aca="false">Table13[[#This Row],[Distance]]-G146</f>
        <v>3.1</v>
      </c>
      <c r="I147" s="22" t="n">
        <v>61</v>
      </c>
      <c r="J147" s="25" t="n">
        <f aca="false">Table13[[#This Row],[Time]]-I146</f>
        <v>38</v>
      </c>
    </row>
    <row r="148" customFormat="false" ht="14.4" hidden="false" customHeight="false" outlineLevel="0" collapsed="false">
      <c r="A148" s="20" t="n">
        <v>6</v>
      </c>
      <c r="B148" s="21" t="n">
        <v>43247</v>
      </c>
      <c r="C148" s="22" t="n">
        <v>11756</v>
      </c>
      <c r="D148" s="22" t="n">
        <f aca="false">Table13[[#This Row],[Steps]]-C147</f>
        <v>5295</v>
      </c>
      <c r="E148" s="23" t="n">
        <v>456.5</v>
      </c>
      <c r="F148" s="23" t="n">
        <f aca="false">Table13[[#This Row],[Colories]]-E147</f>
        <v>203.5</v>
      </c>
      <c r="G148" s="6" t="n">
        <v>8.46</v>
      </c>
      <c r="H148" s="24" t="n">
        <f aca="false">Table13[[#This Row],[Distance]]-G147</f>
        <v>3.81</v>
      </c>
      <c r="I148" s="22" t="n">
        <v>105</v>
      </c>
      <c r="J148" s="25" t="n">
        <f aca="false">Table13[[#This Row],[Time]]-I147</f>
        <v>44</v>
      </c>
    </row>
    <row r="149" customFormat="false" ht="14.4" hidden="false" customHeight="false" outlineLevel="0" collapsed="false">
      <c r="A149" s="20" t="n">
        <v>7</v>
      </c>
      <c r="B149" s="21" t="n">
        <v>43248</v>
      </c>
      <c r="C149" s="22" t="n">
        <v>11291</v>
      </c>
      <c r="D149" s="22" t="n">
        <f aca="false">Table13[[#This Row],[Steps]]-C148</f>
        <v>-465</v>
      </c>
      <c r="E149" s="23" t="n">
        <v>437.5</v>
      </c>
      <c r="F149" s="23" t="n">
        <f aca="false">Table13[[#This Row],[Colories]]-E148</f>
        <v>-19</v>
      </c>
      <c r="G149" s="6" t="n">
        <v>8.13</v>
      </c>
      <c r="H149" s="24" t="n">
        <f aca="false">Table13[[#This Row],[Distance]]-G148</f>
        <v>-0.33</v>
      </c>
      <c r="I149" s="22" t="n">
        <v>102</v>
      </c>
      <c r="J149" s="25" t="n">
        <f aca="false">Table13[[#This Row],[Time]]-I148</f>
        <v>-3</v>
      </c>
    </row>
    <row r="150" customFormat="false" ht="14.4" hidden="false" customHeight="false" outlineLevel="0" collapsed="false">
      <c r="A150" s="20" t="n">
        <v>8</v>
      </c>
      <c r="B150" s="21" t="n">
        <v>43249</v>
      </c>
      <c r="C150" s="22" t="n">
        <v>10927</v>
      </c>
      <c r="D150" s="22" t="n">
        <f aca="false">Table13[[#This Row],[Steps]]-C149</f>
        <v>-364</v>
      </c>
      <c r="E150" s="23" t="n">
        <v>421.3</v>
      </c>
      <c r="F150" s="23" t="n">
        <f aca="false">Table13[[#This Row],[Colories]]-E149</f>
        <v>-16.2</v>
      </c>
      <c r="G150" s="6" t="n">
        <v>7.87</v>
      </c>
      <c r="H150" s="24" t="n">
        <f aca="false">Table13[[#This Row],[Distance]]-G149</f>
        <v>-0.260000000000001</v>
      </c>
      <c r="I150" s="22" t="n">
        <v>97</v>
      </c>
      <c r="J150" s="25" t="n">
        <f aca="false">Table13[[#This Row],[Time]]-I149</f>
        <v>-5</v>
      </c>
    </row>
    <row r="151" customFormat="false" ht="14.4" hidden="false" customHeight="false" outlineLevel="0" collapsed="false">
      <c r="A151" s="20" t="n">
        <v>9</v>
      </c>
      <c r="B151" s="21" t="n">
        <v>43250</v>
      </c>
      <c r="C151" s="22" t="n">
        <v>9631</v>
      </c>
      <c r="D151" s="22" t="n">
        <f aca="false">Table13[[#This Row],[Steps]]-C150</f>
        <v>-1296</v>
      </c>
      <c r="E151" s="23" t="n">
        <v>368.9</v>
      </c>
      <c r="F151" s="23" t="n">
        <f aca="false">Table13[[#This Row],[Colories]]-E150</f>
        <v>-52.4</v>
      </c>
      <c r="G151" s="6" t="n">
        <v>6.93</v>
      </c>
      <c r="H151" s="24" t="n">
        <f aca="false">Table13[[#This Row],[Distance]]-G150</f>
        <v>-0.94</v>
      </c>
      <c r="I151" s="22" t="n">
        <v>82</v>
      </c>
      <c r="J151" s="25" t="n">
        <f aca="false">Table13[[#This Row],[Time]]-I150</f>
        <v>-15</v>
      </c>
    </row>
    <row r="152" customFormat="false" ht="14.4" hidden="false" customHeight="false" outlineLevel="0" collapsed="false">
      <c r="A152" s="20" t="n">
        <v>10</v>
      </c>
      <c r="B152" s="21" t="n">
        <v>43251</v>
      </c>
      <c r="C152" s="22" t="n">
        <v>15103</v>
      </c>
      <c r="D152" s="22" t="n">
        <f aca="false">Table13[[#This Row],[Steps]]-C151</f>
        <v>5472</v>
      </c>
      <c r="E152" s="23" t="n">
        <v>586.1</v>
      </c>
      <c r="F152" s="23" t="n">
        <f aca="false">Table13[[#This Row],[Colories]]-E151</f>
        <v>217.2</v>
      </c>
      <c r="G152" s="6" t="n">
        <v>10.87</v>
      </c>
      <c r="H152" s="24" t="n">
        <f aca="false">Table13[[#This Row],[Distance]]-G151</f>
        <v>3.94</v>
      </c>
      <c r="I152" s="22" t="n">
        <v>136</v>
      </c>
      <c r="J152" s="25" t="n">
        <f aca="false">Table13[[#This Row],[Time]]-I151</f>
        <v>54</v>
      </c>
    </row>
    <row r="153" customFormat="false" ht="14.4" hidden="false" customHeight="false" outlineLevel="0" collapsed="false">
      <c r="A153" s="20" t="n">
        <v>11</v>
      </c>
      <c r="B153" s="21" t="n">
        <v>43252</v>
      </c>
      <c r="C153" s="22" t="n">
        <v>4573</v>
      </c>
      <c r="D153" s="22" t="n">
        <f aca="false">Table13[[#This Row],[Steps]]-C152</f>
        <v>-10530</v>
      </c>
      <c r="E153" s="23" t="n">
        <v>178.5</v>
      </c>
      <c r="F153" s="23" t="n">
        <f aca="false">Table13[[#This Row],[Colories]]-E152</f>
        <v>-407.6</v>
      </c>
      <c r="G153" s="6" t="n">
        <v>3.29</v>
      </c>
      <c r="H153" s="24" t="n">
        <f aca="false">Table13[[#This Row],[Distance]]-G152</f>
        <v>-7.58</v>
      </c>
      <c r="I153" s="22" t="n">
        <v>42</v>
      </c>
      <c r="J153" s="25" t="n">
        <f aca="false">Table13[[#This Row],[Time]]-I152</f>
        <v>-94</v>
      </c>
      <c r="K153" s="27" t="s">
        <v>187</v>
      </c>
      <c r="L153" s="6" t="s">
        <v>2</v>
      </c>
      <c r="M153" s="5" t="s">
        <v>179</v>
      </c>
      <c r="N153" s="6" t="s">
        <v>175</v>
      </c>
      <c r="O153" s="5" t="s">
        <v>177</v>
      </c>
    </row>
    <row r="154" customFormat="false" ht="14.4" hidden="false" customHeight="false" outlineLevel="0" collapsed="false">
      <c r="A154" s="20" t="n">
        <v>12</v>
      </c>
      <c r="B154" s="21" t="n">
        <v>43253</v>
      </c>
      <c r="C154" s="22" t="n">
        <v>8448</v>
      </c>
      <c r="D154" s="22" t="n">
        <f aca="false">Table13[[#This Row],[Steps]]-C153</f>
        <v>3875</v>
      </c>
      <c r="E154" s="23" t="n">
        <v>330.5</v>
      </c>
      <c r="F154" s="23" t="n">
        <f aca="false">Table13[[#This Row],[Colories]]-E153</f>
        <v>152</v>
      </c>
      <c r="G154" s="6" t="n">
        <v>6.08</v>
      </c>
      <c r="H154" s="24" t="n">
        <f aca="false">Table13[[#This Row],[Distance]]-G153</f>
        <v>2.79</v>
      </c>
      <c r="I154" s="22" t="n">
        <v>79</v>
      </c>
      <c r="J154" s="25" t="n">
        <f aca="false">Table13[[#This Row],[Time]]-I153</f>
        <v>37</v>
      </c>
    </row>
    <row r="155" customFormat="false" ht="14.4" hidden="false" customHeight="false" outlineLevel="0" collapsed="false">
      <c r="A155" s="20" t="n">
        <v>13</v>
      </c>
      <c r="B155" s="21" t="n">
        <v>43254</v>
      </c>
      <c r="C155" s="22" t="n">
        <v>5862</v>
      </c>
      <c r="D155" s="22" t="n">
        <f aca="false">Table13[[#This Row],[Steps]]-C154</f>
        <v>-2586</v>
      </c>
      <c r="E155" s="23" t="n">
        <v>230</v>
      </c>
      <c r="F155" s="23" t="n">
        <f aca="false">Table13[[#This Row],[Colories]]-E154</f>
        <v>-100.5</v>
      </c>
      <c r="G155" s="6" t="n">
        <v>4.22</v>
      </c>
      <c r="H155" s="24" t="n">
        <f aca="false">Table13[[#This Row],[Distance]]-G154</f>
        <v>-1.86</v>
      </c>
      <c r="I155" s="22" t="n">
        <v>56</v>
      </c>
      <c r="J155" s="25" t="n">
        <f aca="false">Table13[[#This Row],[Time]]-I154</f>
        <v>-23</v>
      </c>
      <c r="K155" s="1" t="s">
        <v>8</v>
      </c>
      <c r="L155" s="1" t="n">
        <v>9182.4</v>
      </c>
      <c r="M155" s="1" t="n">
        <v>351.961290322581</v>
      </c>
      <c r="N155" s="1" t="n">
        <v>6.61166666666667</v>
      </c>
      <c r="O155" s="1" t="n">
        <v>84.2666666666667</v>
      </c>
    </row>
    <row r="156" customFormat="false" ht="14.4" hidden="false" customHeight="false" outlineLevel="0" collapsed="false">
      <c r="A156" s="20" t="n">
        <v>14</v>
      </c>
      <c r="B156" s="21" t="n">
        <v>43255</v>
      </c>
      <c r="C156" s="22" t="n">
        <v>14466</v>
      </c>
      <c r="D156" s="22" t="n">
        <f aca="false">Table13[[#This Row],[Steps]]-C155</f>
        <v>8604</v>
      </c>
      <c r="E156" s="23" t="n">
        <v>563.8</v>
      </c>
      <c r="F156" s="23" t="n">
        <f aca="false">Table13[[#This Row],[Colories]]-E155</f>
        <v>333.8</v>
      </c>
      <c r="G156" s="6" t="n">
        <v>10.42</v>
      </c>
      <c r="H156" s="24" t="n">
        <f aca="false">Table13[[#This Row],[Distance]]-G155</f>
        <v>6.2</v>
      </c>
      <c r="I156" s="22" t="n">
        <v>136</v>
      </c>
      <c r="J156" s="25" t="n">
        <f aca="false">Table13[[#This Row],[Time]]-I155</f>
        <v>80</v>
      </c>
      <c r="K156" s="1" t="s">
        <v>10</v>
      </c>
      <c r="L156" s="1" t="n">
        <v>1235.84351071991</v>
      </c>
      <c r="M156" s="1" t="n">
        <v>47.4444997044185</v>
      </c>
      <c r="N156" s="1" t="n">
        <v>0.890427778291137</v>
      </c>
      <c r="O156" s="1" t="n">
        <v>12.1175215907345</v>
      </c>
    </row>
    <row r="157" customFormat="false" ht="14.4" hidden="false" customHeight="false" outlineLevel="0" collapsed="false">
      <c r="A157" s="20" t="n">
        <v>15</v>
      </c>
      <c r="B157" s="21" t="n">
        <v>43256</v>
      </c>
      <c r="C157" s="22" t="n">
        <v>7905</v>
      </c>
      <c r="D157" s="22" t="n">
        <f aca="false">Table13[[#This Row],[Steps]]-C156</f>
        <v>-6561</v>
      </c>
      <c r="E157" s="23" t="n">
        <v>307.9</v>
      </c>
      <c r="F157" s="23" t="n">
        <f aca="false">Table13[[#This Row],[Colories]]-E156</f>
        <v>-255.9</v>
      </c>
      <c r="G157" s="6" t="n">
        <v>5.69</v>
      </c>
      <c r="H157" s="24" t="n">
        <f aca="false">Table13[[#This Row],[Distance]]-G156</f>
        <v>-4.73</v>
      </c>
      <c r="I157" s="22" t="n">
        <v>73</v>
      </c>
      <c r="J157" s="25" t="n">
        <f aca="false">Table13[[#This Row],[Time]]-I156</f>
        <v>-63</v>
      </c>
      <c r="K157" s="1" t="s">
        <v>12</v>
      </c>
      <c r="L157" s="1" t="n">
        <v>7921.5</v>
      </c>
      <c r="M157" s="1" t="n">
        <v>304.2</v>
      </c>
      <c r="N157" s="1" t="n">
        <v>5.705</v>
      </c>
      <c r="O157" s="1" t="n">
        <v>71</v>
      </c>
    </row>
    <row r="158" customFormat="false" ht="14.4" hidden="false" customHeight="false" outlineLevel="0" collapsed="false">
      <c r="A158" s="20" t="n">
        <v>16</v>
      </c>
      <c r="B158" s="21" t="n">
        <v>43257</v>
      </c>
      <c r="C158" s="22" t="n">
        <v>8884</v>
      </c>
      <c r="D158" s="22" t="n">
        <f aca="false">Table13[[#This Row],[Steps]]-C157</f>
        <v>979</v>
      </c>
      <c r="E158" s="23" t="n">
        <v>340.1</v>
      </c>
      <c r="F158" s="23" t="n">
        <f aca="false">Table13[[#This Row],[Colories]]-E157</f>
        <v>32.2</v>
      </c>
      <c r="G158" s="6" t="n">
        <v>6.4</v>
      </c>
      <c r="H158" s="24" t="n">
        <f aca="false">Table13[[#This Row],[Distance]]-G157</f>
        <v>0.71</v>
      </c>
      <c r="I158" s="22" t="n">
        <v>76</v>
      </c>
      <c r="J158" s="25" t="n">
        <f aca="false">Table13[[#This Row],[Time]]-I157</f>
        <v>3</v>
      </c>
      <c r="K158" s="1" t="s">
        <v>14</v>
      </c>
      <c r="L158" s="1" t="e">
        <f aca="false">#N/A</f>
        <v>#N/A</v>
      </c>
      <c r="M158" s="1" t="e">
        <f aca="false">#N/A</f>
        <v>#N/A</v>
      </c>
      <c r="N158" s="1" t="e">
        <f aca="false">#N/A</f>
        <v>#N/A</v>
      </c>
      <c r="O158" s="1" t="n">
        <v>79</v>
      </c>
    </row>
    <row r="159" customFormat="false" ht="14.4" hidden="false" customHeight="false" outlineLevel="0" collapsed="false">
      <c r="A159" s="20" t="n">
        <v>17</v>
      </c>
      <c r="B159" s="21" t="n">
        <v>43258</v>
      </c>
      <c r="C159" s="22" t="n">
        <v>3775</v>
      </c>
      <c r="D159" s="22" t="n">
        <f aca="false">Table13[[#This Row],[Steps]]-C158</f>
        <v>-5109</v>
      </c>
      <c r="E159" s="23" t="n">
        <v>147</v>
      </c>
      <c r="F159" s="23" t="n">
        <f aca="false">Table13[[#This Row],[Colories]]-E158</f>
        <v>-193.1</v>
      </c>
      <c r="G159" s="6" t="n">
        <v>2.72</v>
      </c>
      <c r="H159" s="24" t="n">
        <f aca="false">Table13[[#This Row],[Distance]]-G158</f>
        <v>-3.68</v>
      </c>
      <c r="I159" s="22" t="n">
        <v>35</v>
      </c>
      <c r="J159" s="25" t="n">
        <f aca="false">Table13[[#This Row],[Time]]-I158</f>
        <v>-41</v>
      </c>
      <c r="K159" s="1" t="s">
        <v>16</v>
      </c>
      <c r="L159" s="1" t="n">
        <v>6768.99368367671</v>
      </c>
      <c r="M159" s="1" t="n">
        <v>264.159794666561</v>
      </c>
      <c r="N159" s="1" t="n">
        <v>4.87707379999265</v>
      </c>
      <c r="O159" s="1" t="n">
        <v>66.3703991630115</v>
      </c>
    </row>
    <row r="160" customFormat="false" ht="14.4" hidden="false" customHeight="false" outlineLevel="0" collapsed="false">
      <c r="A160" s="20" t="n">
        <v>18</v>
      </c>
      <c r="B160" s="21" t="n">
        <v>43259</v>
      </c>
      <c r="C160" s="22" t="n">
        <v>10820</v>
      </c>
      <c r="D160" s="22" t="n">
        <f aca="false">Table13[[#This Row],[Steps]]-C159</f>
        <v>7045</v>
      </c>
      <c r="E160" s="23" t="n">
        <v>417.5</v>
      </c>
      <c r="F160" s="23" t="n">
        <f aca="false">Table13[[#This Row],[Colories]]-E159</f>
        <v>270.5</v>
      </c>
      <c r="G160" s="6" t="n">
        <v>7.79</v>
      </c>
      <c r="H160" s="24" t="n">
        <f aca="false">Table13[[#This Row],[Distance]]-G159</f>
        <v>5.07</v>
      </c>
      <c r="I160" s="22" t="n">
        <v>97</v>
      </c>
      <c r="J160" s="25" t="n">
        <f aca="false">Table13[[#This Row],[Time]]-I159</f>
        <v>62</v>
      </c>
      <c r="K160" s="1" t="s">
        <v>18</v>
      </c>
      <c r="L160" s="1" t="n">
        <v>45819275.4896552</v>
      </c>
      <c r="M160" s="1" t="n">
        <v>69780.3971182795</v>
      </c>
      <c r="N160" s="1" t="n">
        <v>23.7858488505747</v>
      </c>
      <c r="O160" s="1" t="n">
        <v>4405.02988505747</v>
      </c>
    </row>
    <row r="161" customFormat="false" ht="14.4" hidden="false" customHeight="false" outlineLevel="0" collapsed="false">
      <c r="A161" s="20" t="n">
        <v>19</v>
      </c>
      <c r="B161" s="21" t="n">
        <v>43260</v>
      </c>
      <c r="C161" s="22" t="n">
        <v>14913</v>
      </c>
      <c r="D161" s="22" t="n">
        <f aca="false">Table13[[#This Row],[Steps]]-C160</f>
        <v>4093</v>
      </c>
      <c r="E161" s="23" t="n">
        <v>587.7</v>
      </c>
      <c r="F161" s="23" t="n">
        <f aca="false">Table13[[#This Row],[Colories]]-E160</f>
        <v>170.2</v>
      </c>
      <c r="G161" s="6" t="n">
        <v>10.74</v>
      </c>
      <c r="H161" s="24" t="n">
        <f aca="false">Table13[[#This Row],[Distance]]-G160</f>
        <v>2.95</v>
      </c>
      <c r="I161" s="22" t="n">
        <v>144</v>
      </c>
      <c r="J161" s="25" t="n">
        <f aca="false">Table13[[#This Row],[Time]]-I160</f>
        <v>47</v>
      </c>
      <c r="K161" s="1" t="s">
        <v>20</v>
      </c>
      <c r="L161" s="1" t="n">
        <v>12.1867210424644</v>
      </c>
      <c r="M161" s="1" t="n">
        <v>13.0328708764862</v>
      </c>
      <c r="N161" s="1" t="n">
        <v>12.1594732514844</v>
      </c>
      <c r="O161" s="1" t="n">
        <v>14.0874436996082</v>
      </c>
    </row>
    <row r="162" customFormat="false" ht="14.4" hidden="false" customHeight="false" outlineLevel="0" collapsed="false">
      <c r="A162" s="20" t="n">
        <v>20</v>
      </c>
      <c r="B162" s="21" t="n">
        <v>43261</v>
      </c>
      <c r="C162" s="22" t="n">
        <v>1270</v>
      </c>
      <c r="D162" s="22" t="n">
        <f aca="false">Table13[[#This Row],[Steps]]-C161</f>
        <v>-13643</v>
      </c>
      <c r="E162" s="23" t="n">
        <v>46.9</v>
      </c>
      <c r="F162" s="23" t="n">
        <f aca="false">Table13[[#This Row],[Colories]]-E161</f>
        <v>-540.8</v>
      </c>
      <c r="G162" s="6" t="n">
        <v>0.87</v>
      </c>
      <c r="H162" s="24" t="n">
        <f aca="false">Table13[[#This Row],[Distance]]-G161</f>
        <v>-9.87</v>
      </c>
      <c r="I162" s="22" t="n">
        <v>11</v>
      </c>
      <c r="J162" s="25" t="n">
        <f aca="false">Table13[[#This Row],[Time]]-I161</f>
        <v>-133</v>
      </c>
      <c r="K162" s="1" t="s">
        <v>22</v>
      </c>
      <c r="L162" s="1" t="n">
        <v>2.92912496539257</v>
      </c>
      <c r="M162" s="1" t="n">
        <v>3.05740042416961</v>
      </c>
      <c r="N162" s="1" t="n">
        <v>2.92386777061348</v>
      </c>
      <c r="O162" s="1" t="n">
        <v>3.24043839967604</v>
      </c>
    </row>
    <row r="163" customFormat="false" ht="14.4" hidden="false" customHeight="false" outlineLevel="0" collapsed="false">
      <c r="A163" s="20" t="n">
        <v>21</v>
      </c>
      <c r="B163" s="21" t="n">
        <v>43262</v>
      </c>
      <c r="C163" s="22" t="n">
        <v>7154</v>
      </c>
      <c r="D163" s="22" t="n">
        <f aca="false">Table13[[#This Row],[Steps]]-C162</f>
        <v>5884</v>
      </c>
      <c r="E163" s="23" t="n">
        <v>274.3</v>
      </c>
      <c r="F163" s="23" t="n">
        <f aca="false">Table13[[#This Row],[Colories]]-E162</f>
        <v>227.4</v>
      </c>
      <c r="G163" s="6" t="n">
        <v>5.15</v>
      </c>
      <c r="H163" s="24" t="n">
        <f aca="false">Table13[[#This Row],[Distance]]-G162</f>
        <v>4.28</v>
      </c>
      <c r="I163" s="22" t="n">
        <v>61</v>
      </c>
      <c r="J163" s="25" t="n">
        <f aca="false">Table13[[#This Row],[Time]]-I162</f>
        <v>50</v>
      </c>
      <c r="K163" s="1" t="s">
        <v>24</v>
      </c>
      <c r="L163" s="1" t="n">
        <v>37773</v>
      </c>
      <c r="M163" s="1" t="n">
        <v>1491.4</v>
      </c>
      <c r="N163" s="1" t="n">
        <v>27.2</v>
      </c>
      <c r="O163" s="1" t="n">
        <v>372</v>
      </c>
    </row>
    <row r="164" customFormat="false" ht="14.4" hidden="false" customHeight="false" outlineLevel="0" collapsed="false">
      <c r="A164" s="20" t="n">
        <v>22</v>
      </c>
      <c r="B164" s="21" t="n">
        <v>43263</v>
      </c>
      <c r="C164" s="22" t="n">
        <v>9012</v>
      </c>
      <c r="D164" s="22" t="n">
        <f aca="false">Table13[[#This Row],[Steps]]-C163</f>
        <v>1858</v>
      </c>
      <c r="E164" s="23" t="n">
        <v>346.6</v>
      </c>
      <c r="F164" s="23" t="n">
        <f aca="false">Table13[[#This Row],[Colories]]-E163</f>
        <v>72.3</v>
      </c>
      <c r="G164" s="6" t="n">
        <v>6.49</v>
      </c>
      <c r="H164" s="24" t="n">
        <f aca="false">Table13[[#This Row],[Distance]]-G163</f>
        <v>1.34</v>
      </c>
      <c r="I164" s="22" t="n">
        <v>79</v>
      </c>
      <c r="J164" s="25" t="n">
        <f aca="false">Table13[[#This Row],[Time]]-I163</f>
        <v>18</v>
      </c>
      <c r="K164" s="1" t="s">
        <v>26</v>
      </c>
      <c r="L164" s="1" t="n">
        <v>859</v>
      </c>
      <c r="M164" s="1" t="n">
        <v>37.7</v>
      </c>
      <c r="N164" s="1" t="n">
        <v>0.62</v>
      </c>
      <c r="O164" s="1" t="n">
        <v>10</v>
      </c>
    </row>
    <row r="165" customFormat="false" ht="14.4" hidden="false" customHeight="false" outlineLevel="0" collapsed="false">
      <c r="A165" s="20" t="n">
        <v>23</v>
      </c>
      <c r="B165" s="21" t="n">
        <v>43264</v>
      </c>
      <c r="C165" s="22" t="n">
        <v>5306</v>
      </c>
      <c r="D165" s="22" t="n">
        <f aca="false">Table13[[#This Row],[Steps]]-C164</f>
        <v>-3706</v>
      </c>
      <c r="E165" s="23" t="n">
        <v>203.9</v>
      </c>
      <c r="F165" s="23" t="n">
        <f aca="false">Table13[[#This Row],[Colories]]-E164</f>
        <v>-142.7</v>
      </c>
      <c r="G165" s="6" t="n">
        <v>3.82</v>
      </c>
      <c r="H165" s="24" t="n">
        <f aca="false">Table13[[#This Row],[Distance]]-G164</f>
        <v>-2.67</v>
      </c>
      <c r="I165" s="22" t="n">
        <v>47</v>
      </c>
      <c r="J165" s="25" t="n">
        <f aca="false">Table13[[#This Row],[Time]]-I164</f>
        <v>-32</v>
      </c>
      <c r="K165" s="1" t="s">
        <v>28</v>
      </c>
      <c r="L165" s="1" t="n">
        <v>38632</v>
      </c>
      <c r="M165" s="1" t="n">
        <v>1529.1</v>
      </c>
      <c r="N165" s="1" t="n">
        <v>27.82</v>
      </c>
      <c r="O165" s="1" t="n">
        <v>382</v>
      </c>
    </row>
    <row r="166" customFormat="false" ht="14.4" hidden="false" customHeight="false" outlineLevel="0" collapsed="false">
      <c r="A166" s="20" t="n">
        <v>24</v>
      </c>
      <c r="B166" s="21" t="n">
        <v>43265</v>
      </c>
      <c r="C166" s="22" t="n">
        <v>13261</v>
      </c>
      <c r="D166" s="22" t="n">
        <f aca="false">Table13[[#This Row],[Steps]]-C165</f>
        <v>7955</v>
      </c>
      <c r="E166" s="23" t="n">
        <v>513.7</v>
      </c>
      <c r="F166" s="23" t="n">
        <f aca="false">Table13[[#This Row],[Colories]]-E165</f>
        <v>309.8</v>
      </c>
      <c r="G166" s="6" t="n">
        <v>9.55</v>
      </c>
      <c r="H166" s="24" t="n">
        <f aca="false">Table13[[#This Row],[Distance]]-G165</f>
        <v>5.73</v>
      </c>
      <c r="I166" s="22" t="n">
        <v>120</v>
      </c>
      <c r="J166" s="25" t="n">
        <f aca="false">Table13[[#This Row],[Time]]-I165</f>
        <v>73</v>
      </c>
      <c r="K166" s="1" t="s">
        <v>30</v>
      </c>
      <c r="L166" s="1" t="n">
        <v>275472</v>
      </c>
      <c r="M166" s="1" t="n">
        <v>10910.8</v>
      </c>
      <c r="N166" s="1" t="n">
        <v>198.35</v>
      </c>
      <c r="O166" s="1" t="n">
        <v>2528</v>
      </c>
    </row>
    <row r="167" customFormat="false" ht="14.4" hidden="false" customHeight="false" outlineLevel="0" collapsed="false">
      <c r="A167" s="20" t="n">
        <v>25</v>
      </c>
      <c r="B167" s="21" t="n">
        <v>43266</v>
      </c>
      <c r="C167" s="22" t="n">
        <v>6024</v>
      </c>
      <c r="D167" s="22" t="n">
        <f aca="false">Table13[[#This Row],[Steps]]-C166</f>
        <v>-7237</v>
      </c>
      <c r="E167" s="23" t="n">
        <v>233.6</v>
      </c>
      <c r="F167" s="23" t="n">
        <f aca="false">Table13[[#This Row],[Colories]]-E166</f>
        <v>-280.1</v>
      </c>
      <c r="G167" s="6" t="n">
        <v>4.34</v>
      </c>
      <c r="H167" s="24" t="n">
        <f aca="false">Table13[[#This Row],[Distance]]-G166</f>
        <v>-5.21</v>
      </c>
      <c r="I167" s="22" t="n">
        <v>54</v>
      </c>
      <c r="J167" s="25" t="n">
        <f aca="false">Table13[[#This Row],[Time]]-I166</f>
        <v>-66</v>
      </c>
      <c r="K167" s="1" t="s">
        <v>32</v>
      </c>
      <c r="L167" s="1" t="n">
        <v>30</v>
      </c>
      <c r="M167" s="1" t="n">
        <v>31</v>
      </c>
      <c r="N167" s="1" t="n">
        <v>30</v>
      </c>
      <c r="O167" s="1" t="n">
        <v>30</v>
      </c>
    </row>
    <row r="168" customFormat="false" ht="14.4" hidden="false" customHeight="false" outlineLevel="0" collapsed="false">
      <c r="A168" s="20" t="n">
        <v>26</v>
      </c>
      <c r="B168" s="21" t="n">
        <v>43267</v>
      </c>
      <c r="C168" s="22" t="n">
        <v>6663</v>
      </c>
      <c r="D168" s="22" t="n">
        <f aca="false">Table13[[#This Row],[Steps]]-C167</f>
        <v>639</v>
      </c>
      <c r="E168" s="23" t="n">
        <v>255.5</v>
      </c>
      <c r="F168" s="23" t="n">
        <f aca="false">Table13[[#This Row],[Colories]]-E167</f>
        <v>21.9</v>
      </c>
      <c r="G168" s="6" t="n">
        <v>4.8</v>
      </c>
      <c r="H168" s="24" t="n">
        <f aca="false">Table13[[#This Row],[Distance]]-G167</f>
        <v>0.46</v>
      </c>
      <c r="I168" s="22" t="n">
        <v>58</v>
      </c>
      <c r="J168" s="25" t="n">
        <f aca="false">Table13[[#This Row],[Time]]-I167</f>
        <v>4</v>
      </c>
      <c r="K168" s="1" t="s">
        <v>34</v>
      </c>
      <c r="L168" s="1" t="n">
        <v>38632</v>
      </c>
      <c r="M168" s="1" t="n">
        <v>1529.1</v>
      </c>
      <c r="N168" s="1" t="n">
        <v>27.82</v>
      </c>
      <c r="O168" s="1" t="n">
        <v>382</v>
      </c>
    </row>
    <row r="169" customFormat="false" ht="14.4" hidden="false" customHeight="false" outlineLevel="0" collapsed="false">
      <c r="A169" s="20" t="n">
        <v>27</v>
      </c>
      <c r="B169" s="21" t="n">
        <v>43268</v>
      </c>
      <c r="C169" s="22" t="n">
        <v>7938</v>
      </c>
      <c r="D169" s="22" t="n">
        <f aca="false">Table13[[#This Row],[Steps]]-C168</f>
        <v>1275</v>
      </c>
      <c r="E169" s="23" t="n">
        <v>304.2</v>
      </c>
      <c r="F169" s="23" t="n">
        <f aca="false">Table13[[#This Row],[Colories]]-E168</f>
        <v>48.7</v>
      </c>
      <c r="G169" s="6" t="n">
        <v>5.72</v>
      </c>
      <c r="H169" s="24" t="n">
        <f aca="false">Table13[[#This Row],[Distance]]-G168</f>
        <v>0.92</v>
      </c>
      <c r="I169" s="22" t="n">
        <v>69</v>
      </c>
      <c r="J169" s="25" t="n">
        <f aca="false">Table13[[#This Row],[Time]]-I168</f>
        <v>11</v>
      </c>
      <c r="K169" s="1" t="s">
        <v>36</v>
      </c>
      <c r="L169" s="1" t="n">
        <v>859</v>
      </c>
      <c r="M169" s="1" t="n">
        <v>37.7</v>
      </c>
      <c r="N169" s="1" t="n">
        <v>0.62</v>
      </c>
      <c r="O169" s="1" t="n">
        <v>10</v>
      </c>
    </row>
    <row r="170" customFormat="false" ht="14.4" hidden="false" customHeight="false" outlineLevel="0" collapsed="false">
      <c r="A170" s="20" t="n">
        <v>28</v>
      </c>
      <c r="B170" s="21" t="n">
        <v>43269</v>
      </c>
      <c r="C170" s="22" t="n">
        <v>4325</v>
      </c>
      <c r="D170" s="22" t="n">
        <f aca="false">Table13[[#This Row],[Steps]]-C169</f>
        <v>-3613</v>
      </c>
      <c r="E170" s="23" t="n">
        <v>168.3</v>
      </c>
      <c r="F170" s="23" t="n">
        <f aca="false">Table13[[#This Row],[Colories]]-E169</f>
        <v>-135.9</v>
      </c>
      <c r="G170" s="6" t="n">
        <v>3.11</v>
      </c>
      <c r="H170" s="24" t="n">
        <f aca="false">Table13[[#This Row],[Distance]]-G169</f>
        <v>-2.61</v>
      </c>
      <c r="I170" s="22" t="n">
        <v>40</v>
      </c>
      <c r="J170" s="25" t="n">
        <f aca="false">Table13[[#This Row],[Time]]-I169</f>
        <v>-29</v>
      </c>
      <c r="K170" s="29" t="s">
        <v>158</v>
      </c>
      <c r="L170" s="29" t="n">
        <v>2527.5837811617</v>
      </c>
      <c r="M170" s="29" t="n">
        <v>96.8945949493261</v>
      </c>
      <c r="N170" s="29" t="n">
        <v>1.8211292863394</v>
      </c>
      <c r="O170" s="29" t="n">
        <v>24.7831143465531</v>
      </c>
    </row>
    <row r="171" customFormat="false" ht="14.4" hidden="false" customHeight="false" outlineLevel="0" collapsed="false">
      <c r="A171" s="20" t="n">
        <v>29</v>
      </c>
      <c r="B171" s="21" t="n">
        <v>43270</v>
      </c>
      <c r="C171" s="22" t="n">
        <v>12365</v>
      </c>
      <c r="D171" s="22" t="n">
        <f aca="false">Table13[[#This Row],[Steps]]-C170</f>
        <v>8040</v>
      </c>
      <c r="E171" s="23" t="n">
        <v>473.6</v>
      </c>
      <c r="F171" s="23" t="n">
        <f aca="false">Table13[[#This Row],[Colories]]-E170</f>
        <v>305.3</v>
      </c>
      <c r="G171" s="6" t="n">
        <v>8.9</v>
      </c>
      <c r="H171" s="24" t="n">
        <f aca="false">Table13[[#This Row],[Distance]]-G170</f>
        <v>5.79</v>
      </c>
      <c r="I171" s="22" t="n">
        <v>107</v>
      </c>
      <c r="J171" s="25" t="n">
        <f aca="false">Table13[[#This Row],[Time]]-I170</f>
        <v>67</v>
      </c>
    </row>
    <row r="172" customFormat="false" ht="14.4" hidden="false" customHeight="false" outlineLevel="0" collapsed="false">
      <c r="A172" s="20" t="n">
        <v>30</v>
      </c>
      <c r="B172" s="21" t="n">
        <v>43271</v>
      </c>
      <c r="C172" s="22" t="n">
        <v>15811</v>
      </c>
      <c r="D172" s="22" t="n">
        <f aca="false">Table13[[#This Row],[Steps]]-C171</f>
        <v>3446</v>
      </c>
      <c r="E172" s="23" t="n">
        <v>607.5</v>
      </c>
      <c r="F172" s="23" t="n">
        <f aca="false">Table13[[#This Row],[Colories]]-E171</f>
        <v>133.9</v>
      </c>
      <c r="G172" s="6" t="n">
        <v>11.38</v>
      </c>
      <c r="H172" s="24" t="n">
        <f aca="false">Table13[[#This Row],[Distance]]-G171</f>
        <v>2.48</v>
      </c>
      <c r="I172" s="22" t="n">
        <v>138</v>
      </c>
      <c r="J172" s="25" t="n">
        <f aca="false">Table13[[#This Row],[Time]]-I171</f>
        <v>31</v>
      </c>
    </row>
    <row r="173" customFormat="false" ht="14.4" hidden="false" customHeight="false" outlineLevel="0" collapsed="false">
      <c r="A173" s="20" t="n">
        <v>31</v>
      </c>
      <c r="B173" s="21" t="n">
        <v>43272</v>
      </c>
      <c r="C173" s="22" t="n">
        <v>5264</v>
      </c>
      <c r="D173" s="22" t="n">
        <f aca="false">Table13[[#This Row],[Steps]]-C172</f>
        <v>-10547</v>
      </c>
      <c r="E173" s="23" t="n">
        <v>205.1</v>
      </c>
      <c r="F173" s="23" t="n">
        <f aca="false">Table13[[#This Row],[Colories]]-E172</f>
        <v>-402.4</v>
      </c>
      <c r="G173" s="6" t="n">
        <v>3.79</v>
      </c>
      <c r="H173" s="24" t="n">
        <f aca="false">Table13[[#This Row],[Distance]]-G172</f>
        <v>-7.59</v>
      </c>
      <c r="I173" s="22" t="n">
        <v>48</v>
      </c>
      <c r="J173" s="25" t="n">
        <f aca="false">Table13[[#This Row],[Time]]-I172</f>
        <v>-90</v>
      </c>
    </row>
    <row r="174" customFormat="false" ht="14.4" hidden="false" customHeight="false" outlineLevel="0" collapsed="false">
      <c r="A174" s="20" t="n">
        <v>173</v>
      </c>
      <c r="B174" s="21" t="n">
        <v>43273</v>
      </c>
      <c r="C174" s="22" t="n">
        <v>6004</v>
      </c>
      <c r="D174" s="22" t="n">
        <f aca="false">Table13[[#This Row],[Steps]]-C173</f>
        <v>740</v>
      </c>
      <c r="E174" s="23" t="n">
        <v>232.9</v>
      </c>
      <c r="F174" s="23" t="n">
        <f aca="false">Table13[[#This Row],[Colories]]-E173</f>
        <v>27.8</v>
      </c>
      <c r="G174" s="6" t="n">
        <v>4.32</v>
      </c>
      <c r="H174" s="24" t="n">
        <f aca="false">Table13[[#This Row],[Distance]]-G173</f>
        <v>0.53</v>
      </c>
      <c r="I174" s="22" t="n">
        <v>55</v>
      </c>
      <c r="J174" s="25" t="n">
        <f aca="false">Table13[[#This Row],[Time]]-I173</f>
        <v>7</v>
      </c>
    </row>
    <row r="175" customFormat="false" ht="14.4" hidden="false" customHeight="false" outlineLevel="0" collapsed="false">
      <c r="A175" s="20" t="n">
        <v>174</v>
      </c>
      <c r="B175" s="21" t="n">
        <v>43274</v>
      </c>
      <c r="C175" s="22" t="n">
        <v>38632</v>
      </c>
      <c r="D175" s="22" t="n">
        <f aca="false">Table13[[#This Row],[Steps]]-C174</f>
        <v>32628</v>
      </c>
      <c r="E175" s="23" t="n">
        <v>1529.1</v>
      </c>
      <c r="F175" s="23" t="n">
        <f aca="false">Table13[[#This Row],[Colories]]-E174</f>
        <v>1296.2</v>
      </c>
      <c r="G175" s="6" t="n">
        <v>27.82</v>
      </c>
      <c r="H175" s="24" t="n">
        <f aca="false">Table13[[#This Row],[Distance]]-G174</f>
        <v>23.5</v>
      </c>
      <c r="I175" s="22" t="n">
        <v>382</v>
      </c>
      <c r="J175" s="25" t="n">
        <f aca="false">Table13[[#This Row],[Time]]-I174</f>
        <v>327</v>
      </c>
    </row>
    <row r="176" customFormat="false" ht="14.4" hidden="false" customHeight="false" outlineLevel="0" collapsed="false">
      <c r="A176" s="20" t="n">
        <v>175</v>
      </c>
      <c r="B176" s="21" t="n">
        <v>43275</v>
      </c>
      <c r="C176" s="22" t="n">
        <v>6320</v>
      </c>
      <c r="D176" s="22" t="n">
        <f aca="false">Table13[[#This Row],[Steps]]-C175</f>
        <v>-32312</v>
      </c>
      <c r="E176" s="23" t="n">
        <v>245.6</v>
      </c>
      <c r="F176" s="23" t="n">
        <f aca="false">Table13[[#This Row],[Colories]]-E175</f>
        <v>-1283.5</v>
      </c>
      <c r="G176" s="6" t="n">
        <v>4.55</v>
      </c>
      <c r="H176" s="24" t="n">
        <f aca="false">Table13[[#This Row],[Distance]]-G175</f>
        <v>-23.27</v>
      </c>
      <c r="I176" s="22" t="n">
        <v>58</v>
      </c>
      <c r="J176" s="25" t="n">
        <f aca="false">Table13[[#This Row],[Time]]-I175</f>
        <v>-324</v>
      </c>
    </row>
    <row r="177" customFormat="false" ht="14.4" hidden="false" customHeight="false" outlineLevel="0" collapsed="false">
      <c r="A177" s="20" t="n">
        <v>176</v>
      </c>
      <c r="B177" s="21" t="n">
        <v>43276</v>
      </c>
      <c r="C177" s="22" t="n">
        <v>8730</v>
      </c>
      <c r="D177" s="22" t="n">
        <f aca="false">Table13[[#This Row],[Steps]]-C176</f>
        <v>2410</v>
      </c>
      <c r="E177" s="23" t="n">
        <v>338.8</v>
      </c>
      <c r="F177" s="23" t="n">
        <f aca="false">Table13[[#This Row],[Colories]]-E176</f>
        <v>93.2</v>
      </c>
      <c r="G177" s="6" t="n">
        <v>6.29</v>
      </c>
      <c r="H177" s="24" t="n">
        <f aca="false">Table13[[#This Row],[Distance]]-G176</f>
        <v>1.74</v>
      </c>
      <c r="I177" s="22" t="n">
        <v>80</v>
      </c>
      <c r="J177" s="25" t="n">
        <f aca="false">Table13[[#This Row],[Time]]-I176</f>
        <v>22</v>
      </c>
    </row>
    <row r="178" customFormat="false" ht="14.4" hidden="false" customHeight="false" outlineLevel="0" collapsed="false">
      <c r="A178" s="20" t="n">
        <v>177</v>
      </c>
      <c r="B178" s="21" t="n">
        <v>43277</v>
      </c>
      <c r="C178" s="22" t="n">
        <v>11657</v>
      </c>
      <c r="D178" s="22" t="n">
        <f aca="false">Table13[[#This Row],[Steps]]-C177</f>
        <v>2927</v>
      </c>
      <c r="E178" s="23" t="n">
        <v>448.7</v>
      </c>
      <c r="F178" s="23" t="n">
        <f aca="false">Table13[[#This Row],[Colories]]-E177</f>
        <v>109.9</v>
      </c>
      <c r="G178" s="6" t="n">
        <v>8.39</v>
      </c>
      <c r="H178" s="24" t="n">
        <f aca="false">Table13[[#This Row],[Distance]]-G177</f>
        <v>2.1</v>
      </c>
      <c r="I178" s="22" t="n">
        <v>104</v>
      </c>
      <c r="J178" s="25" t="n">
        <f aca="false">Table13[[#This Row],[Time]]-I177</f>
        <v>24</v>
      </c>
    </row>
    <row r="179" customFormat="false" ht="14.4" hidden="false" customHeight="false" outlineLevel="0" collapsed="false">
      <c r="A179" s="20" t="n">
        <v>178</v>
      </c>
      <c r="B179" s="21" t="n">
        <v>43278</v>
      </c>
      <c r="C179" s="22" t="n">
        <v>13139</v>
      </c>
      <c r="D179" s="22" t="n">
        <f aca="false">Table13[[#This Row],[Steps]]-C178</f>
        <v>1482</v>
      </c>
      <c r="E179" s="23" t="n">
        <v>506.6</v>
      </c>
      <c r="F179" s="23" t="n">
        <f aca="false">Table13[[#This Row],[Colories]]-E178</f>
        <v>57.9</v>
      </c>
      <c r="G179" s="6" t="n">
        <v>9.5</v>
      </c>
      <c r="H179" s="24" t="n">
        <f aca="false">Table13[[#This Row],[Distance]]-G178</f>
        <v>1.11</v>
      </c>
      <c r="I179" s="22" t="n">
        <v>116</v>
      </c>
      <c r="J179" s="25" t="n">
        <f aca="false">Table13[[#This Row],[Time]]-I178</f>
        <v>12</v>
      </c>
    </row>
    <row r="180" customFormat="false" ht="14.4" hidden="false" customHeight="false" outlineLevel="0" collapsed="false">
      <c r="A180" s="20" t="n">
        <v>179</v>
      </c>
      <c r="B180" s="21" t="n">
        <v>43279</v>
      </c>
      <c r="C180" s="22" t="n">
        <v>5513</v>
      </c>
      <c r="D180" s="22" t="n">
        <f aca="false">Table13[[#This Row],[Steps]]-C179</f>
        <v>-7626</v>
      </c>
      <c r="E180" s="23" t="n">
        <v>211.4</v>
      </c>
      <c r="F180" s="23" t="n">
        <f aca="false">Table13[[#This Row],[Colories]]-E179</f>
        <v>-295.2</v>
      </c>
      <c r="G180" s="6" t="n">
        <v>3.97</v>
      </c>
      <c r="H180" s="24" t="n">
        <f aca="false">Table13[[#This Row],[Distance]]-G179</f>
        <v>-5.53</v>
      </c>
      <c r="I180" s="22" t="n">
        <v>47</v>
      </c>
      <c r="J180" s="25" t="n">
        <f aca="false">Table13[[#This Row],[Time]]-I179</f>
        <v>-69</v>
      </c>
    </row>
    <row r="181" customFormat="false" ht="14.4" hidden="false" customHeight="false" outlineLevel="0" collapsed="false">
      <c r="A181" s="20" t="n">
        <v>180</v>
      </c>
      <c r="B181" s="21" t="n">
        <v>43280</v>
      </c>
      <c r="C181" s="22" t="n">
        <v>10579</v>
      </c>
      <c r="D181" s="22" t="n">
        <f aca="false">Table13[[#This Row],[Steps]]-C180</f>
        <v>5066</v>
      </c>
      <c r="E181" s="23" t="n">
        <v>422.9</v>
      </c>
      <c r="F181" s="23" t="n">
        <f aca="false">Table13[[#This Row],[Colories]]-E180</f>
        <v>211.5</v>
      </c>
      <c r="G181" s="6" t="n">
        <v>7.62</v>
      </c>
      <c r="H181" s="24" t="n">
        <f aca="false">Table13[[#This Row],[Distance]]-G180</f>
        <v>3.65</v>
      </c>
      <c r="I181" s="22" t="n">
        <v>106</v>
      </c>
      <c r="J181" s="25" t="n">
        <f aca="false">Table13[[#This Row],[Time]]-I180</f>
        <v>59</v>
      </c>
    </row>
    <row r="182" customFormat="false" ht="14.4" hidden="false" customHeight="false" outlineLevel="0" collapsed="false">
      <c r="A182" s="20" t="n">
        <v>181</v>
      </c>
      <c r="B182" s="21" t="n">
        <v>43281</v>
      </c>
      <c r="C182" s="22" t="n">
        <v>859</v>
      </c>
      <c r="D182" s="22" t="n">
        <f aca="false">Table13[[#This Row],[Steps]]-C181</f>
        <v>-9720</v>
      </c>
      <c r="E182" s="23" t="n">
        <v>37.7</v>
      </c>
      <c r="F182" s="23" t="n">
        <f aca="false">Table13[[#This Row],[Colories]]-E181</f>
        <v>-385.2</v>
      </c>
      <c r="G182" s="6" t="n">
        <v>0.62</v>
      </c>
      <c r="H182" s="24" t="n">
        <f aca="false">Table13[[#This Row],[Distance]]-G181</f>
        <v>-7</v>
      </c>
      <c r="I182" s="22" t="n">
        <v>10</v>
      </c>
      <c r="J182" s="25" t="n">
        <f aca="false">Table13[[#This Row],[Time]]-I181</f>
        <v>-96</v>
      </c>
    </row>
    <row r="183" customFormat="false" ht="14.4" hidden="false" customHeight="false" outlineLevel="0" collapsed="false">
      <c r="A183" s="20" t="n">
        <v>182</v>
      </c>
      <c r="B183" s="21" t="n">
        <v>43282</v>
      </c>
      <c r="C183" s="22" t="n">
        <v>5017</v>
      </c>
      <c r="D183" s="22" t="n">
        <f aca="false">Table13[[#This Row],[Steps]]-C182</f>
        <v>4158</v>
      </c>
      <c r="E183" s="23" t="n">
        <v>200.9</v>
      </c>
      <c r="F183" s="23" t="n">
        <f aca="false">Table13[[#This Row],[Colories]]-E182</f>
        <v>163.2</v>
      </c>
      <c r="G183" s="6" t="n">
        <v>3.61</v>
      </c>
      <c r="H183" s="24" t="n">
        <f aca="false">Table13[[#This Row],[Distance]]-G182</f>
        <v>2.99</v>
      </c>
      <c r="I183" s="22" t="n">
        <v>50</v>
      </c>
      <c r="J183" s="25" t="n">
        <f aca="false">Table13[[#This Row],[Time]]-I182</f>
        <v>40</v>
      </c>
      <c r="K183" s="27" t="s">
        <v>188</v>
      </c>
      <c r="L183" s="27" t="s">
        <v>2</v>
      </c>
      <c r="M183" s="5" t="s">
        <v>179</v>
      </c>
      <c r="N183" s="6" t="s">
        <v>175</v>
      </c>
      <c r="O183" s="5" t="s">
        <v>177</v>
      </c>
    </row>
    <row r="184" customFormat="false" ht="14.4" hidden="false" customHeight="false" outlineLevel="0" collapsed="false">
      <c r="A184" s="20" t="n">
        <v>183</v>
      </c>
      <c r="B184" s="21" t="n">
        <v>43283</v>
      </c>
      <c r="C184" s="22" t="n">
        <v>18799</v>
      </c>
      <c r="D184" s="22" t="n">
        <f aca="false">Table13[[#This Row],[Steps]]-C183</f>
        <v>13782</v>
      </c>
      <c r="E184" s="23" t="n">
        <v>732.7</v>
      </c>
      <c r="F184" s="23" t="n">
        <f aca="false">Table13[[#This Row],[Colories]]-E183</f>
        <v>531.8</v>
      </c>
      <c r="G184" s="6" t="n">
        <v>13.54</v>
      </c>
      <c r="H184" s="24" t="n">
        <f aca="false">Table13[[#This Row],[Distance]]-G183</f>
        <v>9.93</v>
      </c>
      <c r="I184" s="22" t="n">
        <v>176</v>
      </c>
      <c r="J184" s="25" t="n">
        <f aca="false">Table13[[#This Row],[Time]]-I183</f>
        <v>126</v>
      </c>
    </row>
    <row r="185" customFormat="false" ht="14.4" hidden="false" customHeight="false" outlineLevel="0" collapsed="false">
      <c r="A185" s="20" t="n">
        <v>184</v>
      </c>
      <c r="B185" s="21" t="n">
        <v>43284</v>
      </c>
      <c r="C185" s="22" t="n">
        <v>9066</v>
      </c>
      <c r="D185" s="22" t="n">
        <f aca="false">Table13[[#This Row],[Steps]]-C184</f>
        <v>-9733</v>
      </c>
      <c r="E185" s="23" t="n">
        <v>348.2</v>
      </c>
      <c r="F185" s="23" t="n">
        <f aca="false">Table13[[#This Row],[Colories]]-E184</f>
        <v>-384.5</v>
      </c>
      <c r="G185" s="6" t="n">
        <v>6.53</v>
      </c>
      <c r="H185" s="24" t="n">
        <f aca="false">Table13[[#This Row],[Distance]]-G184</f>
        <v>-7.01</v>
      </c>
      <c r="I185" s="22" t="n">
        <v>79</v>
      </c>
      <c r="J185" s="25" t="n">
        <f aca="false">Table13[[#This Row],[Time]]-I184</f>
        <v>-97</v>
      </c>
      <c r="K185" s="1" t="s">
        <v>8</v>
      </c>
      <c r="L185" s="1" t="n">
        <v>7279.32258064516</v>
      </c>
      <c r="M185" s="1" t="n">
        <v>282.777419354839</v>
      </c>
      <c r="N185" s="1" t="n">
        <v>5.23290322580645</v>
      </c>
      <c r="O185" s="1" t="n">
        <v>66.741935483871</v>
      </c>
    </row>
    <row r="186" customFormat="false" ht="14.4" hidden="false" customHeight="false" outlineLevel="0" collapsed="false">
      <c r="A186" s="20" t="n">
        <v>185</v>
      </c>
      <c r="B186" s="21" t="n">
        <v>43285</v>
      </c>
      <c r="C186" s="22" t="n">
        <v>7509</v>
      </c>
      <c r="D186" s="22" t="n">
        <f aca="false">Table13[[#This Row],[Steps]]-C185</f>
        <v>-1557</v>
      </c>
      <c r="E186" s="23" t="n">
        <v>288.4</v>
      </c>
      <c r="F186" s="23" t="n">
        <f aca="false">Table13[[#This Row],[Colories]]-E185</f>
        <v>-59.8</v>
      </c>
      <c r="G186" s="6" t="n">
        <v>5.41</v>
      </c>
      <c r="H186" s="24" t="n">
        <f aca="false">Table13[[#This Row],[Distance]]-G185</f>
        <v>-1.12</v>
      </c>
      <c r="I186" s="22" t="n">
        <v>65</v>
      </c>
      <c r="J186" s="25" t="n">
        <f aca="false">Table13[[#This Row],[Time]]-I185</f>
        <v>-14</v>
      </c>
      <c r="K186" s="1" t="s">
        <v>10</v>
      </c>
      <c r="L186" s="1" t="n">
        <v>763.955643011019</v>
      </c>
      <c r="M186" s="1" t="n">
        <v>29.709756809346</v>
      </c>
      <c r="N186" s="1" t="n">
        <v>0.550341085546512</v>
      </c>
      <c r="O186" s="1" t="n">
        <v>7.13720642647071</v>
      </c>
    </row>
    <row r="187" customFormat="false" ht="14.4" hidden="false" customHeight="false" outlineLevel="0" collapsed="false">
      <c r="A187" s="20" t="n">
        <v>186</v>
      </c>
      <c r="B187" s="21" t="n">
        <v>43286</v>
      </c>
      <c r="C187" s="22" t="n">
        <v>9626</v>
      </c>
      <c r="D187" s="22" t="n">
        <f aca="false">Table13[[#This Row],[Steps]]-C186</f>
        <v>2117</v>
      </c>
      <c r="E187" s="23" t="n">
        <v>370</v>
      </c>
      <c r="F187" s="23" t="n">
        <f aca="false">Table13[[#This Row],[Colories]]-E186</f>
        <v>81.6</v>
      </c>
      <c r="G187" s="6" t="n">
        <v>6.93</v>
      </c>
      <c r="H187" s="24" t="n">
        <f aca="false">Table13[[#This Row],[Distance]]-G186</f>
        <v>1.52</v>
      </c>
      <c r="I187" s="22" t="n">
        <v>85</v>
      </c>
      <c r="J187" s="25" t="n">
        <f aca="false">Table13[[#This Row],[Time]]-I186</f>
        <v>20</v>
      </c>
      <c r="K187" s="1" t="s">
        <v>12</v>
      </c>
      <c r="L187" s="1" t="n">
        <v>7509</v>
      </c>
      <c r="M187" s="1" t="n">
        <v>288.4</v>
      </c>
      <c r="N187" s="1" t="n">
        <v>5.41</v>
      </c>
      <c r="O187" s="1" t="n">
        <v>68</v>
      </c>
    </row>
    <row r="188" customFormat="false" ht="14.4" hidden="false" customHeight="false" outlineLevel="0" collapsed="false">
      <c r="A188" s="20" t="n">
        <v>187</v>
      </c>
      <c r="B188" s="21" t="n">
        <v>43287</v>
      </c>
      <c r="C188" s="22" t="n">
        <v>5216</v>
      </c>
      <c r="D188" s="22" t="n">
        <f aca="false">Table13[[#This Row],[Steps]]-C187</f>
        <v>-4410</v>
      </c>
      <c r="E188" s="23" t="n">
        <v>205</v>
      </c>
      <c r="F188" s="23" t="n">
        <f aca="false">Table13[[#This Row],[Colories]]-E187</f>
        <v>-165</v>
      </c>
      <c r="G188" s="6" t="n">
        <v>3.76</v>
      </c>
      <c r="H188" s="24" t="n">
        <f aca="false">Table13[[#This Row],[Distance]]-G187</f>
        <v>-3.17</v>
      </c>
      <c r="I188" s="22" t="n">
        <v>49</v>
      </c>
      <c r="J188" s="25" t="n">
        <f aca="false">Table13[[#This Row],[Time]]-I187</f>
        <v>-36</v>
      </c>
      <c r="K188" s="1" t="s">
        <v>14</v>
      </c>
      <c r="L188" s="1" t="e">
        <f aca="false">#N/A</f>
        <v>#N/A</v>
      </c>
      <c r="M188" s="1" t="e">
        <f aca="false">#N/A</f>
        <v>#N/A</v>
      </c>
      <c r="N188" s="1" t="e">
        <f aca="false">#N/A</f>
        <v>#N/A</v>
      </c>
      <c r="O188" s="1" t="n">
        <v>79</v>
      </c>
    </row>
    <row r="189" customFormat="false" ht="14.4" hidden="false" customHeight="false" outlineLevel="0" collapsed="false">
      <c r="A189" s="20" t="n">
        <v>188</v>
      </c>
      <c r="B189" s="21" t="n">
        <v>43288</v>
      </c>
      <c r="C189" s="22" t="n">
        <v>8965</v>
      </c>
      <c r="D189" s="22" t="n">
        <f aca="false">Table13[[#This Row],[Steps]]-C188</f>
        <v>3749</v>
      </c>
      <c r="E189" s="23" t="n">
        <v>352.6</v>
      </c>
      <c r="F189" s="23" t="n">
        <f aca="false">Table13[[#This Row],[Colories]]-E188</f>
        <v>147.6</v>
      </c>
      <c r="G189" s="6" t="n">
        <v>6.45</v>
      </c>
      <c r="H189" s="24" t="n">
        <f aca="false">Table13[[#This Row],[Distance]]-G188</f>
        <v>2.69</v>
      </c>
      <c r="I189" s="22" t="n">
        <v>87</v>
      </c>
      <c r="J189" s="25" t="n">
        <f aca="false">Table13[[#This Row],[Time]]-I188</f>
        <v>38</v>
      </c>
      <c r="K189" s="1" t="s">
        <v>16</v>
      </c>
      <c r="L189" s="1" t="n">
        <v>4253.52500393965</v>
      </c>
      <c r="M189" s="1" t="n">
        <v>165.416925191423</v>
      </c>
      <c r="N189" s="1" t="n">
        <v>3.06416948350706</v>
      </c>
      <c r="O189" s="1" t="n">
        <v>39.738283591465</v>
      </c>
    </row>
    <row r="190" customFormat="false" ht="14.4" hidden="false" customHeight="false" outlineLevel="0" collapsed="false">
      <c r="A190" s="20" t="n">
        <v>189</v>
      </c>
      <c r="B190" s="21" t="n">
        <v>43289</v>
      </c>
      <c r="C190" s="22" t="n">
        <v>248</v>
      </c>
      <c r="D190" s="22" t="n">
        <f aca="false">Table13[[#This Row],[Steps]]-C189</f>
        <v>-8717</v>
      </c>
      <c r="E190" s="23" t="n">
        <v>10.6</v>
      </c>
      <c r="F190" s="23" t="n">
        <f aca="false">Table13[[#This Row],[Colories]]-E189</f>
        <v>-342</v>
      </c>
      <c r="G190" s="6" t="n">
        <v>0.18</v>
      </c>
      <c r="H190" s="24" t="n">
        <f aca="false">Table13[[#This Row],[Distance]]-G189</f>
        <v>-6.27</v>
      </c>
      <c r="I190" s="22" t="n">
        <v>2</v>
      </c>
      <c r="J190" s="25" t="n">
        <f aca="false">Table13[[#This Row],[Time]]-I189</f>
        <v>-85</v>
      </c>
      <c r="K190" s="1" t="s">
        <v>18</v>
      </c>
      <c r="L190" s="1" t="n">
        <v>18092474.9591398</v>
      </c>
      <c r="M190" s="1" t="n">
        <v>27362.7591397849</v>
      </c>
      <c r="N190" s="1" t="n">
        <v>9.38913462365592</v>
      </c>
      <c r="O190" s="1" t="n">
        <v>1579.1311827957</v>
      </c>
    </row>
    <row r="191" customFormat="false" ht="14.4" hidden="false" customHeight="false" outlineLevel="0" collapsed="false">
      <c r="A191" s="20" t="n">
        <v>190</v>
      </c>
      <c r="B191" s="21" t="n">
        <v>43290</v>
      </c>
      <c r="C191" s="22" t="n">
        <v>10262</v>
      </c>
      <c r="D191" s="22" t="n">
        <f aca="false">Table13[[#This Row],[Steps]]-C190</f>
        <v>10014</v>
      </c>
      <c r="E191" s="23" t="n">
        <v>399.1</v>
      </c>
      <c r="F191" s="23" t="n">
        <f aca="false">Table13[[#This Row],[Colories]]-E190</f>
        <v>388.5</v>
      </c>
      <c r="G191" s="6" t="n">
        <v>7.39</v>
      </c>
      <c r="H191" s="24" t="n">
        <f aca="false">Table13[[#This Row],[Distance]]-G190</f>
        <v>7.21</v>
      </c>
      <c r="I191" s="22" t="n">
        <v>95</v>
      </c>
      <c r="J191" s="25" t="n">
        <f aca="false">Table13[[#This Row],[Time]]-I190</f>
        <v>93</v>
      </c>
      <c r="K191" s="1" t="s">
        <v>20</v>
      </c>
      <c r="L191" s="1" t="n">
        <v>0.51179251671457</v>
      </c>
      <c r="M191" s="1" t="n">
        <v>0.538517567554011</v>
      </c>
      <c r="N191" s="1" t="n">
        <v>0.51124614516912</v>
      </c>
      <c r="O191" s="1" t="n">
        <v>0.590593475327245</v>
      </c>
    </row>
    <row r="192" customFormat="false" ht="14.4" hidden="false" customHeight="false" outlineLevel="0" collapsed="false">
      <c r="A192" s="20" t="n">
        <v>191</v>
      </c>
      <c r="B192" s="21" t="n">
        <v>43291</v>
      </c>
      <c r="C192" s="22" t="n">
        <v>12819</v>
      </c>
      <c r="D192" s="22" t="n">
        <f aca="false">Table13[[#This Row],[Steps]]-C191</f>
        <v>2557</v>
      </c>
      <c r="E192" s="23" t="n">
        <v>500.1</v>
      </c>
      <c r="F192" s="23" t="n">
        <f aca="false">Table13[[#This Row],[Colories]]-E191</f>
        <v>101</v>
      </c>
      <c r="G192" s="6" t="n">
        <v>9.23</v>
      </c>
      <c r="H192" s="24" t="n">
        <f aca="false">Table13[[#This Row],[Distance]]-G191</f>
        <v>1.84</v>
      </c>
      <c r="I192" s="22" t="n">
        <v>120</v>
      </c>
      <c r="J192" s="25" t="n">
        <f aca="false">Table13[[#This Row],[Time]]-I191</f>
        <v>25</v>
      </c>
      <c r="K192" s="1" t="s">
        <v>22</v>
      </c>
      <c r="L192" s="1" t="n">
        <v>0.323738915244268</v>
      </c>
      <c r="M192" s="1" t="n">
        <v>0.336192339820525</v>
      </c>
      <c r="N192" s="1" t="n">
        <v>0.332523029624078</v>
      </c>
      <c r="O192" s="1" t="n">
        <v>0.378654144326717</v>
      </c>
    </row>
    <row r="193" customFormat="false" ht="14.4" hidden="false" customHeight="false" outlineLevel="0" collapsed="false">
      <c r="A193" s="20" t="n">
        <v>192</v>
      </c>
      <c r="B193" s="21" t="n">
        <v>43292</v>
      </c>
      <c r="C193" s="22" t="n">
        <v>3842</v>
      </c>
      <c r="D193" s="22" t="n">
        <f aca="false">Table13[[#This Row],[Steps]]-C192</f>
        <v>-8977</v>
      </c>
      <c r="E193" s="23" t="n">
        <v>148.2</v>
      </c>
      <c r="F193" s="23" t="n">
        <f aca="false">Table13[[#This Row],[Colories]]-E192</f>
        <v>-351.9</v>
      </c>
      <c r="G193" s="6" t="n">
        <v>2.77</v>
      </c>
      <c r="H193" s="24" t="n">
        <f aca="false">Table13[[#This Row],[Distance]]-G192</f>
        <v>-6.46</v>
      </c>
      <c r="I193" s="22" t="n">
        <v>34</v>
      </c>
      <c r="J193" s="25" t="n">
        <f aca="false">Table13[[#This Row],[Time]]-I192</f>
        <v>-86</v>
      </c>
      <c r="K193" s="1" t="s">
        <v>24</v>
      </c>
      <c r="L193" s="1" t="n">
        <v>18735</v>
      </c>
      <c r="M193" s="1" t="n">
        <v>730</v>
      </c>
      <c r="N193" s="1" t="n">
        <v>13.49</v>
      </c>
      <c r="O193" s="1" t="n">
        <v>176</v>
      </c>
    </row>
    <row r="194" customFormat="false" ht="14.4" hidden="false" customHeight="false" outlineLevel="0" collapsed="false">
      <c r="A194" s="20" t="n">
        <v>193</v>
      </c>
      <c r="B194" s="21" t="n">
        <v>43293</v>
      </c>
      <c r="C194" s="22" t="n">
        <v>4075</v>
      </c>
      <c r="D194" s="22" t="n">
        <f aca="false">Table13[[#This Row],[Steps]]-C193</f>
        <v>233</v>
      </c>
      <c r="E194" s="23" t="n">
        <v>155.7</v>
      </c>
      <c r="F194" s="23" t="n">
        <f aca="false">Table13[[#This Row],[Colories]]-E193</f>
        <v>7.5</v>
      </c>
      <c r="G194" s="6" t="n">
        <v>2.93</v>
      </c>
      <c r="H194" s="24" t="n">
        <f aca="false">Table13[[#This Row],[Distance]]-G193</f>
        <v>0.16</v>
      </c>
      <c r="I194" s="22" t="n">
        <v>34</v>
      </c>
      <c r="J194" s="25" t="n">
        <f aca="false">Table13[[#This Row],[Time]]-I193</f>
        <v>0</v>
      </c>
      <c r="K194" s="1" t="s">
        <v>26</v>
      </c>
      <c r="L194" s="1" t="n">
        <v>64</v>
      </c>
      <c r="M194" s="1" t="n">
        <v>2.7</v>
      </c>
      <c r="N194" s="1" t="n">
        <v>0.05</v>
      </c>
      <c r="O194" s="1" t="n">
        <v>0</v>
      </c>
    </row>
    <row r="195" customFormat="false" ht="14.4" hidden="false" customHeight="false" outlineLevel="0" collapsed="false">
      <c r="A195" s="20" t="n">
        <v>194</v>
      </c>
      <c r="B195" s="21" t="n">
        <v>43294</v>
      </c>
      <c r="C195" s="22" t="n">
        <v>10836</v>
      </c>
      <c r="D195" s="22" t="n">
        <f aca="false">Table13[[#This Row],[Steps]]-C194</f>
        <v>6761</v>
      </c>
      <c r="E195" s="23" t="n">
        <v>420.9</v>
      </c>
      <c r="F195" s="23" t="n">
        <f aca="false">Table13[[#This Row],[Colories]]-E194</f>
        <v>265.2</v>
      </c>
      <c r="G195" s="6" t="n">
        <v>7.8</v>
      </c>
      <c r="H195" s="24" t="n">
        <f aca="false">Table13[[#This Row],[Distance]]-G194</f>
        <v>4.87</v>
      </c>
      <c r="I195" s="22" t="n">
        <v>100</v>
      </c>
      <c r="J195" s="25" t="n">
        <f aca="false">Table13[[#This Row],[Time]]-I194</f>
        <v>66</v>
      </c>
      <c r="K195" s="1" t="s">
        <v>28</v>
      </c>
      <c r="L195" s="1" t="n">
        <v>18799</v>
      </c>
      <c r="M195" s="1" t="n">
        <v>732.7</v>
      </c>
      <c r="N195" s="1" t="n">
        <v>13.54</v>
      </c>
      <c r="O195" s="1" t="n">
        <v>176</v>
      </c>
    </row>
    <row r="196" customFormat="false" ht="14.4" hidden="false" customHeight="false" outlineLevel="0" collapsed="false">
      <c r="A196" s="20" t="n">
        <v>195</v>
      </c>
      <c r="B196" s="21" t="n">
        <v>43295</v>
      </c>
      <c r="C196" s="22" t="n">
        <v>7288</v>
      </c>
      <c r="D196" s="22" t="n">
        <f aca="false">Table13[[#This Row],[Steps]]-C195</f>
        <v>-3548</v>
      </c>
      <c r="E196" s="23" t="n">
        <v>284.2</v>
      </c>
      <c r="F196" s="23" t="n">
        <f aca="false">Table13[[#This Row],[Colories]]-E195</f>
        <v>-136.7</v>
      </c>
      <c r="G196" s="6" t="n">
        <v>5.25</v>
      </c>
      <c r="H196" s="24" t="n">
        <f aca="false">Table13[[#This Row],[Distance]]-G195</f>
        <v>-2.55</v>
      </c>
      <c r="I196" s="22" t="n">
        <v>68</v>
      </c>
      <c r="J196" s="25" t="n">
        <f aca="false">Table13[[#This Row],[Time]]-I195</f>
        <v>-32</v>
      </c>
      <c r="K196" s="1" t="s">
        <v>30</v>
      </c>
      <c r="L196" s="1" t="n">
        <v>225659</v>
      </c>
      <c r="M196" s="1" t="n">
        <v>8766.1</v>
      </c>
      <c r="N196" s="1" t="n">
        <v>162.22</v>
      </c>
      <c r="O196" s="1" t="n">
        <v>2069</v>
      </c>
    </row>
    <row r="197" customFormat="false" ht="14.4" hidden="false" customHeight="false" outlineLevel="0" collapsed="false">
      <c r="A197" s="20" t="n">
        <v>196</v>
      </c>
      <c r="B197" s="21" t="n">
        <v>43296</v>
      </c>
      <c r="C197" s="22" t="n">
        <v>64</v>
      </c>
      <c r="D197" s="22" t="n">
        <f aca="false">Table13[[#This Row],[Steps]]-C196</f>
        <v>-7224</v>
      </c>
      <c r="E197" s="23" t="n">
        <v>2.7</v>
      </c>
      <c r="F197" s="23" t="n">
        <f aca="false">Table13[[#This Row],[Colories]]-E196</f>
        <v>-281.5</v>
      </c>
      <c r="G197" s="6" t="n">
        <v>0.05</v>
      </c>
      <c r="H197" s="24" t="n">
        <f aca="false">Table13[[#This Row],[Distance]]-G196</f>
        <v>-5.2</v>
      </c>
      <c r="I197" s="22" t="n">
        <v>0</v>
      </c>
      <c r="J197" s="25" t="n">
        <f aca="false">Table13[[#This Row],[Time]]-I196</f>
        <v>-68</v>
      </c>
      <c r="K197" s="1" t="s">
        <v>32</v>
      </c>
      <c r="L197" s="1" t="n">
        <v>31</v>
      </c>
      <c r="M197" s="1" t="n">
        <v>31</v>
      </c>
      <c r="N197" s="1" t="n">
        <v>31</v>
      </c>
      <c r="O197" s="1" t="n">
        <v>31</v>
      </c>
    </row>
    <row r="198" customFormat="false" ht="14.4" hidden="false" customHeight="false" outlineLevel="0" collapsed="false">
      <c r="A198" s="20" t="n">
        <v>197</v>
      </c>
      <c r="B198" s="21" t="n">
        <v>43297</v>
      </c>
      <c r="C198" s="22" t="n">
        <v>8379</v>
      </c>
      <c r="D198" s="22" t="n">
        <f aca="false">Table13[[#This Row],[Steps]]-C197</f>
        <v>8315</v>
      </c>
      <c r="E198" s="23" t="n">
        <v>323.6</v>
      </c>
      <c r="F198" s="23" t="n">
        <f aca="false">Table13[[#This Row],[Colories]]-E197</f>
        <v>320.9</v>
      </c>
      <c r="G198" s="6" t="n">
        <v>6.03</v>
      </c>
      <c r="H198" s="24" t="n">
        <f aca="false">Table13[[#This Row],[Distance]]-G197</f>
        <v>5.98</v>
      </c>
      <c r="I198" s="22" t="n">
        <v>76</v>
      </c>
      <c r="J198" s="25" t="n">
        <f aca="false">Table13[[#This Row],[Time]]-I197</f>
        <v>76</v>
      </c>
      <c r="K198" s="1" t="s">
        <v>34</v>
      </c>
      <c r="L198" s="1" t="n">
        <v>18799</v>
      </c>
      <c r="M198" s="1" t="n">
        <v>732.7</v>
      </c>
      <c r="N198" s="1" t="n">
        <v>13.54</v>
      </c>
      <c r="O198" s="1" t="n">
        <v>176</v>
      </c>
    </row>
    <row r="199" customFormat="false" ht="14.4" hidden="false" customHeight="false" outlineLevel="0" collapsed="false">
      <c r="A199" s="20" t="n">
        <v>198</v>
      </c>
      <c r="B199" s="21" t="n">
        <v>43298</v>
      </c>
      <c r="C199" s="22" t="n">
        <v>4316</v>
      </c>
      <c r="D199" s="22" t="n">
        <f aca="false">Table13[[#This Row],[Steps]]-C198</f>
        <v>-4063</v>
      </c>
      <c r="E199" s="23" t="n">
        <v>165.8</v>
      </c>
      <c r="F199" s="23" t="n">
        <f aca="false">Table13[[#This Row],[Colories]]-E198</f>
        <v>-157.8</v>
      </c>
      <c r="G199" s="6" t="n">
        <v>3.11</v>
      </c>
      <c r="H199" s="24" t="n">
        <f aca="false">Table13[[#This Row],[Distance]]-G198</f>
        <v>-2.92</v>
      </c>
      <c r="I199" s="22" t="n">
        <v>38</v>
      </c>
      <c r="J199" s="25" t="n">
        <f aca="false">Table13[[#This Row],[Time]]-I198</f>
        <v>-38</v>
      </c>
      <c r="K199" s="1" t="s">
        <v>36</v>
      </c>
      <c r="L199" s="1" t="n">
        <v>64</v>
      </c>
      <c r="M199" s="1" t="n">
        <v>2.7</v>
      </c>
      <c r="N199" s="1" t="n">
        <v>0.05</v>
      </c>
      <c r="O199" s="1" t="n">
        <v>0</v>
      </c>
    </row>
    <row r="200" customFormat="false" ht="14.4" hidden="false" customHeight="false" outlineLevel="0" collapsed="false">
      <c r="A200" s="20" t="n">
        <v>199</v>
      </c>
      <c r="B200" s="21" t="n">
        <v>43299</v>
      </c>
      <c r="C200" s="22" t="n">
        <v>12046</v>
      </c>
      <c r="D200" s="22" t="n">
        <f aca="false">Table13[[#This Row],[Steps]]-C199</f>
        <v>7730</v>
      </c>
      <c r="E200" s="23" t="n">
        <v>466</v>
      </c>
      <c r="F200" s="23" t="n">
        <f aca="false">Table13[[#This Row],[Colories]]-E199</f>
        <v>300.2</v>
      </c>
      <c r="G200" s="6" t="n">
        <v>8.67</v>
      </c>
      <c r="H200" s="24" t="n">
        <f aca="false">Table13[[#This Row],[Distance]]-G199</f>
        <v>5.56</v>
      </c>
      <c r="I200" s="22" t="n">
        <v>109</v>
      </c>
      <c r="J200" s="25" t="n">
        <f aca="false">Table13[[#This Row],[Time]]-I199</f>
        <v>71</v>
      </c>
      <c r="K200" s="29" t="s">
        <v>158</v>
      </c>
      <c r="L200" s="29" t="n">
        <v>1560.20556755731</v>
      </c>
      <c r="M200" s="29" t="n">
        <v>60.6754180151355</v>
      </c>
      <c r="N200" s="29" t="n">
        <v>1.12394644058257</v>
      </c>
      <c r="O200" s="29" t="n">
        <v>14.5761200997173</v>
      </c>
    </row>
    <row r="201" customFormat="false" ht="14.4" hidden="false" customHeight="false" outlineLevel="0" collapsed="false">
      <c r="A201" s="20" t="n">
        <v>200</v>
      </c>
      <c r="B201" s="21" t="n">
        <v>43300</v>
      </c>
      <c r="C201" s="22" t="n">
        <v>7948</v>
      </c>
      <c r="D201" s="22" t="n">
        <f aca="false">Table13[[#This Row],[Steps]]-C200</f>
        <v>-4098</v>
      </c>
      <c r="E201" s="23" t="n">
        <v>305.6</v>
      </c>
      <c r="F201" s="23" t="n">
        <f aca="false">Table13[[#This Row],[Colories]]-E200</f>
        <v>-160.4</v>
      </c>
      <c r="G201" s="6" t="n">
        <v>5.72</v>
      </c>
      <c r="H201" s="24" t="n">
        <f aca="false">Table13[[#This Row],[Distance]]-G200</f>
        <v>-2.95</v>
      </c>
      <c r="I201" s="22" t="n">
        <v>70</v>
      </c>
      <c r="J201" s="25" t="n">
        <f aca="false">Table13[[#This Row],[Time]]-I200</f>
        <v>-39</v>
      </c>
    </row>
    <row r="202" customFormat="false" ht="14.4" hidden="false" customHeight="false" outlineLevel="0" collapsed="false">
      <c r="A202" s="20" t="n">
        <v>201</v>
      </c>
      <c r="B202" s="21" t="n">
        <v>43301</v>
      </c>
      <c r="C202" s="22" t="n">
        <v>8656</v>
      </c>
      <c r="D202" s="22" t="n">
        <f aca="false">Table13[[#This Row],[Steps]]-C201</f>
        <v>708</v>
      </c>
      <c r="E202" s="23" t="n">
        <v>335.1</v>
      </c>
      <c r="F202" s="23" t="n">
        <f aca="false">Table13[[#This Row],[Colories]]-E201</f>
        <v>29.5</v>
      </c>
      <c r="G202" s="6" t="n">
        <v>6.23</v>
      </c>
      <c r="H202" s="24" t="n">
        <f aca="false">Table13[[#This Row],[Distance]]-G201</f>
        <v>0.510000000000001</v>
      </c>
      <c r="I202" s="22" t="n">
        <v>79</v>
      </c>
      <c r="J202" s="25" t="n">
        <f aca="false">Table13[[#This Row],[Time]]-I201</f>
        <v>9</v>
      </c>
    </row>
    <row r="203" customFormat="false" ht="14.4" hidden="false" customHeight="false" outlineLevel="0" collapsed="false">
      <c r="A203" s="20" t="n">
        <v>202</v>
      </c>
      <c r="B203" s="21" t="n">
        <v>43302</v>
      </c>
      <c r="C203" s="22" t="n">
        <v>2455</v>
      </c>
      <c r="D203" s="22" t="n">
        <f aca="false">Table13[[#This Row],[Steps]]-C202</f>
        <v>-6201</v>
      </c>
      <c r="E203" s="23" t="n">
        <v>94.3</v>
      </c>
      <c r="F203" s="23" t="n">
        <f aca="false">Table13[[#This Row],[Colories]]-E202</f>
        <v>-240.8</v>
      </c>
      <c r="G203" s="6" t="n">
        <v>1.77</v>
      </c>
      <c r="H203" s="24" t="n">
        <f aca="false">Table13[[#This Row],[Distance]]-G202</f>
        <v>-4.46</v>
      </c>
      <c r="I203" s="22" t="n">
        <v>21</v>
      </c>
      <c r="J203" s="25" t="n">
        <f aca="false">Table13[[#This Row],[Time]]-I202</f>
        <v>-58</v>
      </c>
    </row>
    <row r="204" customFormat="false" ht="14.4" hidden="false" customHeight="false" outlineLevel="0" collapsed="false">
      <c r="A204" s="20" t="n">
        <v>203</v>
      </c>
      <c r="B204" s="21" t="n">
        <v>43303</v>
      </c>
      <c r="C204" s="22" t="n">
        <v>169</v>
      </c>
      <c r="D204" s="22" t="n">
        <f aca="false">Table13[[#This Row],[Steps]]-C203</f>
        <v>-2286</v>
      </c>
      <c r="E204" s="23" t="n">
        <v>7.3</v>
      </c>
      <c r="F204" s="23" t="n">
        <f aca="false">Table13[[#This Row],[Colories]]-E203</f>
        <v>-87</v>
      </c>
      <c r="G204" s="6" t="n">
        <v>0.12</v>
      </c>
      <c r="H204" s="24" t="n">
        <f aca="false">Table13[[#This Row],[Distance]]-G203</f>
        <v>-1.65</v>
      </c>
      <c r="I204" s="22" t="n">
        <v>2</v>
      </c>
      <c r="J204" s="25" t="n">
        <f aca="false">Table13[[#This Row],[Time]]-I203</f>
        <v>-19</v>
      </c>
    </row>
    <row r="205" customFormat="false" ht="14.4" hidden="false" customHeight="false" outlineLevel="0" collapsed="false">
      <c r="A205" s="20" t="n">
        <v>204</v>
      </c>
      <c r="B205" s="21" t="n">
        <v>43304</v>
      </c>
      <c r="C205" s="22" t="n">
        <v>11305</v>
      </c>
      <c r="D205" s="22" t="n">
        <f aca="false">Table13[[#This Row],[Steps]]-C204</f>
        <v>11136</v>
      </c>
      <c r="E205" s="23" t="n">
        <v>441</v>
      </c>
      <c r="F205" s="23" t="n">
        <f aca="false">Table13[[#This Row],[Colories]]-E204</f>
        <v>433.7</v>
      </c>
      <c r="G205" s="6" t="n">
        <v>8.14</v>
      </c>
      <c r="H205" s="24" t="n">
        <f aca="false">Table13[[#This Row],[Distance]]-G204</f>
        <v>8.02</v>
      </c>
      <c r="I205" s="22" t="n">
        <v>106</v>
      </c>
      <c r="J205" s="25" t="n">
        <f aca="false">Table13[[#This Row],[Time]]-I204</f>
        <v>104</v>
      </c>
    </row>
    <row r="206" customFormat="false" ht="14.4" hidden="false" customHeight="false" outlineLevel="0" collapsed="false">
      <c r="A206" s="20" t="n">
        <v>205</v>
      </c>
      <c r="B206" s="21" t="n">
        <v>43305</v>
      </c>
      <c r="C206" s="22" t="n">
        <v>9299</v>
      </c>
      <c r="D206" s="22" t="n">
        <f aca="false">Table13[[#This Row],[Steps]]-C205</f>
        <v>-2006</v>
      </c>
      <c r="E206" s="23" t="n">
        <v>367.3</v>
      </c>
      <c r="F206" s="23" t="n">
        <f aca="false">Table13[[#This Row],[Colories]]-E205</f>
        <v>-73.7</v>
      </c>
      <c r="G206" s="6" t="n">
        <v>6.7</v>
      </c>
      <c r="H206" s="24" t="n">
        <f aca="false">Table13[[#This Row],[Distance]]-G205</f>
        <v>-1.44</v>
      </c>
      <c r="I206" s="22" t="n">
        <v>91</v>
      </c>
      <c r="J206" s="25" t="n">
        <f aca="false">Table13[[#This Row],[Time]]-I205</f>
        <v>-15</v>
      </c>
    </row>
    <row r="207" customFormat="false" ht="14.4" hidden="false" customHeight="false" outlineLevel="0" collapsed="false">
      <c r="A207" s="20" t="n">
        <v>206</v>
      </c>
      <c r="B207" s="21" t="n">
        <v>43306</v>
      </c>
      <c r="C207" s="22" t="n">
        <v>1672</v>
      </c>
      <c r="D207" s="22" t="n">
        <f aca="false">Table13[[#This Row],[Steps]]-C206</f>
        <v>-7627</v>
      </c>
      <c r="E207" s="23" t="n">
        <v>64.6</v>
      </c>
      <c r="F207" s="23" t="n">
        <f aca="false">Table13[[#This Row],[Colories]]-E206</f>
        <v>-302.7</v>
      </c>
      <c r="G207" s="6" t="n">
        <v>1.2</v>
      </c>
      <c r="H207" s="24" t="n">
        <f aca="false">Table13[[#This Row],[Distance]]-G206</f>
        <v>-5.5</v>
      </c>
      <c r="I207" s="22" t="n">
        <v>15</v>
      </c>
      <c r="J207" s="25" t="n">
        <f aca="false">Table13[[#This Row],[Time]]-I206</f>
        <v>-76</v>
      </c>
    </row>
    <row r="208" customFormat="false" ht="14.4" hidden="false" customHeight="false" outlineLevel="0" collapsed="false">
      <c r="A208" s="20" t="n">
        <v>207</v>
      </c>
      <c r="B208" s="21" t="n">
        <v>43307</v>
      </c>
      <c r="C208" s="22" t="n">
        <v>5559</v>
      </c>
      <c r="D208" s="22" t="n">
        <f aca="false">Table13[[#This Row],[Steps]]-C207</f>
        <v>3887</v>
      </c>
      <c r="E208" s="23" t="n">
        <v>214</v>
      </c>
      <c r="F208" s="23" t="n">
        <f aca="false">Table13[[#This Row],[Colories]]-E207</f>
        <v>149.4</v>
      </c>
      <c r="G208" s="6" t="n">
        <v>4</v>
      </c>
      <c r="H208" s="24" t="n">
        <f aca="false">Table13[[#This Row],[Distance]]-G207</f>
        <v>2.8</v>
      </c>
      <c r="I208" s="22" t="n">
        <v>49</v>
      </c>
      <c r="J208" s="25" t="n">
        <f aca="false">Table13[[#This Row],[Time]]-I207</f>
        <v>34</v>
      </c>
    </row>
    <row r="209" customFormat="false" ht="14.4" hidden="false" customHeight="false" outlineLevel="0" collapsed="false">
      <c r="A209" s="20" t="n">
        <v>208</v>
      </c>
      <c r="B209" s="21" t="n">
        <v>43308</v>
      </c>
      <c r="C209" s="22" t="n">
        <v>6601</v>
      </c>
      <c r="D209" s="22" t="n">
        <f aca="false">Table13[[#This Row],[Steps]]-C208</f>
        <v>1042</v>
      </c>
      <c r="E209" s="23" t="n">
        <v>260.3</v>
      </c>
      <c r="F209" s="23" t="n">
        <f aca="false">Table13[[#This Row],[Colories]]-E208</f>
        <v>46.3</v>
      </c>
      <c r="G209" s="6" t="n">
        <v>4.5</v>
      </c>
      <c r="H209" s="24" t="n">
        <f aca="false">Table13[[#This Row],[Distance]]-G208</f>
        <v>0.5</v>
      </c>
      <c r="I209" s="22" t="n">
        <v>63</v>
      </c>
      <c r="J209" s="25" t="n">
        <f aca="false">Table13[[#This Row],[Time]]-I208</f>
        <v>14</v>
      </c>
    </row>
    <row r="210" customFormat="false" ht="14.4" hidden="false" customHeight="false" outlineLevel="0" collapsed="false">
      <c r="A210" s="20" t="n">
        <v>209</v>
      </c>
      <c r="B210" s="21" t="n">
        <v>43309</v>
      </c>
      <c r="C210" s="22" t="n">
        <v>4280</v>
      </c>
      <c r="D210" s="22" t="n">
        <f aca="false">Table13[[#This Row],[Steps]]-C209</f>
        <v>-2321</v>
      </c>
      <c r="E210" s="23" t="n">
        <v>166.3</v>
      </c>
      <c r="F210" s="23" t="n">
        <f aca="false">Table13[[#This Row],[Colories]]-E209</f>
        <v>-94</v>
      </c>
      <c r="G210" s="6" t="n">
        <v>3.08</v>
      </c>
      <c r="H210" s="24" t="n">
        <f aca="false">Table13[[#This Row],[Distance]]-G209</f>
        <v>-1.42</v>
      </c>
      <c r="I210" s="22" t="n">
        <v>39</v>
      </c>
      <c r="J210" s="25" t="n">
        <f aca="false">Table13[[#This Row],[Time]]-I209</f>
        <v>-24</v>
      </c>
    </row>
    <row r="211" customFormat="false" ht="14.4" hidden="false" customHeight="false" outlineLevel="0" collapsed="false">
      <c r="A211" s="20" t="n">
        <v>210</v>
      </c>
      <c r="B211" s="21" t="n">
        <v>43310</v>
      </c>
      <c r="C211" s="22" t="n">
        <v>7335</v>
      </c>
      <c r="D211" s="22" t="n">
        <f aca="false">Table13[[#This Row],[Steps]]-C210</f>
        <v>3055</v>
      </c>
      <c r="E211" s="23" t="n">
        <v>283.7</v>
      </c>
      <c r="F211" s="23" t="n">
        <f aca="false">Table13[[#This Row],[Colories]]-E210</f>
        <v>117.4</v>
      </c>
      <c r="G211" s="6" t="n">
        <v>5.28</v>
      </c>
      <c r="H211" s="24" t="n">
        <f aca="false">Table13[[#This Row],[Distance]]-G210</f>
        <v>2.2</v>
      </c>
      <c r="I211" s="22" t="n">
        <v>67</v>
      </c>
      <c r="J211" s="25" t="n">
        <f aca="false">Table13[[#This Row],[Time]]-I210</f>
        <v>28</v>
      </c>
    </row>
    <row r="212" customFormat="false" ht="14.4" hidden="false" customHeight="false" outlineLevel="0" collapsed="false">
      <c r="A212" s="20" t="n">
        <v>211</v>
      </c>
      <c r="B212" s="21" t="n">
        <v>43311</v>
      </c>
      <c r="C212" s="22" t="n">
        <v>13505</v>
      </c>
      <c r="D212" s="22" t="n">
        <f aca="false">Table13[[#This Row],[Steps]]-C211</f>
        <v>6170</v>
      </c>
      <c r="E212" s="23" t="n">
        <v>523.7</v>
      </c>
      <c r="F212" s="23" t="n">
        <f aca="false">Table13[[#This Row],[Colories]]-E211</f>
        <v>240</v>
      </c>
      <c r="G212" s="6" t="n">
        <v>9.72</v>
      </c>
      <c r="H212" s="24" t="n">
        <f aca="false">Table13[[#This Row],[Distance]]-G211</f>
        <v>4.44</v>
      </c>
      <c r="I212" s="22" t="n">
        <v>124</v>
      </c>
      <c r="J212" s="25" t="n">
        <f aca="false">Table13[[#This Row],[Time]]-I211</f>
        <v>57</v>
      </c>
    </row>
    <row r="213" customFormat="false" ht="14.4" hidden="false" customHeight="false" outlineLevel="0" collapsed="false">
      <c r="A213" s="20" t="n">
        <v>212</v>
      </c>
      <c r="B213" s="21" t="n">
        <v>43312</v>
      </c>
      <c r="C213" s="22" t="n">
        <v>8502</v>
      </c>
      <c r="D213" s="22" t="n">
        <f aca="false">Table13[[#This Row],[Steps]]-C212</f>
        <v>-5003</v>
      </c>
      <c r="E213" s="23" t="n">
        <v>328.2</v>
      </c>
      <c r="F213" s="23" t="n">
        <f aca="false">Table13[[#This Row],[Colories]]-E212</f>
        <v>-195.5</v>
      </c>
      <c r="G213" s="6" t="n">
        <v>6.12</v>
      </c>
      <c r="H213" s="24" t="n">
        <f aca="false">Table13[[#This Row],[Distance]]-G212</f>
        <v>-3.6</v>
      </c>
      <c r="I213" s="22" t="n">
        <v>76</v>
      </c>
      <c r="J213" s="25" t="n">
        <f aca="false">Table13[[#This Row],[Time]]-I212</f>
        <v>-48</v>
      </c>
    </row>
    <row r="214" customFormat="false" ht="14.4" hidden="false" customHeight="false" outlineLevel="0" collapsed="false">
      <c r="A214" s="20" t="n">
        <v>213</v>
      </c>
      <c r="B214" s="21" t="n">
        <v>43313</v>
      </c>
      <c r="C214" s="22" t="n">
        <v>14018</v>
      </c>
      <c r="D214" s="22" t="n">
        <f aca="false">Table13[[#This Row],[Steps]]-C213</f>
        <v>5516</v>
      </c>
      <c r="E214" s="23" t="n">
        <v>541.1</v>
      </c>
      <c r="F214" s="23" t="n">
        <f aca="false">Table13[[#This Row],[Colories]]-E213</f>
        <v>212.9</v>
      </c>
      <c r="G214" s="6" t="n">
        <v>10.09</v>
      </c>
      <c r="H214" s="24" t="n">
        <f aca="false">Table13[[#This Row],[Distance]]-G213</f>
        <v>3.97</v>
      </c>
      <c r="I214" s="22" t="n">
        <v>126</v>
      </c>
      <c r="J214" s="25" t="n">
        <f aca="false">Table13[[#This Row],[Time]]-I213</f>
        <v>50</v>
      </c>
      <c r="K214" s="27" t="s">
        <v>189</v>
      </c>
      <c r="L214" s="27" t="s">
        <v>2</v>
      </c>
      <c r="M214" s="5" t="s">
        <v>179</v>
      </c>
      <c r="N214" s="6" t="s">
        <v>175</v>
      </c>
      <c r="O214" s="5" t="s">
        <v>177</v>
      </c>
    </row>
    <row r="215" customFormat="false" ht="14.4" hidden="false" customHeight="false" outlineLevel="0" collapsed="false">
      <c r="A215" s="20" t="n">
        <v>214</v>
      </c>
      <c r="B215" s="21" t="n">
        <v>43314</v>
      </c>
      <c r="C215" s="22" t="n">
        <v>8062</v>
      </c>
      <c r="D215" s="22" t="n">
        <f aca="false">Table13[[#This Row],[Steps]]-C214</f>
        <v>-5956</v>
      </c>
      <c r="E215" s="23" t="n">
        <v>311</v>
      </c>
      <c r="F215" s="23" t="n">
        <f aca="false">Table13[[#This Row],[Colories]]-E214</f>
        <v>-230.1</v>
      </c>
      <c r="G215" s="6" t="n">
        <v>5.8</v>
      </c>
      <c r="H215" s="24" t="n">
        <f aca="false">Table13[[#This Row],[Distance]]-G214</f>
        <v>-4.29</v>
      </c>
      <c r="I215" s="22" t="n">
        <v>72</v>
      </c>
      <c r="J215" s="25" t="n">
        <f aca="false">Table13[[#This Row],[Time]]-I214</f>
        <v>-54</v>
      </c>
    </row>
    <row r="216" customFormat="false" ht="14.4" hidden="false" customHeight="false" outlineLevel="0" collapsed="false">
      <c r="A216" s="20" t="n">
        <v>215</v>
      </c>
      <c r="B216" s="21" t="n">
        <v>43315</v>
      </c>
      <c r="C216" s="22" t="n">
        <v>12001</v>
      </c>
      <c r="D216" s="22" t="n">
        <f aca="false">Table13[[#This Row],[Steps]]-C215</f>
        <v>3939</v>
      </c>
      <c r="E216" s="23" t="n">
        <v>462.2</v>
      </c>
      <c r="F216" s="23" t="n">
        <f aca="false">Table13[[#This Row],[Colories]]-E215</f>
        <v>151.2</v>
      </c>
      <c r="G216" s="6" t="n">
        <v>8.64</v>
      </c>
      <c r="H216" s="24" t="n">
        <f aca="false">Table13[[#This Row],[Distance]]-G215</f>
        <v>2.84</v>
      </c>
      <c r="I216" s="22" t="n">
        <v>107</v>
      </c>
      <c r="J216" s="25" t="n">
        <f aca="false">Table13[[#This Row],[Time]]-I215</f>
        <v>35</v>
      </c>
      <c r="K216" s="1" t="s">
        <v>8</v>
      </c>
      <c r="L216" s="1" t="n">
        <v>11522.5666666667</v>
      </c>
      <c r="M216" s="1" t="n">
        <v>448.466666666667</v>
      </c>
      <c r="N216" s="1" t="n">
        <v>8.29566666666667</v>
      </c>
      <c r="O216" s="1" t="n">
        <v>106.666666666667</v>
      </c>
    </row>
    <row r="217" customFormat="false" ht="14.4" hidden="false" customHeight="false" outlineLevel="0" collapsed="false">
      <c r="A217" s="20" t="n">
        <v>216</v>
      </c>
      <c r="B217" s="21" t="n">
        <v>43316</v>
      </c>
      <c r="C217" s="22" t="n">
        <v>5681</v>
      </c>
      <c r="D217" s="22" t="n">
        <f aca="false">Table13[[#This Row],[Steps]]-C216</f>
        <v>-6320</v>
      </c>
      <c r="E217" s="23" t="n">
        <v>219.2</v>
      </c>
      <c r="F217" s="23" t="n">
        <f aca="false">Table13[[#This Row],[Colories]]-E216</f>
        <v>-243</v>
      </c>
      <c r="G217" s="6" t="n">
        <v>4.09</v>
      </c>
      <c r="H217" s="24" t="n">
        <f aca="false">Table13[[#This Row],[Distance]]-G216</f>
        <v>-4.55</v>
      </c>
      <c r="I217" s="22" t="n">
        <v>51</v>
      </c>
      <c r="J217" s="25" t="n">
        <f aca="false">Table13[[#This Row],[Time]]-I216</f>
        <v>-56</v>
      </c>
      <c r="K217" s="1" t="s">
        <v>10</v>
      </c>
      <c r="L217" s="1" t="n">
        <v>802.376418218663</v>
      </c>
      <c r="M217" s="1" t="n">
        <v>31.3412175211624</v>
      </c>
      <c r="N217" s="1" t="n">
        <v>0.577892859523392</v>
      </c>
      <c r="O217" s="1" t="n">
        <v>7.60540239526284</v>
      </c>
    </row>
    <row r="218" customFormat="false" ht="14.4" hidden="false" customHeight="false" outlineLevel="0" collapsed="false">
      <c r="A218" s="20" t="n">
        <v>217</v>
      </c>
      <c r="B218" s="21" t="n">
        <v>43317</v>
      </c>
      <c r="C218" s="22" t="n">
        <v>22444</v>
      </c>
      <c r="D218" s="22" t="n">
        <f aca="false">Table13[[#This Row],[Steps]]-C217</f>
        <v>16763</v>
      </c>
      <c r="E218" s="23" t="n">
        <v>885.1</v>
      </c>
      <c r="F218" s="23" t="n">
        <f aca="false">Table13[[#This Row],[Colories]]-E217</f>
        <v>665.9</v>
      </c>
      <c r="G218" s="6" t="n">
        <v>16.16</v>
      </c>
      <c r="H218" s="24" t="n">
        <f aca="false">Table13[[#This Row],[Distance]]-G217</f>
        <v>12.07</v>
      </c>
      <c r="I218" s="22" t="n">
        <v>219</v>
      </c>
      <c r="J218" s="25" t="n">
        <f aca="false">Table13[[#This Row],[Time]]-I217</f>
        <v>168</v>
      </c>
      <c r="K218" s="1" t="s">
        <v>12</v>
      </c>
      <c r="L218" s="1" t="n">
        <v>11650</v>
      </c>
      <c r="M218" s="1" t="n">
        <v>453.35</v>
      </c>
      <c r="N218" s="1" t="n">
        <v>8.385</v>
      </c>
      <c r="O218" s="1" t="n">
        <v>107</v>
      </c>
    </row>
    <row r="219" customFormat="false" ht="14.4" hidden="false" customHeight="false" outlineLevel="0" collapsed="false">
      <c r="A219" s="20" t="n">
        <v>218</v>
      </c>
      <c r="B219" s="21" t="n">
        <v>43318</v>
      </c>
      <c r="C219" s="22" t="n">
        <v>12882</v>
      </c>
      <c r="D219" s="22" t="n">
        <f aca="false">Table13[[#This Row],[Steps]]-C218</f>
        <v>-9562</v>
      </c>
      <c r="E219" s="23" t="n">
        <v>499.1</v>
      </c>
      <c r="F219" s="23" t="n">
        <f aca="false">Table13[[#This Row],[Colories]]-E218</f>
        <v>-386</v>
      </c>
      <c r="G219" s="6" t="n">
        <v>9.28</v>
      </c>
      <c r="H219" s="24" t="n">
        <f aca="false">Table13[[#This Row],[Distance]]-G218</f>
        <v>-6.88</v>
      </c>
      <c r="I219" s="22" t="n">
        <v>115</v>
      </c>
      <c r="J219" s="25" t="n">
        <f aca="false">Table13[[#This Row],[Time]]-I218</f>
        <v>-104</v>
      </c>
      <c r="K219" s="1" t="s">
        <v>14</v>
      </c>
      <c r="L219" s="1" t="e">
        <f aca="false">#N/A</f>
        <v>#N/A</v>
      </c>
      <c r="M219" s="1" t="e">
        <f aca="false">#N/A</f>
        <v>#N/A</v>
      </c>
      <c r="N219" s="1" t="e">
        <f aca="false">#N/A</f>
        <v>#N/A</v>
      </c>
      <c r="O219" s="1" t="n">
        <v>72</v>
      </c>
    </row>
    <row r="220" customFormat="false" ht="14.4" hidden="false" customHeight="false" outlineLevel="0" collapsed="false">
      <c r="A220" s="20" t="n">
        <v>219</v>
      </c>
      <c r="B220" s="21" t="n">
        <v>43319</v>
      </c>
      <c r="C220" s="22" t="n">
        <v>12159</v>
      </c>
      <c r="D220" s="22" t="n">
        <f aca="false">Table13[[#This Row],[Steps]]-C219</f>
        <v>-723</v>
      </c>
      <c r="E220" s="23" t="n">
        <v>474.3</v>
      </c>
      <c r="F220" s="23" t="n">
        <f aca="false">Table13[[#This Row],[Colories]]-E219</f>
        <v>-24.8</v>
      </c>
      <c r="G220" s="6" t="n">
        <v>8.75</v>
      </c>
      <c r="H220" s="24" t="n">
        <f aca="false">Table13[[#This Row],[Distance]]-G219</f>
        <v>-0.529999999999999</v>
      </c>
      <c r="I220" s="22" t="n">
        <v>113</v>
      </c>
      <c r="J220" s="25" t="n">
        <f aca="false">Table13[[#This Row],[Time]]-I219</f>
        <v>-2</v>
      </c>
      <c r="K220" s="1" t="s">
        <v>16</v>
      </c>
      <c r="L220" s="1" t="n">
        <v>4394.79663868561</v>
      </c>
      <c r="M220" s="1" t="n">
        <v>171.662918160168</v>
      </c>
      <c r="N220" s="1" t="n">
        <v>3.16524954982126</v>
      </c>
      <c r="O220" s="1" t="n">
        <v>41.6565045078928</v>
      </c>
    </row>
    <row r="221" customFormat="false" ht="14.4" hidden="false" customHeight="false" outlineLevel="0" collapsed="false">
      <c r="A221" s="20" t="n">
        <v>220</v>
      </c>
      <c r="B221" s="21" t="n">
        <v>43320</v>
      </c>
      <c r="C221" s="22" t="n">
        <v>7666</v>
      </c>
      <c r="D221" s="22" t="n">
        <f aca="false">Table13[[#This Row],[Steps]]-C220</f>
        <v>-4493</v>
      </c>
      <c r="E221" s="23" t="n">
        <v>295.9</v>
      </c>
      <c r="F221" s="23" t="n">
        <f aca="false">Table13[[#This Row],[Colories]]-E220</f>
        <v>-178.4</v>
      </c>
      <c r="G221" s="6" t="n">
        <v>5.52</v>
      </c>
      <c r="H221" s="24" t="n">
        <f aca="false">Table13[[#This Row],[Distance]]-G220</f>
        <v>-3.23</v>
      </c>
      <c r="I221" s="22" t="n">
        <v>69</v>
      </c>
      <c r="J221" s="25" t="n">
        <f aca="false">Table13[[#This Row],[Time]]-I220</f>
        <v>-44</v>
      </c>
      <c r="K221" s="1" t="s">
        <v>18</v>
      </c>
      <c r="L221" s="1" t="n">
        <v>19314237.4954023</v>
      </c>
      <c r="M221" s="1" t="n">
        <v>29468.1574712644</v>
      </c>
      <c r="N221" s="1" t="n">
        <v>10.0188047126437</v>
      </c>
      <c r="O221" s="1" t="n">
        <v>1735.26436781609</v>
      </c>
    </row>
    <row r="222" customFormat="false" ht="14.4" hidden="false" customHeight="false" outlineLevel="0" collapsed="false">
      <c r="A222" s="20" t="n">
        <v>221</v>
      </c>
      <c r="B222" s="21" t="n">
        <v>43321</v>
      </c>
      <c r="C222" s="22" t="n">
        <v>13747</v>
      </c>
      <c r="D222" s="22" t="n">
        <f aca="false">Table13[[#This Row],[Steps]]-C221</f>
        <v>6081</v>
      </c>
      <c r="E222" s="23" t="n">
        <v>532.6</v>
      </c>
      <c r="F222" s="23" t="n">
        <f aca="false">Table13[[#This Row],[Colories]]-E221</f>
        <v>236.7</v>
      </c>
      <c r="G222" s="6" t="n">
        <v>9.9</v>
      </c>
      <c r="H222" s="24" t="n">
        <f aca="false">Table13[[#This Row],[Distance]]-G221</f>
        <v>4.38</v>
      </c>
      <c r="I222" s="22" t="n">
        <v>125</v>
      </c>
      <c r="J222" s="25" t="n">
        <f aca="false">Table13[[#This Row],[Time]]-I221</f>
        <v>56</v>
      </c>
      <c r="K222" s="1" t="s">
        <v>20</v>
      </c>
      <c r="L222" s="1" t="n">
        <v>0.663797812385259</v>
      </c>
      <c r="M222" s="1" t="n">
        <v>0.807915336352059</v>
      </c>
      <c r="N222" s="1" t="n">
        <v>0.663128319832649</v>
      </c>
      <c r="O222" s="1" t="n">
        <v>1.22590773208539</v>
      </c>
    </row>
    <row r="223" customFormat="false" ht="14.4" hidden="false" customHeight="false" outlineLevel="0" collapsed="false">
      <c r="A223" s="20" t="n">
        <v>222</v>
      </c>
      <c r="B223" s="21" t="n">
        <v>43322</v>
      </c>
      <c r="C223" s="22" t="n">
        <v>11818</v>
      </c>
      <c r="D223" s="22" t="n">
        <f aca="false">Table13[[#This Row],[Steps]]-C222</f>
        <v>-1929</v>
      </c>
      <c r="E223" s="23" t="n">
        <v>459.6</v>
      </c>
      <c r="F223" s="23" t="n">
        <f aca="false">Table13[[#This Row],[Colories]]-E222</f>
        <v>-73</v>
      </c>
      <c r="G223" s="6" t="n">
        <v>8.51</v>
      </c>
      <c r="H223" s="24" t="n">
        <f aca="false">Table13[[#This Row],[Distance]]-G222</f>
        <v>-1.39</v>
      </c>
      <c r="I223" s="22" t="n">
        <v>110</v>
      </c>
      <c r="J223" s="25" t="n">
        <f aca="false">Table13[[#This Row],[Time]]-I222</f>
        <v>-15</v>
      </c>
      <c r="K223" s="1" t="s">
        <v>22</v>
      </c>
      <c r="L223" s="1" t="n">
        <v>0.929100546580877</v>
      </c>
      <c r="M223" s="1" t="n">
        <v>0.971494761072123</v>
      </c>
      <c r="N223" s="1" t="n">
        <v>0.929055510507109</v>
      </c>
      <c r="O223" s="1" t="n">
        <v>1.0922325932359</v>
      </c>
    </row>
    <row r="224" customFormat="false" ht="14.4" hidden="false" customHeight="false" outlineLevel="0" collapsed="false">
      <c r="A224" s="20" t="n">
        <v>223</v>
      </c>
      <c r="B224" s="21" t="n">
        <v>43323</v>
      </c>
      <c r="C224" s="22" t="n">
        <v>14056</v>
      </c>
      <c r="D224" s="22" t="n">
        <f aca="false">Table13[[#This Row],[Steps]]-C223</f>
        <v>2238</v>
      </c>
      <c r="E224" s="23" t="n">
        <v>546</v>
      </c>
      <c r="F224" s="23" t="n">
        <f aca="false">Table13[[#This Row],[Colories]]-E223</f>
        <v>86.4</v>
      </c>
      <c r="G224" s="6" t="n">
        <v>10.12</v>
      </c>
      <c r="H224" s="24" t="n">
        <f aca="false">Table13[[#This Row],[Distance]]-G223</f>
        <v>1.61</v>
      </c>
      <c r="I224" s="22" t="n">
        <v>128</v>
      </c>
      <c r="J224" s="25" t="n">
        <f aca="false">Table13[[#This Row],[Time]]-I223</f>
        <v>18</v>
      </c>
      <c r="K224" s="1" t="s">
        <v>24</v>
      </c>
      <c r="L224" s="1" t="n">
        <v>16763</v>
      </c>
      <c r="M224" s="1" t="n">
        <v>665.9</v>
      </c>
      <c r="N224" s="1" t="n">
        <v>12.07</v>
      </c>
      <c r="O224" s="1" t="n">
        <v>168</v>
      </c>
    </row>
    <row r="225" customFormat="false" ht="14.4" hidden="false" customHeight="false" outlineLevel="0" collapsed="false">
      <c r="A225" s="20" t="n">
        <v>224</v>
      </c>
      <c r="B225" s="21" t="n">
        <v>43324</v>
      </c>
      <c r="C225" s="22" t="n">
        <v>9417</v>
      </c>
      <c r="D225" s="22" t="n">
        <f aca="false">Table13[[#This Row],[Steps]]-C224</f>
        <v>-4639</v>
      </c>
      <c r="E225" s="23" t="n">
        <v>377.3</v>
      </c>
      <c r="F225" s="23" t="n">
        <f aca="false">Table13[[#This Row],[Colories]]-E224</f>
        <v>-168.7</v>
      </c>
      <c r="G225" s="6" t="n">
        <v>6.78</v>
      </c>
      <c r="H225" s="24" t="n">
        <f aca="false">Table13[[#This Row],[Distance]]-G224</f>
        <v>-3.34</v>
      </c>
      <c r="I225" s="22" t="n">
        <v>96</v>
      </c>
      <c r="J225" s="25" t="n">
        <f aca="false">Table13[[#This Row],[Time]]-I224</f>
        <v>-32</v>
      </c>
      <c r="K225" s="1" t="s">
        <v>26</v>
      </c>
      <c r="L225" s="1" t="n">
        <v>5681</v>
      </c>
      <c r="M225" s="1" t="n">
        <v>219.2</v>
      </c>
      <c r="N225" s="1" t="n">
        <v>4.09</v>
      </c>
      <c r="O225" s="1" t="n">
        <v>51</v>
      </c>
    </row>
    <row r="226" customFormat="false" ht="14.4" hidden="false" customHeight="false" outlineLevel="0" collapsed="false">
      <c r="A226" s="20" t="n">
        <v>225</v>
      </c>
      <c r="B226" s="21" t="n">
        <v>43325</v>
      </c>
      <c r="C226" s="22" t="n">
        <v>12472</v>
      </c>
      <c r="D226" s="22" t="n">
        <f aca="false">Table13[[#This Row],[Steps]]-C225</f>
        <v>3055</v>
      </c>
      <c r="E226" s="23" t="n">
        <v>481.8</v>
      </c>
      <c r="F226" s="23" t="n">
        <f aca="false">Table13[[#This Row],[Colories]]-E225</f>
        <v>104.5</v>
      </c>
      <c r="G226" s="6" t="n">
        <v>8.98</v>
      </c>
      <c r="H226" s="24" t="n">
        <f aca="false">Table13[[#This Row],[Distance]]-G225</f>
        <v>2.2</v>
      </c>
      <c r="I226" s="22" t="n">
        <v>113</v>
      </c>
      <c r="J226" s="25" t="n">
        <f aca="false">Table13[[#This Row],[Time]]-I225</f>
        <v>17</v>
      </c>
      <c r="K226" s="1" t="s">
        <v>28</v>
      </c>
      <c r="L226" s="1" t="n">
        <v>22444</v>
      </c>
      <c r="M226" s="1" t="n">
        <v>885.1</v>
      </c>
      <c r="N226" s="1" t="n">
        <v>16.16</v>
      </c>
      <c r="O226" s="1" t="n">
        <v>219</v>
      </c>
    </row>
    <row r="227" customFormat="false" ht="14.4" hidden="false" customHeight="false" outlineLevel="0" collapsed="false">
      <c r="A227" s="20" t="n">
        <v>226</v>
      </c>
      <c r="B227" s="21" t="n">
        <v>43326</v>
      </c>
      <c r="C227" s="22" t="n">
        <v>16728</v>
      </c>
      <c r="D227" s="22" t="n">
        <f aca="false">Table13[[#This Row],[Steps]]-C226</f>
        <v>4256</v>
      </c>
      <c r="E227" s="23" t="n">
        <v>647.8</v>
      </c>
      <c r="F227" s="23" t="n">
        <f aca="false">Table13[[#This Row],[Colories]]-E226</f>
        <v>166</v>
      </c>
      <c r="G227" s="6" t="n">
        <v>12.04</v>
      </c>
      <c r="H227" s="24" t="n">
        <f aca="false">Table13[[#This Row],[Distance]]-G226</f>
        <v>3.06</v>
      </c>
      <c r="I227" s="22" t="n">
        <v>153</v>
      </c>
      <c r="J227" s="25" t="n">
        <f aca="false">Table13[[#This Row],[Time]]-I226</f>
        <v>40</v>
      </c>
      <c r="K227" s="1" t="s">
        <v>30</v>
      </c>
      <c r="L227" s="1" t="n">
        <v>345677</v>
      </c>
      <c r="M227" s="1" t="n">
        <v>13454</v>
      </c>
      <c r="N227" s="1" t="n">
        <v>248.87</v>
      </c>
      <c r="O227" s="1" t="n">
        <v>3200</v>
      </c>
    </row>
    <row r="228" customFormat="false" ht="14.4" hidden="false" customHeight="false" outlineLevel="0" collapsed="false">
      <c r="A228" s="20" t="n">
        <v>227</v>
      </c>
      <c r="B228" s="21" t="n">
        <v>43327</v>
      </c>
      <c r="C228" s="22" t="n">
        <v>19803</v>
      </c>
      <c r="D228" s="22" t="n">
        <f aca="false">Table13[[#This Row],[Steps]]-C227</f>
        <v>3075</v>
      </c>
      <c r="E228" s="23" t="n">
        <v>769.9</v>
      </c>
      <c r="F228" s="23" t="n">
        <f aca="false">Table13[[#This Row],[Colories]]-E227</f>
        <v>122.1</v>
      </c>
      <c r="G228" s="6" t="n">
        <v>14.26</v>
      </c>
      <c r="H228" s="24" t="n">
        <f aca="false">Table13[[#This Row],[Distance]]-G227</f>
        <v>2.22</v>
      </c>
      <c r="I228" s="22" t="n">
        <v>183</v>
      </c>
      <c r="J228" s="25" t="n">
        <f aca="false">Table13[[#This Row],[Time]]-I227</f>
        <v>30</v>
      </c>
      <c r="K228" s="1" t="s">
        <v>32</v>
      </c>
      <c r="L228" s="1" t="n">
        <v>30</v>
      </c>
      <c r="M228" s="1" t="n">
        <v>30</v>
      </c>
      <c r="N228" s="1" t="n">
        <v>30</v>
      </c>
      <c r="O228" s="1" t="n">
        <v>30</v>
      </c>
    </row>
    <row r="229" customFormat="false" ht="14.4" hidden="false" customHeight="false" outlineLevel="0" collapsed="false">
      <c r="A229" s="20" t="n">
        <v>228</v>
      </c>
      <c r="B229" s="21" t="n">
        <v>43328</v>
      </c>
      <c r="C229" s="22" t="n">
        <v>7992</v>
      </c>
      <c r="D229" s="22" t="n">
        <f aca="false">Table13[[#This Row],[Steps]]-C228</f>
        <v>-11811</v>
      </c>
      <c r="E229" s="23" t="n">
        <v>309.2</v>
      </c>
      <c r="F229" s="23" t="n">
        <f aca="false">Table13[[#This Row],[Colories]]-E228</f>
        <v>-460.7</v>
      </c>
      <c r="G229" s="6" t="n">
        <v>5.75</v>
      </c>
      <c r="H229" s="24" t="n">
        <f aca="false">Table13[[#This Row],[Distance]]-G228</f>
        <v>-8.51</v>
      </c>
      <c r="I229" s="22" t="n">
        <v>72</v>
      </c>
      <c r="J229" s="25" t="n">
        <f aca="false">Table13[[#This Row],[Time]]-I228</f>
        <v>-111</v>
      </c>
      <c r="K229" s="1" t="s">
        <v>34</v>
      </c>
      <c r="L229" s="1" t="n">
        <v>22444</v>
      </c>
      <c r="M229" s="1" t="n">
        <v>885.1</v>
      </c>
      <c r="N229" s="1" t="n">
        <v>16.16</v>
      </c>
      <c r="O229" s="1" t="n">
        <v>219</v>
      </c>
    </row>
    <row r="230" customFormat="false" ht="14.4" hidden="false" customHeight="false" outlineLevel="0" collapsed="false">
      <c r="A230" s="20" t="n">
        <v>229</v>
      </c>
      <c r="B230" s="21" t="n">
        <v>43329</v>
      </c>
      <c r="C230" s="22" t="n">
        <v>21648</v>
      </c>
      <c r="D230" s="22" t="n">
        <f aca="false">Table13[[#This Row],[Steps]]-C229</f>
        <v>13656</v>
      </c>
      <c r="E230" s="23" t="n">
        <v>845.7</v>
      </c>
      <c r="F230" s="23" t="n">
        <f aca="false">Table13[[#This Row],[Colories]]-E229</f>
        <v>536.5</v>
      </c>
      <c r="G230" s="6" t="n">
        <v>15.59</v>
      </c>
      <c r="H230" s="24" t="n">
        <f aca="false">Table13[[#This Row],[Distance]]-G229</f>
        <v>9.84</v>
      </c>
      <c r="I230" s="22" t="n">
        <v>204</v>
      </c>
      <c r="J230" s="25" t="n">
        <f aca="false">Table13[[#This Row],[Time]]-I229</f>
        <v>132</v>
      </c>
      <c r="K230" s="1" t="s">
        <v>36</v>
      </c>
      <c r="L230" s="1" t="n">
        <v>5681</v>
      </c>
      <c r="M230" s="1" t="n">
        <v>219.2</v>
      </c>
      <c r="N230" s="1" t="n">
        <v>4.09</v>
      </c>
      <c r="O230" s="1" t="n">
        <v>51</v>
      </c>
    </row>
    <row r="231" customFormat="false" ht="14.4" hidden="false" customHeight="false" outlineLevel="0" collapsed="false">
      <c r="A231" s="20" t="n">
        <v>230</v>
      </c>
      <c r="B231" s="21" t="n">
        <v>43330</v>
      </c>
      <c r="C231" s="22" t="n">
        <v>6094</v>
      </c>
      <c r="D231" s="22" t="n">
        <f aca="false">Table13[[#This Row],[Steps]]-C230</f>
        <v>-15554</v>
      </c>
      <c r="E231" s="23" t="n">
        <v>242.6</v>
      </c>
      <c r="F231" s="23" t="n">
        <f aca="false">Table13[[#This Row],[Colories]]-E230</f>
        <v>-603.1</v>
      </c>
      <c r="G231" s="6" t="n">
        <v>4.39</v>
      </c>
      <c r="H231" s="24" t="n">
        <f aca="false">Table13[[#This Row],[Distance]]-G230</f>
        <v>-11.2</v>
      </c>
      <c r="I231" s="22" t="n">
        <v>60</v>
      </c>
      <c r="J231" s="25" t="n">
        <f aca="false">Table13[[#This Row],[Time]]-I230</f>
        <v>-144</v>
      </c>
      <c r="K231" s="29" t="s">
        <v>158</v>
      </c>
      <c r="L231" s="29" t="n">
        <v>1641.04403468908</v>
      </c>
      <c r="M231" s="29" t="n">
        <v>64.0999870948101</v>
      </c>
      <c r="N231" s="29" t="n">
        <v>1.18192360627407</v>
      </c>
      <c r="O231" s="29" t="n">
        <v>15.5547944191386</v>
      </c>
    </row>
    <row r="232" customFormat="false" ht="14.4" hidden="false" customHeight="false" outlineLevel="0" collapsed="false">
      <c r="A232" s="20" t="n">
        <v>231</v>
      </c>
      <c r="B232" s="21" t="n">
        <v>43331</v>
      </c>
      <c r="C232" s="22" t="n">
        <v>10541</v>
      </c>
      <c r="D232" s="22" t="n">
        <f aca="false">Table13[[#This Row],[Steps]]-C231</f>
        <v>4447</v>
      </c>
      <c r="E232" s="23" t="n">
        <v>414.3</v>
      </c>
      <c r="F232" s="23" t="n">
        <f aca="false">Table13[[#This Row],[Colories]]-E231</f>
        <v>171.7</v>
      </c>
      <c r="G232" s="6" t="n">
        <v>7.59</v>
      </c>
      <c r="H232" s="24" t="n">
        <f aca="false">Table13[[#This Row],[Distance]]-G231</f>
        <v>3.2</v>
      </c>
      <c r="I232" s="22" t="n">
        <v>100</v>
      </c>
      <c r="J232" s="25" t="n">
        <f aca="false">Table13[[#This Row],[Time]]-I231</f>
        <v>40</v>
      </c>
    </row>
    <row r="233" customFormat="false" ht="14.4" hidden="false" customHeight="false" outlineLevel="0" collapsed="false">
      <c r="A233" s="20" t="n">
        <v>232</v>
      </c>
      <c r="B233" s="21" t="n">
        <v>43332</v>
      </c>
      <c r="C233" s="22" t="n">
        <v>7921</v>
      </c>
      <c r="D233" s="22" t="n">
        <f aca="false">Table13[[#This Row],[Steps]]-C232</f>
        <v>-2620</v>
      </c>
      <c r="E233" s="23" t="n">
        <v>305.2</v>
      </c>
      <c r="F233" s="23" t="n">
        <f aca="false">Table13[[#This Row],[Colories]]-E232</f>
        <v>-109.1</v>
      </c>
      <c r="G233" s="6" t="n">
        <v>5.7</v>
      </c>
      <c r="H233" s="24" t="n">
        <f aca="false">Table13[[#This Row],[Distance]]-G232</f>
        <v>-1.89</v>
      </c>
      <c r="I233" s="22" t="n">
        <v>71</v>
      </c>
      <c r="J233" s="25" t="n">
        <f aca="false">Table13[[#This Row],[Time]]-I232</f>
        <v>-29</v>
      </c>
    </row>
    <row r="234" customFormat="false" ht="14.4" hidden="false" customHeight="false" outlineLevel="0" collapsed="false">
      <c r="A234" s="20" t="n">
        <v>233</v>
      </c>
      <c r="B234" s="21" t="n">
        <v>43333</v>
      </c>
      <c r="C234" s="22" t="n">
        <v>14681</v>
      </c>
      <c r="D234" s="22" t="n">
        <f aca="false">Table13[[#This Row],[Steps]]-C233</f>
        <v>6760</v>
      </c>
      <c r="E234" s="23" t="n">
        <v>568.2</v>
      </c>
      <c r="F234" s="23" t="n">
        <f aca="false">Table13[[#This Row],[Colories]]-E233</f>
        <v>263</v>
      </c>
      <c r="G234" s="6" t="n">
        <v>10.57</v>
      </c>
      <c r="H234" s="24" t="n">
        <f aca="false">Table13[[#This Row],[Distance]]-G233</f>
        <v>4.87</v>
      </c>
      <c r="I234" s="22" t="n">
        <v>134</v>
      </c>
      <c r="J234" s="25" t="n">
        <f aca="false">Table13[[#This Row],[Time]]-I233</f>
        <v>63</v>
      </c>
    </row>
    <row r="235" customFormat="false" ht="14.4" hidden="false" customHeight="false" outlineLevel="0" collapsed="false">
      <c r="A235" s="20" t="n">
        <v>234</v>
      </c>
      <c r="B235" s="21" t="n">
        <v>43334</v>
      </c>
      <c r="C235" s="22" t="n">
        <v>12814</v>
      </c>
      <c r="D235" s="22" t="n">
        <f aca="false">Table13[[#This Row],[Steps]]-C234</f>
        <v>-1867</v>
      </c>
      <c r="E235" s="23" t="n">
        <v>496.7</v>
      </c>
      <c r="F235" s="23" t="n">
        <f aca="false">Table13[[#This Row],[Colories]]-E234</f>
        <v>-71.5000000000001</v>
      </c>
      <c r="G235" s="6" t="n">
        <v>9.23</v>
      </c>
      <c r="H235" s="24" t="n">
        <f aca="false">Table13[[#This Row],[Distance]]-G234</f>
        <v>-1.34</v>
      </c>
      <c r="I235" s="22" t="n">
        <v>118</v>
      </c>
      <c r="J235" s="25" t="n">
        <f aca="false">Table13[[#This Row],[Time]]-I234</f>
        <v>-16</v>
      </c>
    </row>
    <row r="236" customFormat="false" ht="14.4" hidden="false" customHeight="false" outlineLevel="0" collapsed="false">
      <c r="A236" s="20" t="n">
        <v>235</v>
      </c>
      <c r="B236" s="21" t="n">
        <v>43335</v>
      </c>
      <c r="C236" s="22" t="n">
        <v>11724</v>
      </c>
      <c r="D236" s="22" t="n">
        <f aca="false">Table13[[#This Row],[Steps]]-C235</f>
        <v>-1090</v>
      </c>
      <c r="E236" s="23" t="n">
        <v>453.4</v>
      </c>
      <c r="F236" s="23" t="n">
        <f aca="false">Table13[[#This Row],[Colories]]-E235</f>
        <v>-43.3</v>
      </c>
      <c r="G236" s="6" t="n">
        <v>8.44</v>
      </c>
      <c r="H236" s="24" t="n">
        <f aca="false">Table13[[#This Row],[Distance]]-G235</f>
        <v>-0.790000000000001</v>
      </c>
      <c r="I236" s="22" t="n">
        <v>107</v>
      </c>
      <c r="J236" s="25" t="n">
        <f aca="false">Table13[[#This Row],[Time]]-I235</f>
        <v>-11</v>
      </c>
    </row>
    <row r="237" customFormat="false" ht="14.4" hidden="false" customHeight="false" outlineLevel="0" collapsed="false">
      <c r="A237" s="20" t="n">
        <v>236</v>
      </c>
      <c r="B237" s="21" t="n">
        <v>43336</v>
      </c>
      <c r="C237" s="22" t="n">
        <v>6584</v>
      </c>
      <c r="D237" s="22" t="n">
        <f aca="false">Table13[[#This Row],[Steps]]-C236</f>
        <v>-5140</v>
      </c>
      <c r="E237" s="23" t="n">
        <v>255.6</v>
      </c>
      <c r="F237" s="23" t="n">
        <f aca="false">Table13[[#This Row],[Colories]]-E236</f>
        <v>-197.8</v>
      </c>
      <c r="G237" s="6" t="n">
        <v>4.74</v>
      </c>
      <c r="H237" s="24" t="n">
        <f aca="false">Table13[[#This Row],[Distance]]-G236</f>
        <v>-3.7</v>
      </c>
      <c r="I237" s="22" t="n">
        <v>61</v>
      </c>
      <c r="J237" s="25" t="n">
        <f aca="false">Table13[[#This Row],[Time]]-I236</f>
        <v>-46</v>
      </c>
    </row>
    <row r="238" customFormat="false" ht="14.4" hidden="false" customHeight="false" outlineLevel="0" collapsed="false">
      <c r="A238" s="20" t="n">
        <v>237</v>
      </c>
      <c r="B238" s="21" t="n">
        <v>43337</v>
      </c>
      <c r="C238" s="22" t="n">
        <v>6018</v>
      </c>
      <c r="D238" s="22" t="n">
        <f aca="false">Table13[[#This Row],[Steps]]-C237</f>
        <v>-566</v>
      </c>
      <c r="E238" s="23" t="n">
        <v>239.3</v>
      </c>
      <c r="F238" s="23" t="n">
        <f aca="false">Table13[[#This Row],[Colories]]-E237</f>
        <v>-16.3</v>
      </c>
      <c r="G238" s="6" t="n">
        <v>4.33</v>
      </c>
      <c r="H238" s="24" t="n">
        <f aca="false">Table13[[#This Row],[Distance]]-G237</f>
        <v>-0.41</v>
      </c>
      <c r="I238" s="22" t="n">
        <v>60</v>
      </c>
      <c r="J238" s="25" t="n">
        <f aca="false">Table13[[#This Row],[Time]]-I237</f>
        <v>-1</v>
      </c>
    </row>
    <row r="239" customFormat="false" ht="14.4" hidden="false" customHeight="false" outlineLevel="0" collapsed="false">
      <c r="A239" s="20" t="n">
        <v>238</v>
      </c>
      <c r="B239" s="21" t="n">
        <v>43338</v>
      </c>
      <c r="C239" s="22" t="n">
        <v>11576</v>
      </c>
      <c r="D239" s="22" t="n">
        <f aca="false">Table13[[#This Row],[Steps]]-C238</f>
        <v>5558</v>
      </c>
      <c r="E239" s="23" t="n">
        <v>453.3</v>
      </c>
      <c r="F239" s="23" t="n">
        <f aca="false">Table13[[#This Row],[Colories]]-E238</f>
        <v>214</v>
      </c>
      <c r="G239" s="6" t="n">
        <v>8.33</v>
      </c>
      <c r="H239" s="24" t="n">
        <f aca="false">Table13[[#This Row],[Distance]]-G238</f>
        <v>4</v>
      </c>
      <c r="I239" s="22" t="n">
        <v>110</v>
      </c>
      <c r="J239" s="25" t="n">
        <f aca="false">Table13[[#This Row],[Time]]-I238</f>
        <v>50</v>
      </c>
    </row>
    <row r="240" customFormat="false" ht="14.4" hidden="false" customHeight="false" outlineLevel="0" collapsed="false">
      <c r="A240" s="20" t="n">
        <v>239</v>
      </c>
      <c r="B240" s="21" t="n">
        <v>43339</v>
      </c>
      <c r="C240" s="22" t="n">
        <v>7617</v>
      </c>
      <c r="D240" s="22" t="n">
        <f aca="false">Table13[[#This Row],[Steps]]-C239</f>
        <v>-3959</v>
      </c>
      <c r="E240" s="23" t="n">
        <v>296</v>
      </c>
      <c r="F240" s="23" t="n">
        <f aca="false">Table13[[#This Row],[Colories]]-E239</f>
        <v>-157.3</v>
      </c>
      <c r="G240" s="6" t="n">
        <v>5.48</v>
      </c>
      <c r="H240" s="24" t="n">
        <f aca="false">Table13[[#This Row],[Distance]]-G239</f>
        <v>-2.85</v>
      </c>
      <c r="I240" s="22" t="n">
        <v>70</v>
      </c>
      <c r="J240" s="25" t="n">
        <f aca="false">Table13[[#This Row],[Time]]-I239</f>
        <v>-40</v>
      </c>
    </row>
    <row r="241" customFormat="false" ht="14.4" hidden="false" customHeight="false" outlineLevel="0" collapsed="false">
      <c r="A241" s="20" t="n">
        <v>240</v>
      </c>
      <c r="B241" s="21" t="n">
        <v>43340</v>
      </c>
      <c r="C241" s="22" t="n">
        <v>7253</v>
      </c>
      <c r="D241" s="22" t="n">
        <f aca="false">Table13[[#This Row],[Steps]]-C240</f>
        <v>-364</v>
      </c>
      <c r="E241" s="23" t="n">
        <v>278</v>
      </c>
      <c r="F241" s="23" t="n">
        <f aca="false">Table13[[#This Row],[Colories]]-E240</f>
        <v>-18</v>
      </c>
      <c r="G241" s="6" t="n">
        <v>5.22</v>
      </c>
      <c r="H241" s="24" t="n">
        <f aca="false">Table13[[#This Row],[Distance]]-G240</f>
        <v>-0.260000000000001</v>
      </c>
      <c r="I241" s="22" t="n">
        <v>63</v>
      </c>
      <c r="J241" s="25" t="n">
        <f aca="false">Table13[[#This Row],[Time]]-I240</f>
        <v>-7</v>
      </c>
    </row>
    <row r="242" customFormat="false" ht="14.4" hidden="false" customHeight="false" outlineLevel="0" collapsed="false">
      <c r="A242" s="20" t="n">
        <v>241</v>
      </c>
      <c r="B242" s="21" t="n">
        <v>43341</v>
      </c>
      <c r="C242" s="22" t="n">
        <v>10719</v>
      </c>
      <c r="D242" s="22" t="n">
        <f aca="false">Table13[[#This Row],[Steps]]-C241</f>
        <v>3466</v>
      </c>
      <c r="E242" s="23" t="n">
        <v>415.3</v>
      </c>
      <c r="F242" s="23" t="n">
        <f aca="false">Table13[[#This Row],[Colories]]-E241</f>
        <v>137.3</v>
      </c>
      <c r="G242" s="6" t="n">
        <v>7.72</v>
      </c>
      <c r="H242" s="24" t="n">
        <f aca="false">Table13[[#This Row],[Distance]]-G241</f>
        <v>2.5</v>
      </c>
      <c r="I242" s="22" t="n">
        <v>98</v>
      </c>
      <c r="J242" s="25" t="n">
        <f aca="false">Table13[[#This Row],[Time]]-I241</f>
        <v>35</v>
      </c>
    </row>
    <row r="243" customFormat="false" ht="14.4" hidden="false" customHeight="false" outlineLevel="0" collapsed="false">
      <c r="A243" s="20" t="n">
        <v>242</v>
      </c>
      <c r="B243" s="21" t="n">
        <v>43342</v>
      </c>
      <c r="C243" s="22" t="n">
        <v>13497</v>
      </c>
      <c r="D243" s="22" t="n">
        <f aca="false">Table13[[#This Row],[Steps]]-C242</f>
        <v>2778</v>
      </c>
      <c r="E243" s="23" t="n">
        <v>519.9</v>
      </c>
      <c r="F243" s="23" t="n">
        <f aca="false">Table13[[#This Row],[Colories]]-E242</f>
        <v>104.6</v>
      </c>
      <c r="G243" s="6" t="n">
        <v>9.72</v>
      </c>
      <c r="H243" s="24" t="n">
        <f aca="false">Table13[[#This Row],[Distance]]-G242</f>
        <v>2</v>
      </c>
      <c r="I243" s="22" t="n">
        <v>121</v>
      </c>
      <c r="J243" s="25" t="n">
        <f aca="false">Table13[[#This Row],[Time]]-I242</f>
        <v>23</v>
      </c>
    </row>
    <row r="244" customFormat="false" ht="14.4" hidden="false" customHeight="false" outlineLevel="0" collapsed="false">
      <c r="A244" s="20" t="n">
        <v>243</v>
      </c>
      <c r="B244" s="21" t="n">
        <v>43343</v>
      </c>
      <c r="C244" s="22" t="n">
        <v>10062</v>
      </c>
      <c r="D244" s="22" t="n">
        <f aca="false">Table13[[#This Row],[Steps]]-C243</f>
        <v>-3435</v>
      </c>
      <c r="E244" s="23" t="n">
        <v>399.5</v>
      </c>
      <c r="F244" s="23" t="n">
        <f aca="false">Table13[[#This Row],[Colories]]-E243</f>
        <v>-120.4</v>
      </c>
      <c r="G244" s="6" t="n">
        <v>7.24</v>
      </c>
      <c r="H244" s="24" t="n">
        <f aca="false">Table13[[#This Row],[Distance]]-G243</f>
        <v>-2.48</v>
      </c>
      <c r="I244" s="22" t="n">
        <v>97</v>
      </c>
      <c r="J244" s="25" t="n">
        <f aca="false">Table13[[#This Row],[Time]]-I243</f>
        <v>-24</v>
      </c>
    </row>
    <row r="245" customFormat="false" ht="14.4" hidden="false" customHeight="false" outlineLevel="0" collapsed="false">
      <c r="A245" s="20" t="n">
        <v>244</v>
      </c>
      <c r="B245" s="21" t="n">
        <v>43344</v>
      </c>
      <c r="C245" s="22" t="n">
        <v>10198</v>
      </c>
      <c r="D245" s="22" t="n">
        <f aca="false">Table13[[#This Row],[Steps]]-C244</f>
        <v>136</v>
      </c>
      <c r="E245" s="23" t="n">
        <v>404.3</v>
      </c>
      <c r="F245" s="23" t="n">
        <f aca="false">Table13[[#This Row],[Colories]]-E244</f>
        <v>4.80000000000001</v>
      </c>
      <c r="G245" s="6" t="n">
        <v>7.34</v>
      </c>
      <c r="H245" s="24" t="n">
        <f aca="false">Table13[[#This Row],[Distance]]-G244</f>
        <v>0.0999999999999996</v>
      </c>
      <c r="I245" s="22" t="n">
        <v>101</v>
      </c>
      <c r="J245" s="25" t="n">
        <f aca="false">Table13[[#This Row],[Time]]-I244</f>
        <v>4</v>
      </c>
      <c r="K245" s="27" t="s">
        <v>190</v>
      </c>
      <c r="L245" s="27" t="s">
        <v>2</v>
      </c>
      <c r="M245" s="5" t="s">
        <v>179</v>
      </c>
      <c r="N245" s="6" t="s">
        <v>175</v>
      </c>
      <c r="O245" s="5" t="s">
        <v>177</v>
      </c>
    </row>
    <row r="246" customFormat="false" ht="14.4" hidden="false" customHeight="false" outlineLevel="0" collapsed="false">
      <c r="A246" s="20" t="n">
        <v>245</v>
      </c>
      <c r="B246" s="21" t="n">
        <v>43345</v>
      </c>
      <c r="C246" s="22" t="n">
        <v>15501</v>
      </c>
      <c r="D246" s="22" t="n">
        <f aca="false">Table13[[#This Row],[Steps]]-C245</f>
        <v>5303</v>
      </c>
      <c r="E246" s="23" t="n">
        <v>617.9</v>
      </c>
      <c r="F246" s="23" t="n">
        <f aca="false">Table13[[#This Row],[Colories]]-E245</f>
        <v>213.6</v>
      </c>
      <c r="G246" s="6" t="n">
        <v>11.16</v>
      </c>
      <c r="H246" s="24" t="n">
        <f aca="false">Table13[[#This Row],[Distance]]-G245</f>
        <v>3.82</v>
      </c>
      <c r="I246" s="22" t="n">
        <v>156</v>
      </c>
      <c r="J246" s="25" t="n">
        <f aca="false">Table13[[#This Row],[Time]]-I245</f>
        <v>55</v>
      </c>
    </row>
    <row r="247" customFormat="false" ht="14.4" hidden="false" customHeight="false" outlineLevel="0" collapsed="false">
      <c r="A247" s="20" t="n">
        <v>246</v>
      </c>
      <c r="B247" s="21" t="n">
        <v>43346</v>
      </c>
      <c r="C247" s="22" t="n">
        <v>9348</v>
      </c>
      <c r="D247" s="22" t="n">
        <f aca="false">Table13[[#This Row],[Steps]]-C246</f>
        <v>-6153</v>
      </c>
      <c r="E247" s="23" t="n">
        <v>362.3</v>
      </c>
      <c r="F247" s="23" t="n">
        <f aca="false">Table13[[#This Row],[Colories]]-E246</f>
        <v>-255.6</v>
      </c>
      <c r="G247" s="6" t="n">
        <v>6.73</v>
      </c>
      <c r="H247" s="24" t="n">
        <f aca="false">Table13[[#This Row],[Distance]]-G246</f>
        <v>-4.43</v>
      </c>
      <c r="I247" s="22" t="n">
        <v>84</v>
      </c>
      <c r="J247" s="25" t="n">
        <f aca="false">Table13[[#This Row],[Time]]-I246</f>
        <v>-72</v>
      </c>
      <c r="K247" s="1" t="s">
        <v>8</v>
      </c>
      <c r="L247" s="1" t="n">
        <v>11100.8275862069</v>
      </c>
      <c r="M247" s="1" t="n">
        <v>0.5</v>
      </c>
      <c r="N247" s="1" t="n">
        <v>7.99241379310345</v>
      </c>
      <c r="O247" s="1" t="n">
        <v>102.344827586207</v>
      </c>
    </row>
    <row r="248" customFormat="false" ht="14.4" hidden="false" customHeight="false" outlineLevel="0" collapsed="false">
      <c r="A248" s="20" t="n">
        <v>247</v>
      </c>
      <c r="B248" s="21" t="n">
        <v>43347</v>
      </c>
      <c r="C248" s="22" t="n">
        <v>9643</v>
      </c>
      <c r="D248" s="22" t="n">
        <f aca="false">Table13[[#This Row],[Steps]]-C247</f>
        <v>295</v>
      </c>
      <c r="E248" s="23" t="n">
        <v>371.1</v>
      </c>
      <c r="F248" s="23" t="n">
        <f aca="false">Table13[[#This Row],[Colories]]-E247</f>
        <v>8.80000000000001</v>
      </c>
      <c r="G248" s="6" t="n">
        <v>6.94</v>
      </c>
      <c r="H248" s="24" t="n">
        <f aca="false">Table13[[#This Row],[Distance]]-G247</f>
        <v>0.21</v>
      </c>
      <c r="I248" s="22" t="n">
        <v>86</v>
      </c>
      <c r="J248" s="25" t="n">
        <f aca="false">Table13[[#This Row],[Time]]-I247</f>
        <v>2</v>
      </c>
      <c r="K248" s="1" t="s">
        <v>10</v>
      </c>
      <c r="L248" s="1" t="n">
        <v>771.777575332187</v>
      </c>
      <c r="M248" s="1" t="n">
        <v>43.9968424191685</v>
      </c>
      <c r="N248" s="1" t="n">
        <v>0.555674856016509</v>
      </c>
      <c r="O248" s="1" t="n">
        <v>7.17656899342654</v>
      </c>
    </row>
    <row r="249" customFormat="false" ht="14.4" hidden="false" customHeight="false" outlineLevel="0" collapsed="false">
      <c r="A249" s="20" t="n">
        <v>248</v>
      </c>
      <c r="B249" s="21" t="n">
        <v>43348</v>
      </c>
      <c r="C249" s="22" t="n">
        <v>10272</v>
      </c>
      <c r="D249" s="22" t="n">
        <f aca="false">Table13[[#This Row],[Steps]]-C248</f>
        <v>629</v>
      </c>
      <c r="E249" s="23" t="n">
        <v>396.3</v>
      </c>
      <c r="F249" s="23" t="n">
        <f aca="false">Table13[[#This Row],[Colories]]-E248</f>
        <v>25.2</v>
      </c>
      <c r="G249" s="6" t="n">
        <v>7.4</v>
      </c>
      <c r="H249" s="24" t="n">
        <f aca="false">Table13[[#This Row],[Distance]]-G248</f>
        <v>0.46</v>
      </c>
      <c r="I249" s="22" t="n">
        <v>92</v>
      </c>
      <c r="J249" s="25" t="n">
        <f aca="false">Table13[[#This Row],[Time]]-I248</f>
        <v>6</v>
      </c>
      <c r="K249" s="1" t="s">
        <v>12</v>
      </c>
      <c r="L249" s="1" t="n">
        <v>10551</v>
      </c>
      <c r="M249" s="1" t="n">
        <v>25.2</v>
      </c>
      <c r="N249" s="1" t="n">
        <v>7.6</v>
      </c>
      <c r="O249" s="1" t="n">
        <v>94</v>
      </c>
    </row>
    <row r="250" customFormat="false" ht="14.4" hidden="false" customHeight="false" outlineLevel="0" collapsed="false">
      <c r="A250" s="20" t="n">
        <v>249</v>
      </c>
      <c r="B250" s="21" t="n">
        <v>43349</v>
      </c>
      <c r="C250" s="22" t="n">
        <v>15222</v>
      </c>
      <c r="D250" s="22" t="n">
        <f aca="false">Table13[[#This Row],[Steps]]-C249</f>
        <v>4950</v>
      </c>
      <c r="E250" s="23" t="n">
        <v>592.4</v>
      </c>
      <c r="F250" s="23" t="n">
        <f aca="false">Table13[[#This Row],[Colories]]-E249</f>
        <v>196.1</v>
      </c>
      <c r="G250" s="6" t="n">
        <v>10.96</v>
      </c>
      <c r="H250" s="24" t="n">
        <f aca="false">Table13[[#This Row],[Distance]]-G249</f>
        <v>3.56</v>
      </c>
      <c r="I250" s="22" t="n">
        <v>141</v>
      </c>
      <c r="J250" s="25" t="n">
        <f aca="false">Table13[[#This Row],[Time]]-I249</f>
        <v>49</v>
      </c>
      <c r="K250" s="1" t="s">
        <v>14</v>
      </c>
      <c r="L250" s="1" t="n">
        <v>9348</v>
      </c>
      <c r="M250" s="1" t="e">
        <f aca="false">#N/A</f>
        <v>#N/A</v>
      </c>
      <c r="N250" s="1" t="n">
        <v>6.73</v>
      </c>
      <c r="O250" s="1" t="n">
        <v>156</v>
      </c>
    </row>
    <row r="251" customFormat="false" ht="14.4" hidden="false" customHeight="false" outlineLevel="0" collapsed="false">
      <c r="A251" s="20" t="n">
        <v>250</v>
      </c>
      <c r="B251" s="21" t="n">
        <v>43350</v>
      </c>
      <c r="C251" s="22" t="n">
        <v>6957</v>
      </c>
      <c r="D251" s="22" t="n">
        <f aca="false">Table13[[#This Row],[Steps]]-C250</f>
        <v>-8265</v>
      </c>
      <c r="E251" s="23" t="n">
        <v>268.6</v>
      </c>
      <c r="F251" s="23" t="n">
        <f aca="false">Table13[[#This Row],[Colories]]-E250</f>
        <v>-323.8</v>
      </c>
      <c r="G251" s="6" t="n">
        <v>5.01</v>
      </c>
      <c r="H251" s="24" t="n">
        <f aca="false">Table13[[#This Row],[Distance]]-G250</f>
        <v>-5.95</v>
      </c>
      <c r="I251" s="22" t="n">
        <v>63</v>
      </c>
      <c r="J251" s="25" t="n">
        <f aca="false">Table13[[#This Row],[Time]]-I250</f>
        <v>-78</v>
      </c>
      <c r="K251" s="1" t="s">
        <v>16</v>
      </c>
      <c r="L251" s="1" t="n">
        <v>4156.14943761449</v>
      </c>
      <c r="M251" s="1" t="n">
        <v>236.930247420749</v>
      </c>
      <c r="N251" s="1" t="n">
        <v>2.99240067882964</v>
      </c>
      <c r="O251" s="1" t="n">
        <v>38.6470067793733</v>
      </c>
    </row>
    <row r="252" customFormat="false" ht="14.4" hidden="false" customHeight="false" outlineLevel="0" collapsed="false">
      <c r="A252" s="20" t="n">
        <v>251</v>
      </c>
      <c r="B252" s="21" t="n">
        <v>43351</v>
      </c>
      <c r="C252" s="22" t="n">
        <v>11664</v>
      </c>
      <c r="D252" s="22" t="n">
        <f aca="false">Table13[[#This Row],[Steps]]-C251</f>
        <v>4707</v>
      </c>
      <c r="E252" s="23" t="n">
        <v>454.7</v>
      </c>
      <c r="F252" s="23" t="n">
        <f aca="false">Table13[[#This Row],[Colories]]-E251</f>
        <v>186.1</v>
      </c>
      <c r="G252" s="6" t="n">
        <v>8.4</v>
      </c>
      <c r="H252" s="24" t="n">
        <f aca="false">Table13[[#This Row],[Distance]]-G251</f>
        <v>3.39</v>
      </c>
      <c r="I252" s="22" t="n">
        <v>109</v>
      </c>
      <c r="J252" s="25" t="n">
        <f aca="false">Table13[[#This Row],[Time]]-I251</f>
        <v>46</v>
      </c>
      <c r="K252" s="1" t="s">
        <v>18</v>
      </c>
      <c r="L252" s="1" t="n">
        <v>17273578.1477832</v>
      </c>
      <c r="M252" s="1" t="n">
        <v>56135.9421428571</v>
      </c>
      <c r="N252" s="1" t="n">
        <v>8.95446182266008</v>
      </c>
      <c r="O252" s="1" t="n">
        <v>1493.59113300493</v>
      </c>
    </row>
    <row r="253" customFormat="false" ht="14.4" hidden="false" customHeight="false" outlineLevel="0" collapsed="false">
      <c r="A253" s="20" t="n">
        <v>252</v>
      </c>
      <c r="B253" s="21" t="n">
        <v>43352</v>
      </c>
      <c r="C253" s="22" t="n">
        <v>17920</v>
      </c>
      <c r="D253" s="22" t="n">
        <f aca="false">Table13[[#This Row],[Steps]]-C252</f>
        <v>6256</v>
      </c>
      <c r="E253" s="23" t="n">
        <v>692.8</v>
      </c>
      <c r="F253" s="23" t="n">
        <f aca="false">Table13[[#This Row],[Colories]]-E252</f>
        <v>238.1</v>
      </c>
      <c r="G253" s="6" t="n">
        <v>12.9</v>
      </c>
      <c r="H253" s="24" t="n">
        <f aca="false">Table13[[#This Row],[Distance]]-G252</f>
        <v>4.5</v>
      </c>
      <c r="I253" s="22" t="n">
        <v>162</v>
      </c>
      <c r="J253" s="25" t="n">
        <f aca="false">Table13[[#This Row],[Time]]-I252</f>
        <v>53</v>
      </c>
      <c r="K253" s="1" t="s">
        <v>20</v>
      </c>
      <c r="L253" s="1" t="n">
        <v>0.106540392656679</v>
      </c>
      <c r="M253" s="1" t="n">
        <v>-1.11290280723743</v>
      </c>
      <c r="N253" s="1" t="n">
        <v>0.10198673244646</v>
      </c>
      <c r="O253" s="1" t="n">
        <v>-0.00829249039125513</v>
      </c>
    </row>
    <row r="254" customFormat="false" ht="14.4" hidden="false" customHeight="false" outlineLevel="0" collapsed="false">
      <c r="A254" s="20" t="n">
        <v>253</v>
      </c>
      <c r="B254" s="21" t="n">
        <v>43353</v>
      </c>
      <c r="C254" s="22" t="n">
        <v>9587</v>
      </c>
      <c r="D254" s="22" t="n">
        <f aca="false">Table13[[#This Row],[Steps]]-C253</f>
        <v>-8333</v>
      </c>
      <c r="E254" s="23" t="n">
        <v>372.8</v>
      </c>
      <c r="F254" s="23" t="n">
        <f aca="false">Table13[[#This Row],[Colories]]-E253</f>
        <v>-320</v>
      </c>
      <c r="G254" s="6" t="n">
        <v>6.9</v>
      </c>
      <c r="H254" s="24" t="n">
        <f aca="false">Table13[[#This Row],[Distance]]-G253</f>
        <v>-6</v>
      </c>
      <c r="I254" s="22" t="n">
        <v>89</v>
      </c>
      <c r="J254" s="25" t="n">
        <f aca="false">Table13[[#This Row],[Time]]-I253</f>
        <v>-73</v>
      </c>
      <c r="K254" s="1" t="s">
        <v>22</v>
      </c>
      <c r="L254" s="1" t="n">
        <v>-0.334915537142064</v>
      </c>
      <c r="M254" s="1" t="n">
        <v>-0.405086918949865</v>
      </c>
      <c r="N254" s="1" t="n">
        <v>-0.334340326210995</v>
      </c>
      <c r="O254" s="1" t="n">
        <v>-0.33195131197551</v>
      </c>
    </row>
    <row r="255" customFormat="false" ht="14.4" hidden="false" customHeight="false" outlineLevel="0" collapsed="false">
      <c r="A255" s="20" t="n">
        <v>254</v>
      </c>
      <c r="B255" s="21" t="n">
        <v>43354</v>
      </c>
      <c r="C255" s="22" t="n">
        <v>17278</v>
      </c>
      <c r="D255" s="22" t="n">
        <f aca="false">Table13[[#This Row],[Steps]]-C254</f>
        <v>7691</v>
      </c>
      <c r="E255" s="23" t="n">
        <v>669.2</v>
      </c>
      <c r="F255" s="23" t="n">
        <f aca="false">Table13[[#This Row],[Colories]]-E254</f>
        <v>296.4</v>
      </c>
      <c r="G255" s="6" t="n">
        <v>12.44</v>
      </c>
      <c r="H255" s="24" t="n">
        <f aca="false">Table13[[#This Row],[Distance]]-G254</f>
        <v>5.54</v>
      </c>
      <c r="I255" s="22" t="n">
        <v>158</v>
      </c>
      <c r="J255" s="25" t="n">
        <f aca="false">Table13[[#This Row],[Time]]-I254</f>
        <v>69</v>
      </c>
      <c r="K255" s="1" t="s">
        <v>24</v>
      </c>
      <c r="L255" s="1" t="n">
        <v>17620</v>
      </c>
      <c r="M255" s="1" t="n">
        <v>840.5</v>
      </c>
      <c r="N255" s="1" t="n">
        <v>12.68</v>
      </c>
      <c r="O255" s="1" t="n">
        <v>159</v>
      </c>
    </row>
    <row r="256" customFormat="false" ht="14.4" hidden="false" customHeight="false" outlineLevel="0" collapsed="false">
      <c r="A256" s="20" t="n">
        <v>255</v>
      </c>
      <c r="B256" s="21" t="n">
        <v>43355</v>
      </c>
      <c r="C256" s="22" t="n">
        <v>7961</v>
      </c>
      <c r="D256" s="22" t="n">
        <f aca="false">Table13[[#This Row],[Steps]]-C255</f>
        <v>-9317</v>
      </c>
      <c r="E256" s="23" t="n">
        <v>309.8</v>
      </c>
      <c r="F256" s="23" t="n">
        <f aca="false">Table13[[#This Row],[Colories]]-E255</f>
        <v>-359.4</v>
      </c>
      <c r="G256" s="6" t="n">
        <v>5.73</v>
      </c>
      <c r="H256" s="24" t="n">
        <f aca="false">Table13[[#This Row],[Distance]]-G255</f>
        <v>-6.71</v>
      </c>
      <c r="I256" s="22" t="n">
        <v>74</v>
      </c>
      <c r="J256" s="25" t="n">
        <f aca="false">Table13[[#This Row],[Time]]-I255</f>
        <v>-84</v>
      </c>
      <c r="K256" s="1" t="s">
        <v>26</v>
      </c>
      <c r="L256" s="1" t="n">
        <v>300</v>
      </c>
      <c r="M256" s="1" t="n">
        <v>-484.9</v>
      </c>
      <c r="N256" s="1" t="n">
        <v>0.22</v>
      </c>
      <c r="O256" s="1" t="n">
        <v>3</v>
      </c>
    </row>
    <row r="257" customFormat="false" ht="14.4" hidden="false" customHeight="false" outlineLevel="0" collapsed="false">
      <c r="A257" s="20" t="n">
        <v>256</v>
      </c>
      <c r="B257" s="21" t="n">
        <v>43356</v>
      </c>
      <c r="C257" s="22" t="n">
        <v>12734</v>
      </c>
      <c r="D257" s="22" t="n">
        <f aca="false">Table13[[#This Row],[Steps]]-C256</f>
        <v>4773</v>
      </c>
      <c r="E257" s="23" t="n">
        <v>495.2</v>
      </c>
      <c r="F257" s="23" t="n">
        <f aca="false">Table13[[#This Row],[Colories]]-E256</f>
        <v>185.4</v>
      </c>
      <c r="G257" s="6" t="n">
        <v>9.17</v>
      </c>
      <c r="H257" s="24" t="n">
        <f aca="false">Table13[[#This Row],[Distance]]-G256</f>
        <v>3.44</v>
      </c>
      <c r="I257" s="22" t="n">
        <v>117</v>
      </c>
      <c r="J257" s="25" t="n">
        <f aca="false">Table13[[#This Row],[Time]]-I256</f>
        <v>43</v>
      </c>
      <c r="K257" s="1" t="s">
        <v>28</v>
      </c>
      <c r="L257" s="1" t="n">
        <v>17920</v>
      </c>
      <c r="M257" s="1" t="n">
        <v>355.6</v>
      </c>
      <c r="N257" s="1" t="n">
        <v>12.9</v>
      </c>
      <c r="O257" s="1" t="n">
        <v>162</v>
      </c>
    </row>
    <row r="258" customFormat="false" ht="14.4" hidden="false" customHeight="false" outlineLevel="0" collapsed="false">
      <c r="A258" s="20" t="n">
        <v>257</v>
      </c>
      <c r="B258" s="21" t="n">
        <v>43357</v>
      </c>
      <c r="C258" s="22" t="n">
        <v>17462</v>
      </c>
      <c r="D258" s="22" t="n">
        <f aca="false">Table13[[#This Row],[Steps]]-C257</f>
        <v>4728</v>
      </c>
      <c r="E258" s="23" t="n">
        <v>673.4</v>
      </c>
      <c r="F258" s="23" t="n">
        <f aca="false">Table13[[#This Row],[Colories]]-E257</f>
        <v>178.2</v>
      </c>
      <c r="G258" s="6" t="n">
        <v>12.57</v>
      </c>
      <c r="H258" s="24" t="n">
        <f aca="false">Table13[[#This Row],[Distance]]-G257</f>
        <v>3.4</v>
      </c>
      <c r="I258" s="22" t="n">
        <v>156</v>
      </c>
      <c r="J258" s="25" t="n">
        <f aca="false">Table13[[#This Row],[Time]]-I257</f>
        <v>39</v>
      </c>
      <c r="K258" s="1" t="s">
        <v>30</v>
      </c>
      <c r="L258" s="1" t="n">
        <v>321924</v>
      </c>
      <c r="M258" s="1" t="n">
        <v>14.5</v>
      </c>
      <c r="N258" s="1" t="n">
        <v>231.78</v>
      </c>
      <c r="O258" s="1" t="n">
        <v>2968</v>
      </c>
    </row>
    <row r="259" customFormat="false" ht="14.4" hidden="false" customHeight="false" outlineLevel="0" collapsed="false">
      <c r="A259" s="20" t="n">
        <v>258</v>
      </c>
      <c r="B259" s="21" t="n">
        <v>43358</v>
      </c>
      <c r="C259" s="22" t="n">
        <v>9614</v>
      </c>
      <c r="D259" s="22" t="n">
        <f aca="false">Table13[[#This Row],[Steps]]-C258</f>
        <v>-7848</v>
      </c>
      <c r="E259" s="23" t="n">
        <v>371.8</v>
      </c>
      <c r="F259" s="23" t="n">
        <f aca="false">Table13[[#This Row],[Colories]]-E258</f>
        <v>-301.6</v>
      </c>
      <c r="G259" s="6" t="n">
        <v>6.92</v>
      </c>
      <c r="H259" s="24" t="n">
        <f aca="false">Table13[[#This Row],[Distance]]-G258</f>
        <v>-5.65</v>
      </c>
      <c r="I259" s="22" t="n">
        <v>87</v>
      </c>
      <c r="J259" s="25" t="n">
        <f aca="false">Table13[[#This Row],[Time]]-I258</f>
        <v>-69</v>
      </c>
      <c r="K259" s="1" t="s">
        <v>32</v>
      </c>
      <c r="L259" s="1" t="n">
        <v>29</v>
      </c>
      <c r="M259" s="1" t="n">
        <v>29</v>
      </c>
      <c r="N259" s="1" t="n">
        <v>29</v>
      </c>
      <c r="O259" s="1" t="n">
        <v>29</v>
      </c>
    </row>
    <row r="260" customFormat="false" ht="14.4" hidden="false" customHeight="false" outlineLevel="0" collapsed="false">
      <c r="A260" s="20" t="n">
        <v>259</v>
      </c>
      <c r="B260" s="21" t="n">
        <v>43359</v>
      </c>
      <c r="C260" s="22" t="n">
        <v>14809</v>
      </c>
      <c r="D260" s="22" t="n">
        <f aca="false">Table13[[#This Row],[Steps]]-C259</f>
        <v>5195</v>
      </c>
      <c r="E260" s="23" t="n">
        <v>586.1</v>
      </c>
      <c r="F260" s="23" t="n">
        <f aca="false">Table13[[#This Row],[Colories]]-E259</f>
        <v>214.3</v>
      </c>
      <c r="G260" s="6" t="n">
        <v>10.66</v>
      </c>
      <c r="H260" s="24" t="n">
        <f aca="false">Table13[[#This Row],[Distance]]-G259</f>
        <v>3.74</v>
      </c>
      <c r="I260" s="22" t="n">
        <v>146</v>
      </c>
      <c r="J260" s="25" t="n">
        <f aca="false">Table13[[#This Row],[Time]]-I259</f>
        <v>59</v>
      </c>
      <c r="K260" s="1" t="s">
        <v>34</v>
      </c>
      <c r="L260" s="1" t="n">
        <v>17920</v>
      </c>
      <c r="M260" s="1" t="n">
        <v>355.6</v>
      </c>
      <c r="N260" s="1" t="n">
        <v>12.9</v>
      </c>
      <c r="O260" s="1" t="n">
        <v>162</v>
      </c>
    </row>
    <row r="261" customFormat="false" ht="14.4" hidden="false" customHeight="false" outlineLevel="0" collapsed="false">
      <c r="A261" s="20" t="n">
        <v>260</v>
      </c>
      <c r="B261" s="21" t="n">
        <v>43360</v>
      </c>
      <c r="C261" s="22" t="n">
        <v>13551</v>
      </c>
      <c r="D261" s="22" t="n">
        <f aca="false">Table13[[#This Row],[Steps]]-C260</f>
        <v>-1258</v>
      </c>
      <c r="E261" s="23" t="n">
        <v>524.9</v>
      </c>
      <c r="F261" s="23" t="n">
        <f aca="false">Table13[[#This Row],[Colories]]-E260</f>
        <v>-61.2</v>
      </c>
      <c r="G261" s="6" t="n">
        <v>9.76</v>
      </c>
      <c r="H261" s="24" t="n">
        <f aca="false">Table13[[#This Row],[Distance]]-G260</f>
        <v>-0.9</v>
      </c>
      <c r="I261" s="22" t="n">
        <v>123</v>
      </c>
      <c r="J261" s="25" t="n">
        <f aca="false">Table13[[#This Row],[Time]]-I260</f>
        <v>-23</v>
      </c>
      <c r="K261" s="1" t="s">
        <v>36</v>
      </c>
      <c r="L261" s="1" t="n">
        <v>300</v>
      </c>
      <c r="M261" s="1" t="n">
        <v>-484.9</v>
      </c>
      <c r="N261" s="1" t="n">
        <v>0.22</v>
      </c>
      <c r="O261" s="1" t="n">
        <v>3</v>
      </c>
    </row>
    <row r="262" customFormat="false" ht="14.4" hidden="false" customHeight="false" outlineLevel="0" collapsed="false">
      <c r="A262" s="20" t="n">
        <v>261</v>
      </c>
      <c r="B262" s="21" t="n">
        <v>43361</v>
      </c>
      <c r="C262" s="22" t="n">
        <v>7991</v>
      </c>
      <c r="D262" s="22" t="n">
        <f aca="false">Table13[[#This Row],[Steps]]-C261</f>
        <v>-5560</v>
      </c>
      <c r="E262" s="23" t="n">
        <v>319.9</v>
      </c>
      <c r="F262" s="23" t="n">
        <f aca="false">Table13[[#This Row],[Colories]]-E261</f>
        <v>-205</v>
      </c>
      <c r="G262" s="6" t="n">
        <v>5.75</v>
      </c>
      <c r="H262" s="24" t="n">
        <f aca="false">Table13[[#This Row],[Distance]]-G261</f>
        <v>-4.01</v>
      </c>
      <c r="I262" s="22" t="n">
        <v>81</v>
      </c>
      <c r="J262" s="25" t="n">
        <f aca="false">Table13[[#This Row],[Time]]-I261</f>
        <v>-42</v>
      </c>
      <c r="K262" s="29" t="s">
        <v>158</v>
      </c>
      <c r="L262" s="29" t="n">
        <v>1580.91469718787</v>
      </c>
      <c r="M262" s="29" t="n">
        <v>90.1234462278647</v>
      </c>
      <c r="N262" s="29" t="n">
        <v>1.13824834358026</v>
      </c>
      <c r="O262" s="29" t="n">
        <v>14.7005351797212</v>
      </c>
    </row>
    <row r="263" customFormat="false" ht="14.4" hidden="false" customHeight="false" outlineLevel="0" collapsed="false">
      <c r="A263" s="20" t="n">
        <v>262</v>
      </c>
      <c r="B263" s="21" t="n">
        <v>43362</v>
      </c>
      <c r="C263" s="22" t="n">
        <v>15730</v>
      </c>
      <c r="D263" s="22" t="n">
        <f aca="false">Table13[[#This Row],[Steps]]-C262</f>
        <v>7739</v>
      </c>
      <c r="E263" s="23" t="n">
        <v>609.9</v>
      </c>
      <c r="F263" s="23" t="n">
        <f aca="false">Table13[[#This Row],[Colories]]-E262</f>
        <v>290</v>
      </c>
      <c r="G263" s="6" t="n">
        <v>11.33</v>
      </c>
      <c r="H263" s="24" t="n">
        <f aca="false">Table13[[#This Row],[Distance]]-G262</f>
        <v>5.58</v>
      </c>
      <c r="I263" s="22" t="n">
        <v>142</v>
      </c>
      <c r="J263" s="25" t="n">
        <f aca="false">Table13[[#This Row],[Time]]-I262</f>
        <v>61</v>
      </c>
    </row>
    <row r="264" customFormat="false" ht="14.4" hidden="false" customHeight="false" outlineLevel="0" collapsed="false">
      <c r="A264" s="20" t="n">
        <v>263</v>
      </c>
      <c r="B264" s="21" t="n">
        <v>43363</v>
      </c>
      <c r="C264" s="22" t="n">
        <v>15206</v>
      </c>
      <c r="D264" s="22" t="n">
        <f aca="false">Table13[[#This Row],[Steps]]-C263</f>
        <v>-524</v>
      </c>
      <c r="E264" s="23" t="n">
        <v>588.9</v>
      </c>
      <c r="F264" s="23" t="n">
        <f aca="false">Table13[[#This Row],[Colories]]-E263</f>
        <v>-21</v>
      </c>
      <c r="G264" s="6" t="n">
        <v>10.95</v>
      </c>
      <c r="H264" s="24" t="n">
        <f aca="false">Table13[[#This Row],[Distance]]-G263</f>
        <v>-0.380000000000001</v>
      </c>
      <c r="I264" s="22" t="n">
        <v>138</v>
      </c>
      <c r="J264" s="25" t="n">
        <f aca="false">Table13[[#This Row],[Time]]-I263</f>
        <v>-4</v>
      </c>
    </row>
    <row r="265" customFormat="false" ht="14.4" hidden="false" customHeight="false" outlineLevel="0" collapsed="false">
      <c r="A265" s="20" t="n">
        <v>264</v>
      </c>
      <c r="B265" s="21" t="n">
        <v>43364</v>
      </c>
      <c r="C265" s="22" t="n">
        <v>12833</v>
      </c>
      <c r="D265" s="22" t="n">
        <f aca="false">Table13[[#This Row],[Steps]]-C264</f>
        <v>-2373</v>
      </c>
      <c r="E265" s="23" t="n">
        <v>498</v>
      </c>
      <c r="F265" s="23" t="n">
        <f aca="false">Table13[[#This Row],[Colories]]-E264</f>
        <v>-90.9</v>
      </c>
      <c r="G265" s="6" t="n">
        <v>9.24</v>
      </c>
      <c r="H265" s="24" t="n">
        <f aca="false">Table13[[#This Row],[Distance]]-G264</f>
        <v>-1.71</v>
      </c>
      <c r="I265" s="22" t="n">
        <v>118</v>
      </c>
      <c r="J265" s="25" t="n">
        <f aca="false">Table13[[#This Row],[Time]]-I264</f>
        <v>-20</v>
      </c>
    </row>
    <row r="266" customFormat="false" ht="14.4" hidden="false" customHeight="false" outlineLevel="0" collapsed="false">
      <c r="A266" s="20" t="n">
        <v>265</v>
      </c>
      <c r="B266" s="21" t="n">
        <v>43365</v>
      </c>
      <c r="C266" s="22" t="n">
        <v>300</v>
      </c>
      <c r="D266" s="22" t="n">
        <f aca="false">Table13[[#This Row],[Steps]]-C265</f>
        <v>-12533</v>
      </c>
      <c r="E266" s="23" t="n">
        <v>13.1</v>
      </c>
      <c r="F266" s="23" t="n">
        <f aca="false">Table13[[#This Row],[Colories]]-E265</f>
        <v>-484.9</v>
      </c>
      <c r="G266" s="6" t="n">
        <v>0.22</v>
      </c>
      <c r="H266" s="24" t="n">
        <f aca="false">Table13[[#This Row],[Distance]]-G265</f>
        <v>-9.02</v>
      </c>
      <c r="I266" s="22" t="n">
        <v>3</v>
      </c>
      <c r="J266" s="25" t="n">
        <f aca="false">Table13[[#This Row],[Time]]-I265</f>
        <v>-115</v>
      </c>
    </row>
    <row r="267" customFormat="false" ht="14.4" hidden="false" customHeight="false" outlineLevel="0" collapsed="false">
      <c r="A267" s="20" t="n">
        <v>266</v>
      </c>
      <c r="B267" s="21" t="n">
        <v>43366</v>
      </c>
      <c r="C267" s="22" t="n">
        <v>9348</v>
      </c>
      <c r="D267" s="22" t="n">
        <f aca="false">Table13[[#This Row],[Steps]]-C266</f>
        <v>9048</v>
      </c>
      <c r="E267" s="23" t="n">
        <v>368.7</v>
      </c>
      <c r="F267" s="23" t="n">
        <f aca="false">Table13[[#This Row],[Colories]]-E266</f>
        <v>355.6</v>
      </c>
      <c r="G267" s="6" t="n">
        <v>6.73</v>
      </c>
      <c r="H267" s="24" t="n">
        <f aca="false">Table13[[#This Row],[Distance]]-G266</f>
        <v>6.51</v>
      </c>
      <c r="I267" s="22" t="n">
        <v>91</v>
      </c>
      <c r="J267" s="25" t="n">
        <f aca="false">Table13[[#This Row],[Time]]-I266</f>
        <v>88</v>
      </c>
    </row>
    <row r="268" customFormat="false" ht="14.4" hidden="false" customHeight="false" outlineLevel="0" collapsed="false">
      <c r="A268" s="20" t="n">
        <v>267</v>
      </c>
      <c r="B268" s="21" t="n">
        <v>43367</v>
      </c>
      <c r="C268" s="22" t="n">
        <v>13280</v>
      </c>
      <c r="D268" s="22" t="n">
        <f aca="false">Table13[[#This Row],[Steps]]-C267</f>
        <v>3932</v>
      </c>
      <c r="E268" s="23" t="n">
        <v>514.6</v>
      </c>
      <c r="F268" s="23" t="n">
        <f aca="false">Table13[[#This Row],[Colories]]-E267</f>
        <v>145.9</v>
      </c>
      <c r="G268" s="6" t="n">
        <v>9.56</v>
      </c>
      <c r="H268" s="24" t="n">
        <f aca="false">Table13[[#This Row],[Distance]]-G267</f>
        <v>2.83</v>
      </c>
      <c r="I268" s="22" t="n">
        <v>122</v>
      </c>
      <c r="J268" s="25" t="n">
        <f aca="false">Table13[[#This Row],[Time]]-I267</f>
        <v>31</v>
      </c>
    </row>
    <row r="269" customFormat="false" ht="14.4" hidden="false" customHeight="false" outlineLevel="0" collapsed="false">
      <c r="A269" s="20" t="n">
        <v>268</v>
      </c>
      <c r="B269" s="21" t="n">
        <v>43368</v>
      </c>
      <c r="C269" s="22" t="n">
        <v>6755</v>
      </c>
      <c r="D269" s="22" t="n">
        <f aca="false">Table13[[#This Row],[Steps]]-C268</f>
        <v>-6525</v>
      </c>
      <c r="E269" s="23" t="n">
        <v>261.1</v>
      </c>
      <c r="F269" s="23" t="n">
        <f aca="false">Table13[[#This Row],[Colories]]-E268</f>
        <v>-253.5</v>
      </c>
      <c r="G269" s="6" t="n">
        <v>4.86</v>
      </c>
      <c r="H269" s="24" t="n">
        <f aca="false">Table13[[#This Row],[Distance]]-G268</f>
        <v>-4.7</v>
      </c>
      <c r="I269" s="22" t="n">
        <v>61</v>
      </c>
      <c r="J269" s="25" t="n">
        <f aca="false">Table13[[#This Row],[Time]]-I268</f>
        <v>-61</v>
      </c>
    </row>
    <row r="270" customFormat="false" ht="14.4" hidden="false" customHeight="false" outlineLevel="0" collapsed="false">
      <c r="A270" s="20" t="n">
        <v>269</v>
      </c>
      <c r="B270" s="21" t="n">
        <v>43369</v>
      </c>
      <c r="C270" s="22" t="n">
        <v>10551</v>
      </c>
      <c r="D270" s="22" t="n">
        <f aca="false">Table13[[#This Row],[Steps]]-C269</f>
        <v>3796</v>
      </c>
      <c r="E270" s="23" t="n">
        <v>406.2</v>
      </c>
      <c r="F270" s="23" t="n">
        <f aca="false">Table13[[#This Row],[Colories]]-E269</f>
        <v>145.1</v>
      </c>
      <c r="G270" s="6" t="n">
        <v>7.6</v>
      </c>
      <c r="H270" s="24" t="n">
        <f aca="false">Table13[[#This Row],[Distance]]-G269</f>
        <v>2.74</v>
      </c>
      <c r="I270" s="22" t="n">
        <v>94</v>
      </c>
      <c r="J270" s="25" t="n">
        <f aca="false">Table13[[#This Row],[Time]]-I269</f>
        <v>33</v>
      </c>
    </row>
    <row r="271" customFormat="false" ht="14.4" hidden="false" customHeight="false" outlineLevel="0" collapsed="false">
      <c r="A271" s="20" t="n">
        <v>270</v>
      </c>
      <c r="B271" s="21" t="n">
        <v>43370</v>
      </c>
      <c r="C271" s="22" t="n">
        <v>5179</v>
      </c>
      <c r="D271" s="22" t="n">
        <f aca="false">Table13[[#This Row],[Steps]]-C270</f>
        <v>-5372</v>
      </c>
      <c r="E271" s="23" t="n">
        <v>200.8</v>
      </c>
      <c r="F271" s="23" t="n">
        <f aca="false">Table13[[#This Row],[Colories]]-E270</f>
        <v>-205.4</v>
      </c>
      <c r="G271" s="6" t="n">
        <v>3.73</v>
      </c>
      <c r="H271" s="24" t="n">
        <f aca="false">Table13[[#This Row],[Distance]]-G270</f>
        <v>-3.87</v>
      </c>
      <c r="I271" s="22" t="n">
        <v>46</v>
      </c>
      <c r="J271" s="25" t="n">
        <f aca="false">Table13[[#This Row],[Time]]-I270</f>
        <v>-48</v>
      </c>
    </row>
    <row r="272" customFormat="false" ht="14.4" hidden="false" customHeight="false" outlineLevel="0" collapsed="false">
      <c r="A272" s="20" t="n">
        <v>271</v>
      </c>
      <c r="B272" s="21" t="n">
        <v>43371</v>
      </c>
      <c r="C272" s="22" t="n">
        <v>8338</v>
      </c>
      <c r="D272" s="22" t="n">
        <f aca="false">Table13[[#This Row],[Steps]]-C271</f>
        <v>3159</v>
      </c>
      <c r="E272" s="23" t="n">
        <v>321.4</v>
      </c>
      <c r="F272" s="23" t="n">
        <f aca="false">Table13[[#This Row],[Colories]]-E271</f>
        <v>120.6</v>
      </c>
      <c r="G272" s="6" t="n">
        <v>6</v>
      </c>
      <c r="H272" s="24" t="n">
        <f aca="false">Table13[[#This Row],[Distance]]-G271</f>
        <v>2.27</v>
      </c>
      <c r="I272" s="22" t="n">
        <v>74</v>
      </c>
      <c r="J272" s="25" t="n">
        <f aca="false">Table13[[#This Row],[Time]]-I271</f>
        <v>28</v>
      </c>
    </row>
    <row r="273" customFormat="false" ht="14.4" hidden="false" customHeight="false" outlineLevel="0" collapsed="false">
      <c r="A273" s="20" t="n">
        <v>272</v>
      </c>
      <c r="B273" s="21" t="n">
        <v>43372</v>
      </c>
      <c r="C273" s="22" t="n">
        <v>6142</v>
      </c>
      <c r="D273" s="22" t="n">
        <f aca="false">Table13[[#This Row],[Steps]]-C272</f>
        <v>-2196</v>
      </c>
      <c r="E273" s="23" t="n">
        <v>238.1</v>
      </c>
      <c r="F273" s="23" t="n">
        <f aca="false">Table13[[#This Row],[Colories]]-E272</f>
        <v>-83.3</v>
      </c>
      <c r="G273" s="6" t="n">
        <v>4.42</v>
      </c>
      <c r="H273" s="24" t="n">
        <f aca="false">Table13[[#This Row],[Distance]]-G272</f>
        <v>-1.58</v>
      </c>
      <c r="I273" s="22" t="n">
        <v>56</v>
      </c>
      <c r="J273" s="25" t="n">
        <f aca="false">Table13[[#This Row],[Time]]-I272</f>
        <v>-18</v>
      </c>
    </row>
    <row r="274" customFormat="false" ht="14.4" hidden="false" customHeight="false" outlineLevel="0" collapsed="false">
      <c r="A274" s="20" t="n">
        <v>273</v>
      </c>
      <c r="B274" s="21" t="n">
        <v>43373</v>
      </c>
      <c r="C274" s="22" t="n">
        <v>10748</v>
      </c>
      <c r="D274" s="22" t="n">
        <f aca="false">Table13[[#This Row],[Steps]]-C273</f>
        <v>4606</v>
      </c>
      <c r="E274" s="23" t="n">
        <v>418.8</v>
      </c>
      <c r="F274" s="23" t="n">
        <f aca="false">Table13[[#This Row],[Colories]]-E273</f>
        <v>180.7</v>
      </c>
      <c r="G274" s="6" t="n">
        <v>7.74</v>
      </c>
      <c r="H274" s="24" t="n">
        <f aca="false">Table13[[#This Row],[Distance]]-G273</f>
        <v>3.32</v>
      </c>
      <c r="I274" s="22" t="n">
        <v>99</v>
      </c>
      <c r="J274" s="25" t="n">
        <f aca="false">Table13[[#This Row],[Time]]-I273</f>
        <v>43</v>
      </c>
    </row>
    <row r="275" customFormat="false" ht="14.4" hidden="false" customHeight="false" outlineLevel="0" collapsed="false">
      <c r="A275" s="20" t="n">
        <v>274</v>
      </c>
      <c r="B275" s="21" t="n">
        <v>43374</v>
      </c>
      <c r="C275" s="22" t="n">
        <v>10591</v>
      </c>
      <c r="D275" s="22" t="n">
        <f aca="false">Table13[[#This Row],[Steps]]-C274</f>
        <v>-157</v>
      </c>
      <c r="E275" s="23" t="n">
        <v>408.7</v>
      </c>
      <c r="F275" s="23" t="n">
        <f aca="false">Table13[[#This Row],[Colories]]-E274</f>
        <v>-10.1</v>
      </c>
      <c r="G275" s="6" t="n">
        <v>7.63</v>
      </c>
      <c r="H275" s="24" t="n">
        <f aca="false">Table13[[#This Row],[Distance]]-G274</f>
        <v>-0.11</v>
      </c>
      <c r="I275" s="22" t="n">
        <v>92</v>
      </c>
      <c r="J275" s="25" t="n">
        <f aca="false">Table13[[#This Row],[Time]]-I274</f>
        <v>-7</v>
      </c>
      <c r="K275" s="27" t="s">
        <v>191</v>
      </c>
      <c r="L275" s="27" t="s">
        <v>2</v>
      </c>
      <c r="M275" s="27" t="s">
        <v>179</v>
      </c>
      <c r="N275" s="27" t="s">
        <v>175</v>
      </c>
      <c r="O275" s="27" t="s">
        <v>177</v>
      </c>
    </row>
    <row r="276" customFormat="false" ht="14.4" hidden="false" customHeight="false" outlineLevel="0" collapsed="false">
      <c r="A276" s="20" t="n">
        <v>275</v>
      </c>
      <c r="B276" s="21" t="n">
        <v>43375</v>
      </c>
      <c r="C276" s="22" t="n">
        <v>14952</v>
      </c>
      <c r="D276" s="22" t="n">
        <f aca="false">Table13[[#This Row],[Steps]]-C275</f>
        <v>4361</v>
      </c>
      <c r="E276" s="23" t="n">
        <v>574.9</v>
      </c>
      <c r="F276" s="23" t="n">
        <f aca="false">Table13[[#This Row],[Colories]]-E275</f>
        <v>166.2</v>
      </c>
      <c r="G276" s="6" t="n">
        <v>10.77</v>
      </c>
      <c r="H276" s="24" t="n">
        <f aca="false">Table13[[#This Row],[Distance]]-G275</f>
        <v>3.14</v>
      </c>
      <c r="I276" s="22" t="n">
        <v>132</v>
      </c>
      <c r="J276" s="25" t="n">
        <f aca="false">Table13[[#This Row],[Time]]-I275</f>
        <v>40</v>
      </c>
    </row>
    <row r="277" customFormat="false" ht="14.4" hidden="false" customHeight="false" outlineLevel="0" collapsed="false">
      <c r="A277" s="20" t="n">
        <v>276</v>
      </c>
      <c r="B277" s="21" t="n">
        <v>43376</v>
      </c>
      <c r="C277" s="22" t="n">
        <v>8903</v>
      </c>
      <c r="D277" s="22" t="n">
        <f aca="false">Table13[[#This Row],[Steps]]-C276</f>
        <v>-6049</v>
      </c>
      <c r="E277" s="23" t="n">
        <v>345</v>
      </c>
      <c r="F277" s="23" t="n">
        <f aca="false">Table13[[#This Row],[Colories]]-E276</f>
        <v>-229.9</v>
      </c>
      <c r="G277" s="6" t="n">
        <v>6.41</v>
      </c>
      <c r="H277" s="24" t="n">
        <f aca="false">Table13[[#This Row],[Distance]]-G276</f>
        <v>-4.36</v>
      </c>
      <c r="I277" s="22" t="n">
        <v>81</v>
      </c>
      <c r="J277" s="25" t="n">
        <f aca="false">Table13[[#This Row],[Time]]-I276</f>
        <v>-51</v>
      </c>
      <c r="K277" s="1" t="s">
        <v>8</v>
      </c>
      <c r="L277" s="1" t="n">
        <v>8409.5</v>
      </c>
      <c r="M277" s="1" t="n">
        <v>325.95</v>
      </c>
      <c r="N277" s="1" t="n">
        <v>6.05466666666667</v>
      </c>
      <c r="O277" s="1" t="n">
        <v>77</v>
      </c>
    </row>
    <row r="278" customFormat="false" ht="14.4" hidden="false" customHeight="false" outlineLevel="0" collapsed="false">
      <c r="A278" s="20" t="n">
        <v>277</v>
      </c>
      <c r="B278" s="21" t="n">
        <v>43377</v>
      </c>
      <c r="C278" s="22" t="n">
        <v>9812</v>
      </c>
      <c r="D278" s="22" t="n">
        <f aca="false">Table13[[#This Row],[Steps]]-C277</f>
        <v>909</v>
      </c>
      <c r="E278" s="23" t="n">
        <v>375.9</v>
      </c>
      <c r="F278" s="23" t="n">
        <f aca="false">Table13[[#This Row],[Colories]]-E277</f>
        <v>30.9</v>
      </c>
      <c r="G278" s="6" t="n">
        <v>7.06</v>
      </c>
      <c r="H278" s="24" t="n">
        <f aca="false">Table13[[#This Row],[Distance]]-G277</f>
        <v>0.65</v>
      </c>
      <c r="I278" s="22" t="n">
        <v>84</v>
      </c>
      <c r="J278" s="25" t="n">
        <f aca="false">Table13[[#This Row],[Time]]-I277</f>
        <v>3</v>
      </c>
      <c r="K278" s="1" t="s">
        <v>10</v>
      </c>
      <c r="L278" s="1" t="n">
        <v>886.827048086824</v>
      </c>
      <c r="M278" s="1" t="n">
        <v>34.1787864402576</v>
      </c>
      <c r="N278" s="1" t="n">
        <v>0.638517631928457</v>
      </c>
      <c r="O278" s="1" t="n">
        <v>8.14988893514338</v>
      </c>
    </row>
    <row r="279" customFormat="false" ht="14.4" hidden="false" customHeight="false" outlineLevel="0" collapsed="false">
      <c r="A279" s="20" t="n">
        <v>278</v>
      </c>
      <c r="B279" s="21" t="n">
        <v>43378</v>
      </c>
      <c r="C279" s="22" t="n">
        <v>7100</v>
      </c>
      <c r="D279" s="22" t="n">
        <f aca="false">Table13[[#This Row],[Steps]]-C278</f>
        <v>-2712</v>
      </c>
      <c r="E279" s="23" t="n">
        <v>272.8</v>
      </c>
      <c r="F279" s="23" t="n">
        <f aca="false">Table13[[#This Row],[Colories]]-E278</f>
        <v>-103.1</v>
      </c>
      <c r="G279" s="6" t="n">
        <v>5.11</v>
      </c>
      <c r="H279" s="24" t="n">
        <f aca="false">Table13[[#This Row],[Distance]]-G278</f>
        <v>-1.95</v>
      </c>
      <c r="I279" s="22" t="n">
        <v>62</v>
      </c>
      <c r="J279" s="25" t="n">
        <f aca="false">Table13[[#This Row],[Time]]-I278</f>
        <v>-22</v>
      </c>
      <c r="K279" s="1" t="s">
        <v>12</v>
      </c>
      <c r="L279" s="1" t="n">
        <v>9089</v>
      </c>
      <c r="M279" s="1" t="n">
        <v>351.5</v>
      </c>
      <c r="N279" s="1" t="n">
        <v>6.545</v>
      </c>
      <c r="O279" s="1" t="n">
        <v>82</v>
      </c>
    </row>
    <row r="280" customFormat="false" ht="14.4" hidden="false" customHeight="false" outlineLevel="0" collapsed="false">
      <c r="A280" s="20" t="n">
        <v>279</v>
      </c>
      <c r="B280" s="21" t="n">
        <v>43379</v>
      </c>
      <c r="C280" s="22" t="n">
        <v>11433</v>
      </c>
      <c r="D280" s="22" t="n">
        <f aca="false">Table13[[#This Row],[Steps]]-C279</f>
        <v>4333</v>
      </c>
      <c r="E280" s="23" t="n">
        <v>440.5</v>
      </c>
      <c r="F280" s="23" t="n">
        <f aca="false">Table13[[#This Row],[Colories]]-E279</f>
        <v>167.7</v>
      </c>
      <c r="G280" s="6" t="n">
        <v>8.23</v>
      </c>
      <c r="H280" s="24" t="n">
        <f aca="false">Table13[[#This Row],[Distance]]-G279</f>
        <v>3.12</v>
      </c>
      <c r="I280" s="22" t="n">
        <v>101</v>
      </c>
      <c r="J280" s="25" t="n">
        <f aca="false">Table13[[#This Row],[Time]]-I279</f>
        <v>39</v>
      </c>
      <c r="K280" s="1" t="s">
        <v>14</v>
      </c>
      <c r="L280" s="1" t="e">
        <f aca="false">#N/A</f>
        <v>#N/A</v>
      </c>
      <c r="M280" s="1" t="e">
        <f aca="false">#N/A</f>
        <v>#N/A</v>
      </c>
      <c r="N280" s="1" t="n">
        <v>0.63</v>
      </c>
      <c r="O280" s="1" t="n">
        <v>101</v>
      </c>
    </row>
    <row r="281" customFormat="false" ht="14.4" hidden="false" customHeight="false" outlineLevel="0" collapsed="false">
      <c r="A281" s="20" t="n">
        <v>280</v>
      </c>
      <c r="B281" s="21" t="n">
        <v>43380</v>
      </c>
      <c r="C281" s="22" t="n">
        <v>162</v>
      </c>
      <c r="D281" s="22" t="n">
        <f aca="false">Table13[[#This Row],[Steps]]-C280</f>
        <v>-11271</v>
      </c>
      <c r="E281" s="23" t="n">
        <v>7</v>
      </c>
      <c r="F281" s="23" t="n">
        <f aca="false">Table13[[#This Row],[Colories]]-E280</f>
        <v>-433.5</v>
      </c>
      <c r="G281" s="6" t="n">
        <v>0.12</v>
      </c>
      <c r="H281" s="24" t="n">
        <f aca="false">Table13[[#This Row],[Distance]]-G280</f>
        <v>-8.11</v>
      </c>
      <c r="I281" s="22" t="n">
        <v>1</v>
      </c>
      <c r="J281" s="25" t="n">
        <f aca="false">Table13[[#This Row],[Time]]-I280</f>
        <v>-100</v>
      </c>
      <c r="K281" s="1" t="s">
        <v>16</v>
      </c>
      <c r="L281" s="1" t="n">
        <v>4857.35178842872</v>
      </c>
      <c r="M281" s="1" t="n">
        <v>187.204923214808</v>
      </c>
      <c r="N281" s="1" t="n">
        <v>3.49730510371997</v>
      </c>
      <c r="O281" s="1" t="n">
        <v>44.6387801093978</v>
      </c>
    </row>
    <row r="282" customFormat="false" ht="14.4" hidden="false" customHeight="false" outlineLevel="0" collapsed="false">
      <c r="A282" s="20" t="n">
        <v>281</v>
      </c>
      <c r="B282" s="21" t="n">
        <v>43381</v>
      </c>
      <c r="C282" s="22" t="n">
        <v>9275</v>
      </c>
      <c r="D282" s="22" t="n">
        <f aca="false">Table13[[#This Row],[Steps]]-C281</f>
        <v>9113</v>
      </c>
      <c r="E282" s="23" t="n">
        <v>358</v>
      </c>
      <c r="F282" s="23" t="n">
        <f aca="false">Table13[[#This Row],[Colories]]-E281</f>
        <v>351</v>
      </c>
      <c r="G282" s="6" t="n">
        <v>6.68</v>
      </c>
      <c r="H282" s="24" t="n">
        <f aca="false">Table13[[#This Row],[Distance]]-G281</f>
        <v>6.56</v>
      </c>
      <c r="I282" s="22" t="n">
        <v>83</v>
      </c>
      <c r="J282" s="25" t="n">
        <f aca="false">Table13[[#This Row],[Time]]-I281</f>
        <v>82</v>
      </c>
      <c r="K282" s="1" t="s">
        <v>18</v>
      </c>
      <c r="L282" s="1" t="n">
        <v>23593866.3965517</v>
      </c>
      <c r="M282" s="1" t="n">
        <v>35045.6832758621</v>
      </c>
      <c r="N282" s="1" t="n">
        <v>12.2311429885057</v>
      </c>
      <c r="O282" s="1" t="n">
        <v>1992.62068965517</v>
      </c>
    </row>
    <row r="283" customFormat="false" ht="14.4" hidden="false" customHeight="false" outlineLevel="0" collapsed="false">
      <c r="A283" s="20" t="n">
        <v>282</v>
      </c>
      <c r="B283" s="21" t="n">
        <v>43382</v>
      </c>
      <c r="C283" s="22" t="n">
        <v>16391</v>
      </c>
      <c r="D283" s="22" t="n">
        <f aca="false">Table13[[#This Row],[Steps]]-C282</f>
        <v>7116</v>
      </c>
      <c r="E283" s="23" t="n">
        <v>632.4</v>
      </c>
      <c r="F283" s="23" t="n">
        <f aca="false">Table13[[#This Row],[Colories]]-E282</f>
        <v>274.4</v>
      </c>
      <c r="G283" s="6" t="n">
        <v>11.8</v>
      </c>
      <c r="H283" s="24" t="n">
        <f aca="false">Table13[[#This Row],[Distance]]-G282</f>
        <v>5.12</v>
      </c>
      <c r="I283" s="22" t="n">
        <v>147</v>
      </c>
      <c r="J283" s="25" t="n">
        <f aca="false">Table13[[#This Row],[Time]]-I282</f>
        <v>64</v>
      </c>
      <c r="K283" s="1" t="s">
        <v>20</v>
      </c>
      <c r="L283" s="1" t="n">
        <v>-0.948679658477095</v>
      </c>
      <c r="M283" s="1" t="n">
        <v>-0.928546314619461</v>
      </c>
      <c r="N283" s="1" t="n">
        <v>-0.948523384964346</v>
      </c>
      <c r="O283" s="1" t="n">
        <v>-0.81280299836663</v>
      </c>
    </row>
    <row r="284" customFormat="false" ht="14.4" hidden="false" customHeight="false" outlineLevel="0" collapsed="false">
      <c r="A284" s="20" t="n">
        <v>283</v>
      </c>
      <c r="B284" s="21" t="n">
        <v>43383</v>
      </c>
      <c r="C284" s="22" t="n">
        <v>13950</v>
      </c>
      <c r="D284" s="22" t="n">
        <f aca="false">Table13[[#This Row],[Steps]]-C283</f>
        <v>-2441</v>
      </c>
      <c r="E284" s="23" t="n">
        <v>537.5</v>
      </c>
      <c r="F284" s="23" t="n">
        <f aca="false">Table13[[#This Row],[Colories]]-E283</f>
        <v>-94.9</v>
      </c>
      <c r="G284" s="6" t="n">
        <v>10.04</v>
      </c>
      <c r="H284" s="24" t="n">
        <f aca="false">Table13[[#This Row],[Distance]]-G283</f>
        <v>-1.76</v>
      </c>
      <c r="I284" s="22" t="n">
        <v>124</v>
      </c>
      <c r="J284" s="25" t="n">
        <f aca="false">Table13[[#This Row],[Time]]-I283</f>
        <v>-23</v>
      </c>
      <c r="K284" s="1" t="s">
        <v>22</v>
      </c>
      <c r="L284" s="1" t="n">
        <v>-0.145349894665875</v>
      </c>
      <c r="M284" s="1" t="n">
        <v>-0.135552471576212</v>
      </c>
      <c r="N284" s="1" t="n">
        <v>-0.144881993491134</v>
      </c>
      <c r="O284" s="1" t="n">
        <v>-0.0275909321752746</v>
      </c>
    </row>
    <row r="285" customFormat="false" ht="14.4" hidden="false" customHeight="false" outlineLevel="0" collapsed="false">
      <c r="A285" s="20" t="n">
        <v>284</v>
      </c>
      <c r="B285" s="21" t="n">
        <v>43384</v>
      </c>
      <c r="C285" s="22" t="n">
        <v>7985</v>
      </c>
      <c r="D285" s="22" t="n">
        <f aca="false">Table13[[#This Row],[Steps]]-C284</f>
        <v>-5965</v>
      </c>
      <c r="E285" s="23" t="n">
        <v>305.8</v>
      </c>
      <c r="F285" s="23" t="n">
        <f aca="false">Table13[[#This Row],[Colories]]-E284</f>
        <v>-231.7</v>
      </c>
      <c r="G285" s="6" t="n">
        <v>5.75</v>
      </c>
      <c r="H285" s="24" t="n">
        <f aca="false">Table13[[#This Row],[Distance]]-G284</f>
        <v>-4.29</v>
      </c>
      <c r="I285" s="22" t="n">
        <v>69</v>
      </c>
      <c r="J285" s="25" t="n">
        <f aca="false">Table13[[#This Row],[Time]]-I284</f>
        <v>-55</v>
      </c>
      <c r="K285" s="1" t="s">
        <v>24</v>
      </c>
      <c r="L285" s="1" t="n">
        <v>16262</v>
      </c>
      <c r="M285" s="1" t="n">
        <v>637.7</v>
      </c>
      <c r="N285" s="1" t="n">
        <v>11.71</v>
      </c>
      <c r="O285" s="1" t="n">
        <v>156</v>
      </c>
    </row>
    <row r="286" customFormat="false" ht="14.4" hidden="false" customHeight="false" outlineLevel="0" collapsed="false">
      <c r="A286" s="20" t="n">
        <v>285</v>
      </c>
      <c r="B286" s="21" t="n">
        <v>43385</v>
      </c>
      <c r="C286" s="22" t="n">
        <v>7581</v>
      </c>
      <c r="D286" s="22" t="n">
        <f aca="false">Table13[[#This Row],[Steps]]-C285</f>
        <v>-404</v>
      </c>
      <c r="E286" s="23" t="n">
        <v>295.8</v>
      </c>
      <c r="F286" s="23" t="n">
        <f aca="false">Table13[[#This Row],[Colories]]-E285</f>
        <v>-10</v>
      </c>
      <c r="G286" s="6" t="n">
        <v>5.46</v>
      </c>
      <c r="H286" s="24" t="n">
        <f aca="false">Table13[[#This Row],[Distance]]-G285</f>
        <v>-0.29</v>
      </c>
      <c r="I286" s="22" t="n">
        <v>70</v>
      </c>
      <c r="J286" s="25" t="n">
        <f aca="false">Table13[[#This Row],[Time]]-I285</f>
        <v>1</v>
      </c>
      <c r="K286" s="1" t="s">
        <v>26</v>
      </c>
      <c r="L286" s="1" t="n">
        <v>162</v>
      </c>
      <c r="M286" s="1" t="n">
        <v>7</v>
      </c>
      <c r="N286" s="1" t="n">
        <v>0.12</v>
      </c>
      <c r="O286" s="1" t="n">
        <v>1</v>
      </c>
    </row>
    <row r="287" customFormat="false" ht="14.4" hidden="false" customHeight="false" outlineLevel="0" collapsed="false">
      <c r="A287" s="20" t="n">
        <v>286</v>
      </c>
      <c r="B287" s="21" t="n">
        <v>43386</v>
      </c>
      <c r="C287" s="22" t="n">
        <v>1572</v>
      </c>
      <c r="D287" s="22" t="n">
        <f aca="false">Table13[[#This Row],[Steps]]-C286</f>
        <v>-6009</v>
      </c>
      <c r="E287" s="23" t="n">
        <v>62.5</v>
      </c>
      <c r="F287" s="23" t="n">
        <f aca="false">Table13[[#This Row],[Colories]]-E286</f>
        <v>-233.3</v>
      </c>
      <c r="G287" s="6" t="n">
        <v>1.13</v>
      </c>
      <c r="H287" s="24" t="n">
        <f aca="false">Table13[[#This Row],[Distance]]-G286</f>
        <v>-4.33</v>
      </c>
      <c r="I287" s="22" t="n">
        <v>15</v>
      </c>
      <c r="J287" s="25" t="n">
        <f aca="false">Table13[[#This Row],[Time]]-I286</f>
        <v>-55</v>
      </c>
      <c r="K287" s="1" t="s">
        <v>28</v>
      </c>
      <c r="L287" s="1" t="n">
        <v>16424</v>
      </c>
      <c r="M287" s="1" t="n">
        <v>644.7</v>
      </c>
      <c r="N287" s="1" t="n">
        <v>11.83</v>
      </c>
      <c r="O287" s="1" t="n">
        <v>157</v>
      </c>
    </row>
    <row r="288" customFormat="false" ht="14.4" hidden="false" customHeight="false" outlineLevel="0" collapsed="false">
      <c r="A288" s="20" t="n">
        <v>287</v>
      </c>
      <c r="B288" s="21" t="n">
        <v>43387</v>
      </c>
      <c r="C288" s="22" t="n">
        <v>16424</v>
      </c>
      <c r="D288" s="22" t="n">
        <f aca="false">Table13[[#This Row],[Steps]]-C287</f>
        <v>14852</v>
      </c>
      <c r="E288" s="23" t="n">
        <v>644.7</v>
      </c>
      <c r="F288" s="23" t="n">
        <f aca="false">Table13[[#This Row],[Colories]]-E287</f>
        <v>582.2</v>
      </c>
      <c r="G288" s="6" t="n">
        <v>11.83</v>
      </c>
      <c r="H288" s="24" t="n">
        <f aca="false">Table13[[#This Row],[Distance]]-G287</f>
        <v>10.7</v>
      </c>
      <c r="I288" s="22" t="n">
        <v>157</v>
      </c>
      <c r="J288" s="25" t="n">
        <f aca="false">Table13[[#This Row],[Time]]-I287</f>
        <v>142</v>
      </c>
      <c r="K288" s="1" t="s">
        <v>30</v>
      </c>
      <c r="L288" s="1" t="n">
        <v>252285</v>
      </c>
      <c r="M288" s="1" t="n">
        <v>9778.5</v>
      </c>
      <c r="N288" s="1" t="n">
        <v>181.64</v>
      </c>
      <c r="O288" s="1" t="n">
        <v>2310</v>
      </c>
    </row>
    <row r="289" customFormat="false" ht="14.4" hidden="false" customHeight="false" outlineLevel="0" collapsed="false">
      <c r="A289" s="20" t="n">
        <v>288</v>
      </c>
      <c r="B289" s="21" t="n">
        <v>43388</v>
      </c>
      <c r="C289" s="22" t="n">
        <v>2509</v>
      </c>
      <c r="D289" s="22" t="n">
        <f aca="false">Table13[[#This Row],[Steps]]-C288</f>
        <v>-13915</v>
      </c>
      <c r="E289" s="23" t="n">
        <v>96.9</v>
      </c>
      <c r="F289" s="23" t="n">
        <f aca="false">Table13[[#This Row],[Colories]]-E288</f>
        <v>-547.8</v>
      </c>
      <c r="G289" s="6" t="n">
        <v>1.81</v>
      </c>
      <c r="H289" s="24" t="n">
        <f aca="false">Table13[[#This Row],[Distance]]-G288</f>
        <v>-10.02</v>
      </c>
      <c r="I289" s="22" t="n">
        <v>22</v>
      </c>
      <c r="J289" s="25" t="n">
        <f aca="false">Table13[[#This Row],[Time]]-I288</f>
        <v>-135</v>
      </c>
      <c r="K289" s="1" t="s">
        <v>32</v>
      </c>
      <c r="L289" s="1" t="n">
        <v>30</v>
      </c>
      <c r="M289" s="1" t="n">
        <v>30</v>
      </c>
      <c r="N289" s="1" t="n">
        <v>30</v>
      </c>
      <c r="O289" s="1" t="n">
        <v>30</v>
      </c>
    </row>
    <row r="290" customFormat="false" ht="14.4" hidden="false" customHeight="false" outlineLevel="0" collapsed="false">
      <c r="A290" s="20" t="n">
        <v>289</v>
      </c>
      <c r="B290" s="21" t="n">
        <v>43389</v>
      </c>
      <c r="C290" s="22" t="n">
        <v>10578</v>
      </c>
      <c r="D290" s="22" t="n">
        <f aca="false">Table13[[#This Row],[Steps]]-C289</f>
        <v>8069</v>
      </c>
      <c r="E290" s="23" t="n">
        <v>410.3</v>
      </c>
      <c r="F290" s="23" t="n">
        <f aca="false">Table13[[#This Row],[Colories]]-E289</f>
        <v>313.4</v>
      </c>
      <c r="G290" s="6" t="n">
        <v>7.62</v>
      </c>
      <c r="H290" s="24" t="n">
        <f aca="false">Table13[[#This Row],[Distance]]-G289</f>
        <v>5.81</v>
      </c>
      <c r="I290" s="22" t="n">
        <v>98</v>
      </c>
      <c r="J290" s="25" t="n">
        <f aca="false">Table13[[#This Row],[Time]]-I289</f>
        <v>76</v>
      </c>
      <c r="K290" s="1" t="s">
        <v>34</v>
      </c>
      <c r="L290" s="1" t="n">
        <v>16424</v>
      </c>
      <c r="M290" s="1" t="n">
        <v>644.7</v>
      </c>
      <c r="N290" s="1" t="n">
        <v>11.83</v>
      </c>
      <c r="O290" s="1" t="n">
        <v>157</v>
      </c>
    </row>
    <row r="291" customFormat="false" ht="14.4" hidden="false" customHeight="false" outlineLevel="0" collapsed="false">
      <c r="A291" s="20" t="n">
        <v>290</v>
      </c>
      <c r="B291" s="21" t="n">
        <v>43390</v>
      </c>
      <c r="C291" s="22" t="n">
        <v>8027</v>
      </c>
      <c r="D291" s="22" t="n">
        <f aca="false">Table13[[#This Row],[Steps]]-C290</f>
        <v>-2551</v>
      </c>
      <c r="E291" s="23" t="n">
        <v>311.1</v>
      </c>
      <c r="F291" s="23" t="n">
        <f aca="false">Table13[[#This Row],[Colories]]-E290</f>
        <v>-99.2</v>
      </c>
      <c r="G291" s="6" t="n">
        <v>5.78</v>
      </c>
      <c r="H291" s="24" t="n">
        <f aca="false">Table13[[#This Row],[Distance]]-G290</f>
        <v>-1.84</v>
      </c>
      <c r="I291" s="22" t="n">
        <v>72</v>
      </c>
      <c r="J291" s="25" t="n">
        <f aca="false">Table13[[#This Row],[Time]]-I290</f>
        <v>-26</v>
      </c>
      <c r="K291" s="1" t="s">
        <v>36</v>
      </c>
      <c r="L291" s="1" t="n">
        <v>162</v>
      </c>
      <c r="M291" s="1" t="n">
        <v>7</v>
      </c>
      <c r="N291" s="1" t="n">
        <v>0.12</v>
      </c>
      <c r="O291" s="1" t="n">
        <v>1</v>
      </c>
    </row>
    <row r="292" customFormat="false" ht="14.4" hidden="false" customHeight="false" outlineLevel="0" collapsed="false">
      <c r="A292" s="20" t="n">
        <v>291</v>
      </c>
      <c r="B292" s="21" t="n">
        <v>43391</v>
      </c>
      <c r="C292" s="22" t="n">
        <v>10104</v>
      </c>
      <c r="D292" s="22" t="n">
        <f aca="false">Table13[[#This Row],[Steps]]-C291</f>
        <v>2077</v>
      </c>
      <c r="E292" s="23" t="n">
        <v>390.7</v>
      </c>
      <c r="F292" s="23" t="n">
        <f aca="false">Table13[[#This Row],[Colories]]-E291</f>
        <v>79.6</v>
      </c>
      <c r="G292" s="6" t="n">
        <v>7.27</v>
      </c>
      <c r="H292" s="24" t="n">
        <f aca="false">Table13[[#This Row],[Distance]]-G291</f>
        <v>1.49</v>
      </c>
      <c r="I292" s="22" t="n">
        <v>92</v>
      </c>
      <c r="J292" s="25" t="n">
        <f aca="false">Table13[[#This Row],[Time]]-I291</f>
        <v>20</v>
      </c>
      <c r="K292" s="29" t="s">
        <v>158</v>
      </c>
      <c r="L292" s="29" t="n">
        <v>1813.76496619222</v>
      </c>
      <c r="M292" s="29" t="n">
        <v>69.9034671597381</v>
      </c>
      <c r="N292" s="29" t="n">
        <v>1.30591518784446</v>
      </c>
      <c r="O292" s="29" t="n">
        <v>16.6683944302446</v>
      </c>
    </row>
    <row r="293" customFormat="false" ht="14.4" hidden="false" customHeight="false" outlineLevel="0" collapsed="false">
      <c r="A293" s="20" t="n">
        <v>292</v>
      </c>
      <c r="B293" s="21" t="n">
        <v>43392</v>
      </c>
      <c r="C293" s="22" t="n">
        <v>5743</v>
      </c>
      <c r="D293" s="22" t="n">
        <f aca="false">Table13[[#This Row],[Steps]]-C292</f>
        <v>-4361</v>
      </c>
      <c r="E293" s="23" t="n">
        <v>228.2</v>
      </c>
      <c r="F293" s="23" t="n">
        <f aca="false">Table13[[#This Row],[Colories]]-E292</f>
        <v>-162.5</v>
      </c>
      <c r="G293" s="6" t="n">
        <v>4.13</v>
      </c>
      <c r="H293" s="24" t="n">
        <f aca="false">Table13[[#This Row],[Distance]]-G292</f>
        <v>-3.14</v>
      </c>
      <c r="I293" s="22" t="n">
        <v>57</v>
      </c>
      <c r="J293" s="25" t="n">
        <f aca="false">Table13[[#This Row],[Time]]-I292</f>
        <v>-35</v>
      </c>
    </row>
    <row r="294" customFormat="false" ht="14.4" hidden="false" customHeight="false" outlineLevel="0" collapsed="false">
      <c r="A294" s="20" t="n">
        <v>293</v>
      </c>
      <c r="B294" s="21" t="n">
        <v>43393</v>
      </c>
      <c r="C294" s="22" t="n">
        <v>874</v>
      </c>
      <c r="D294" s="22" t="n">
        <f aca="false">Table13[[#This Row],[Steps]]-C293</f>
        <v>-4869</v>
      </c>
      <c r="E294" s="23" t="n">
        <v>36.9</v>
      </c>
      <c r="F294" s="23" t="n">
        <f aca="false">Table13[[#This Row],[Colories]]-E293</f>
        <v>-191.3</v>
      </c>
      <c r="G294" s="6" t="n">
        <v>0.63</v>
      </c>
      <c r="H294" s="24" t="n">
        <f aca="false">Table13[[#This Row],[Distance]]-G293</f>
        <v>-3.5</v>
      </c>
      <c r="I294" s="22" t="n">
        <v>10</v>
      </c>
      <c r="J294" s="25" t="n">
        <f aca="false">Table13[[#This Row],[Time]]-I293</f>
        <v>-47</v>
      </c>
    </row>
    <row r="295" customFormat="false" ht="14.4" hidden="false" customHeight="false" outlineLevel="0" collapsed="false">
      <c r="A295" s="20" t="n">
        <v>294</v>
      </c>
      <c r="B295" s="21" t="n">
        <v>43394</v>
      </c>
      <c r="C295" s="22" t="n">
        <v>3419</v>
      </c>
      <c r="D295" s="22" t="n">
        <f aca="false">Table13[[#This Row],[Steps]]-C294</f>
        <v>2545</v>
      </c>
      <c r="E295" s="23" t="n">
        <v>134.5</v>
      </c>
      <c r="F295" s="23" t="n">
        <f aca="false">Table13[[#This Row],[Colories]]-E294</f>
        <v>97.6</v>
      </c>
      <c r="G295" s="6" t="n">
        <v>2.46</v>
      </c>
      <c r="H295" s="24" t="n">
        <f aca="false">Table13[[#This Row],[Distance]]-G294</f>
        <v>1.83</v>
      </c>
      <c r="I295" s="22" t="n">
        <v>33</v>
      </c>
      <c r="J295" s="25" t="n">
        <f aca="false">Table13[[#This Row],[Time]]-I294</f>
        <v>23</v>
      </c>
    </row>
    <row r="296" customFormat="false" ht="14.4" hidden="false" customHeight="false" outlineLevel="0" collapsed="false">
      <c r="A296" s="20" t="n">
        <v>295</v>
      </c>
      <c r="B296" s="21" t="n">
        <v>43395</v>
      </c>
      <c r="C296" s="22" t="n">
        <v>9321</v>
      </c>
      <c r="D296" s="22" t="n">
        <f aca="false">Table13[[#This Row],[Steps]]-C295</f>
        <v>5902</v>
      </c>
      <c r="E296" s="23" t="n">
        <v>366.2</v>
      </c>
      <c r="F296" s="23" t="n">
        <f aca="false">Table13[[#This Row],[Colories]]-E295</f>
        <v>231.7</v>
      </c>
      <c r="G296" s="6" t="n">
        <v>6.71</v>
      </c>
      <c r="H296" s="24" t="n">
        <f aca="false">Table13[[#This Row],[Distance]]-G295</f>
        <v>4.25</v>
      </c>
      <c r="I296" s="22" t="n">
        <v>88</v>
      </c>
      <c r="J296" s="25" t="n">
        <f aca="false">Table13[[#This Row],[Time]]-I295</f>
        <v>55</v>
      </c>
    </row>
    <row r="297" customFormat="false" ht="14.4" hidden="false" customHeight="false" outlineLevel="0" collapsed="false">
      <c r="A297" s="20" t="n">
        <v>296</v>
      </c>
      <c r="B297" s="21" t="n">
        <v>43396</v>
      </c>
      <c r="C297" s="22" t="n">
        <v>12524</v>
      </c>
      <c r="D297" s="22" t="n">
        <f aca="false">Table13[[#This Row],[Steps]]-C296</f>
        <v>3203</v>
      </c>
      <c r="E297" s="23" t="n">
        <v>482.6</v>
      </c>
      <c r="F297" s="23" t="n">
        <f aca="false">Table13[[#This Row],[Colories]]-E296</f>
        <v>116.4</v>
      </c>
      <c r="G297" s="6" t="n">
        <v>9.02</v>
      </c>
      <c r="H297" s="24" t="n">
        <f aca="false">Table13[[#This Row],[Distance]]-G296</f>
        <v>2.31</v>
      </c>
      <c r="I297" s="22" t="n">
        <v>112</v>
      </c>
      <c r="J297" s="25" t="n">
        <f aca="false">Table13[[#This Row],[Time]]-I296</f>
        <v>24</v>
      </c>
    </row>
    <row r="298" customFormat="false" ht="14.4" hidden="false" customHeight="false" outlineLevel="0" collapsed="false">
      <c r="A298" s="20" t="n">
        <v>297</v>
      </c>
      <c r="B298" s="21" t="n">
        <v>43397</v>
      </c>
      <c r="C298" s="22" t="n">
        <v>13529</v>
      </c>
      <c r="D298" s="22" t="n">
        <f aca="false">Table13[[#This Row],[Steps]]-C297</f>
        <v>1005</v>
      </c>
      <c r="E298" s="23" t="n">
        <v>522.2</v>
      </c>
      <c r="F298" s="23" t="n">
        <f aca="false">Table13[[#This Row],[Colories]]-E297</f>
        <v>39.6</v>
      </c>
      <c r="G298" s="6" t="n">
        <v>9.74</v>
      </c>
      <c r="H298" s="24" t="n">
        <f aca="false">Table13[[#This Row],[Distance]]-G297</f>
        <v>0.720000000000001</v>
      </c>
      <c r="I298" s="22" t="n">
        <v>122</v>
      </c>
      <c r="J298" s="25" t="n">
        <f aca="false">Table13[[#This Row],[Time]]-I297</f>
        <v>10</v>
      </c>
    </row>
    <row r="299" customFormat="false" ht="14.4" hidden="false" customHeight="false" outlineLevel="0" collapsed="false">
      <c r="A299" s="20" t="n">
        <v>298</v>
      </c>
      <c r="B299" s="21" t="n">
        <v>43398</v>
      </c>
      <c r="C299" s="22" t="n">
        <v>5777</v>
      </c>
      <c r="D299" s="22" t="n">
        <f aca="false">Table13[[#This Row],[Steps]]-C298</f>
        <v>-7752</v>
      </c>
      <c r="E299" s="23" t="n">
        <v>223.5</v>
      </c>
      <c r="F299" s="23" t="n">
        <f aca="false">Table13[[#This Row],[Colories]]-E298</f>
        <v>-298.7</v>
      </c>
      <c r="G299" s="6" t="n">
        <v>4.16</v>
      </c>
      <c r="H299" s="24" t="n">
        <f aca="false">Table13[[#This Row],[Distance]]-G298</f>
        <v>-5.58</v>
      </c>
      <c r="I299" s="22" t="n">
        <v>53</v>
      </c>
      <c r="J299" s="25" t="n">
        <f aca="false">Table13[[#This Row],[Time]]-I298</f>
        <v>-69</v>
      </c>
    </row>
    <row r="300" customFormat="false" ht="14.4" hidden="false" customHeight="false" outlineLevel="0" collapsed="false">
      <c r="A300" s="20" t="n">
        <v>299</v>
      </c>
      <c r="B300" s="21" t="n">
        <v>43399</v>
      </c>
      <c r="C300" s="22" t="n">
        <v>11402</v>
      </c>
      <c r="D300" s="22" t="n">
        <f aca="false">Table13[[#This Row],[Steps]]-C299</f>
        <v>5625</v>
      </c>
      <c r="E300" s="23" t="n">
        <v>437.9</v>
      </c>
      <c r="F300" s="23" t="n">
        <f aca="false">Table13[[#This Row],[Colories]]-E299</f>
        <v>214.4</v>
      </c>
      <c r="G300" s="6" t="n">
        <v>8.21</v>
      </c>
      <c r="H300" s="24" t="n">
        <f aca="false">Table13[[#This Row],[Distance]]-G299</f>
        <v>4.05</v>
      </c>
      <c r="I300" s="22" t="n">
        <v>100</v>
      </c>
      <c r="J300" s="25" t="n">
        <f aca="false">Table13[[#This Row],[Time]]-I299</f>
        <v>47</v>
      </c>
    </row>
    <row r="301" customFormat="false" ht="14.4" hidden="false" customHeight="false" outlineLevel="0" collapsed="false">
      <c r="A301" s="20" t="n">
        <v>300</v>
      </c>
      <c r="B301" s="21" t="n">
        <v>43400</v>
      </c>
      <c r="C301" s="22" t="n">
        <v>881</v>
      </c>
      <c r="D301" s="22" t="n">
        <f aca="false">Table13[[#This Row],[Steps]]-C300</f>
        <v>-10521</v>
      </c>
      <c r="E301" s="23" t="n">
        <v>35.5</v>
      </c>
      <c r="F301" s="23" t="n">
        <f aca="false">Table13[[#This Row],[Colories]]-E300</f>
        <v>-402.4</v>
      </c>
      <c r="G301" s="6" t="n">
        <v>0.63</v>
      </c>
      <c r="H301" s="24" t="n">
        <f aca="false">Table13[[#This Row],[Distance]]-G300</f>
        <v>-7.58</v>
      </c>
      <c r="I301" s="22" t="n">
        <v>9</v>
      </c>
      <c r="J301" s="25" t="n">
        <f aca="false">Table13[[#This Row],[Time]]-I300</f>
        <v>-91</v>
      </c>
    </row>
    <row r="302" customFormat="false" ht="14.4" hidden="false" customHeight="false" outlineLevel="0" collapsed="false">
      <c r="A302" s="20" t="n">
        <v>301</v>
      </c>
      <c r="B302" s="21" t="n">
        <v>43401</v>
      </c>
      <c r="C302" s="22" t="n">
        <v>1539</v>
      </c>
      <c r="D302" s="22" t="n">
        <f aca="false">Table13[[#This Row],[Steps]]-C301</f>
        <v>658</v>
      </c>
      <c r="E302" s="23" t="n">
        <v>63.9</v>
      </c>
      <c r="F302" s="23" t="n">
        <f aca="false">Table13[[#This Row],[Colories]]-E301</f>
        <v>28.4</v>
      </c>
      <c r="G302" s="6" t="n">
        <v>1.11</v>
      </c>
      <c r="H302" s="24" t="n">
        <f aca="false">Table13[[#This Row],[Distance]]-G301</f>
        <v>0.48</v>
      </c>
      <c r="I302" s="22" t="n">
        <v>17</v>
      </c>
      <c r="J302" s="25" t="n">
        <f aca="false">Table13[[#This Row],[Time]]-I301</f>
        <v>8</v>
      </c>
    </row>
    <row r="303" customFormat="false" ht="14.4" hidden="false" customHeight="false" outlineLevel="0" collapsed="false">
      <c r="A303" s="20" t="n">
        <v>302</v>
      </c>
      <c r="B303" s="21" t="n">
        <v>43402</v>
      </c>
      <c r="C303" s="22" t="n">
        <v>10834</v>
      </c>
      <c r="D303" s="22" t="n">
        <f aca="false">Table13[[#This Row],[Steps]]-C302</f>
        <v>9295</v>
      </c>
      <c r="E303" s="23" t="n">
        <v>423.7</v>
      </c>
      <c r="F303" s="23" t="n">
        <f aca="false">Table13[[#This Row],[Colories]]-E302</f>
        <v>359.8</v>
      </c>
      <c r="G303" s="6" t="n">
        <v>7.8</v>
      </c>
      <c r="H303" s="24" t="n">
        <f aca="false">Table13[[#This Row],[Distance]]-G302</f>
        <v>6.69</v>
      </c>
      <c r="I303" s="22" t="n">
        <v>101</v>
      </c>
      <c r="J303" s="25" t="n">
        <f aca="false">Table13[[#This Row],[Time]]-I302</f>
        <v>84</v>
      </c>
    </row>
    <row r="304" customFormat="false" ht="14.4" hidden="false" customHeight="false" outlineLevel="0" collapsed="false">
      <c r="A304" s="20" t="n">
        <v>303</v>
      </c>
      <c r="B304" s="21" t="n">
        <v>43403</v>
      </c>
      <c r="C304" s="22" t="n">
        <v>14755</v>
      </c>
      <c r="D304" s="22" t="n">
        <f aca="false">Table13[[#This Row],[Steps]]-C303</f>
        <v>3921</v>
      </c>
      <c r="E304" s="23" t="n">
        <v>570.2</v>
      </c>
      <c r="F304" s="23" t="n">
        <f aca="false">Table13[[#This Row],[Colories]]-E303</f>
        <v>146.5</v>
      </c>
      <c r="G304" s="6" t="n">
        <v>10.62</v>
      </c>
      <c r="H304" s="24" t="n">
        <f aca="false">Table13[[#This Row],[Distance]]-G303</f>
        <v>2.82</v>
      </c>
      <c r="I304" s="22" t="n">
        <v>153</v>
      </c>
      <c r="J304" s="25" t="n">
        <f aca="false">Table13[[#This Row],[Time]]-I303</f>
        <v>52</v>
      </c>
    </row>
    <row r="305" customFormat="false" ht="14.4" hidden="false" customHeight="false" outlineLevel="0" collapsed="false">
      <c r="A305" s="20" t="n">
        <v>304</v>
      </c>
      <c r="B305" s="21" t="n">
        <v>43404</v>
      </c>
      <c r="C305" s="22" t="n">
        <v>4929</v>
      </c>
      <c r="D305" s="22" t="n">
        <f aca="false">Table13[[#This Row],[Steps]]-C304</f>
        <v>-9826</v>
      </c>
      <c r="E305" s="23" t="n">
        <v>191.4</v>
      </c>
      <c r="F305" s="23" t="n">
        <f aca="false">Table13[[#This Row],[Colories]]-E304</f>
        <v>-378.8</v>
      </c>
      <c r="G305" s="6" t="n">
        <v>3.55</v>
      </c>
      <c r="H305" s="24" t="n">
        <f aca="false">Table13[[#This Row],[Distance]]-G304</f>
        <v>-7.07</v>
      </c>
      <c r="I305" s="22" t="n">
        <v>45</v>
      </c>
      <c r="J305" s="25" t="n">
        <f aca="false">Table13[[#This Row],[Time]]-I304</f>
        <v>-108</v>
      </c>
    </row>
    <row r="306" customFormat="false" ht="14.4" hidden="false" customHeight="false" outlineLevel="0" collapsed="false">
      <c r="A306" s="20" t="n">
        <v>305</v>
      </c>
      <c r="B306" s="21" t="n">
        <v>43405</v>
      </c>
      <c r="C306" s="22" t="n">
        <v>11963</v>
      </c>
      <c r="D306" s="22" t="n">
        <f aca="false">Table13[[#This Row],[Steps]]-C305</f>
        <v>7034</v>
      </c>
      <c r="E306" s="23" t="n">
        <v>461.8</v>
      </c>
      <c r="F306" s="23" t="n">
        <f aca="false">Table13[[#This Row],[Colories]]-E305</f>
        <v>270.4</v>
      </c>
      <c r="G306" s="6" t="n">
        <v>8.61</v>
      </c>
      <c r="H306" s="24" t="n">
        <f aca="false">Table13[[#This Row],[Distance]]-G305</f>
        <v>5.06</v>
      </c>
      <c r="I306" s="22" t="n">
        <v>108</v>
      </c>
      <c r="J306" s="25" t="n">
        <f aca="false">Table13[[#This Row],[Time]]-I305</f>
        <v>63</v>
      </c>
      <c r="K306" s="27" t="s">
        <v>192</v>
      </c>
      <c r="L306" s="27" t="s">
        <v>2</v>
      </c>
      <c r="M306" s="27" t="s">
        <v>179</v>
      </c>
      <c r="N306" s="27" t="s">
        <v>175</v>
      </c>
      <c r="O306" s="27" t="s">
        <v>177</v>
      </c>
    </row>
    <row r="307" customFormat="false" ht="14.4" hidden="false" customHeight="false" outlineLevel="0" collapsed="false">
      <c r="A307" s="20" t="n">
        <v>306</v>
      </c>
      <c r="B307" s="21" t="n">
        <v>43406</v>
      </c>
      <c r="C307" s="22" t="n">
        <v>10847</v>
      </c>
      <c r="D307" s="22" t="n">
        <f aca="false">Table13[[#This Row],[Steps]]-C306</f>
        <v>-1116</v>
      </c>
      <c r="E307" s="23" t="n">
        <v>422.3</v>
      </c>
      <c r="F307" s="23" t="n">
        <f aca="false">Table13[[#This Row],[Colories]]-E306</f>
        <v>-39.5</v>
      </c>
      <c r="G307" s="6" t="n">
        <v>7.81</v>
      </c>
      <c r="H307" s="24" t="n">
        <f aca="false">Table13[[#This Row],[Distance]]-G306</f>
        <v>-0.8</v>
      </c>
      <c r="I307" s="22" t="n">
        <v>101</v>
      </c>
      <c r="J307" s="25" t="n">
        <f aca="false">Table13[[#This Row],[Time]]-I306</f>
        <v>-7</v>
      </c>
    </row>
    <row r="308" customFormat="false" ht="14.4" hidden="false" customHeight="false" outlineLevel="0" collapsed="false">
      <c r="A308" s="20" t="n">
        <v>307</v>
      </c>
      <c r="B308" s="21" t="n">
        <v>43407</v>
      </c>
      <c r="C308" s="22" t="n">
        <v>6103</v>
      </c>
      <c r="D308" s="22" t="n">
        <f aca="false">Table13[[#This Row],[Steps]]-C307</f>
        <v>-4744</v>
      </c>
      <c r="E308" s="23" t="n">
        <v>241.6</v>
      </c>
      <c r="F308" s="23" t="n">
        <f aca="false">Table13[[#This Row],[Colories]]-E307</f>
        <v>-180.7</v>
      </c>
      <c r="G308" s="6" t="n">
        <v>4.39</v>
      </c>
      <c r="H308" s="24" t="n">
        <f aca="false">Table13[[#This Row],[Distance]]-G307</f>
        <v>-3.42</v>
      </c>
      <c r="I308" s="22" t="n">
        <v>60</v>
      </c>
      <c r="J308" s="25" t="n">
        <f aca="false">Table13[[#This Row],[Time]]-I307</f>
        <v>-41</v>
      </c>
      <c r="K308" s="1" t="s">
        <v>8</v>
      </c>
      <c r="L308" s="1" t="n">
        <v>10771.5517241379</v>
      </c>
      <c r="M308" s="1" t="n">
        <v>418.624137931035</v>
      </c>
      <c r="N308" s="1" t="n">
        <v>7.7551724137931</v>
      </c>
      <c r="O308" s="1" t="n">
        <v>95.3103448275862</v>
      </c>
    </row>
    <row r="309" customFormat="false" ht="14.4" hidden="false" customHeight="false" outlineLevel="0" collapsed="false">
      <c r="A309" s="20" t="n">
        <v>308</v>
      </c>
      <c r="B309" s="21" t="n">
        <v>43408</v>
      </c>
      <c r="C309" s="22" t="n">
        <v>10076</v>
      </c>
      <c r="D309" s="22" t="n">
        <f aca="false">Table13[[#This Row],[Steps]]-C308</f>
        <v>3973</v>
      </c>
      <c r="E309" s="23" t="n">
        <v>388.9</v>
      </c>
      <c r="F309" s="23" t="n">
        <f aca="false">Table13[[#This Row],[Colories]]-E308</f>
        <v>147.3</v>
      </c>
      <c r="G309" s="6" t="n">
        <v>7.25</v>
      </c>
      <c r="H309" s="24" t="n">
        <f aca="false">Table13[[#This Row],[Distance]]-G308</f>
        <v>2.86</v>
      </c>
      <c r="I309" s="22" t="n">
        <v>90</v>
      </c>
      <c r="J309" s="25" t="n">
        <f aca="false">Table13[[#This Row],[Time]]-I308</f>
        <v>30</v>
      </c>
      <c r="K309" s="1" t="s">
        <v>10</v>
      </c>
      <c r="L309" s="1" t="n">
        <v>870.589641624547</v>
      </c>
      <c r="M309" s="1" t="n">
        <v>33.8729143488139</v>
      </c>
      <c r="N309" s="1" t="n">
        <v>0.626884866333401</v>
      </c>
      <c r="O309" s="1" t="n">
        <v>6.98892569605057</v>
      </c>
    </row>
    <row r="310" customFormat="false" ht="14.4" hidden="false" customHeight="false" outlineLevel="0" collapsed="false">
      <c r="A310" s="20" t="n">
        <v>309</v>
      </c>
      <c r="B310" s="21" t="n">
        <v>43409</v>
      </c>
      <c r="C310" s="22" t="n">
        <v>12377</v>
      </c>
      <c r="D310" s="22" t="n">
        <f aca="false">Table13[[#This Row],[Steps]]-C309</f>
        <v>2301</v>
      </c>
      <c r="E310" s="23" t="n">
        <v>476.7</v>
      </c>
      <c r="F310" s="23" t="n">
        <f aca="false">Table13[[#This Row],[Colories]]-E309</f>
        <v>87.8</v>
      </c>
      <c r="G310" s="6" t="n">
        <v>8.91</v>
      </c>
      <c r="H310" s="24" t="n">
        <f aca="false">Table13[[#This Row],[Distance]]-G309</f>
        <v>1.66</v>
      </c>
      <c r="I310" s="22" t="n">
        <v>110</v>
      </c>
      <c r="J310" s="25" t="n">
        <f aca="false">Table13[[#This Row],[Time]]-I309</f>
        <v>20</v>
      </c>
      <c r="K310" s="1" t="s">
        <v>12</v>
      </c>
      <c r="L310" s="1" t="n">
        <v>10622</v>
      </c>
      <c r="M310" s="1" t="n">
        <v>407.3</v>
      </c>
      <c r="N310" s="1" t="n">
        <v>7.65</v>
      </c>
      <c r="O310" s="1" t="n">
        <v>92</v>
      </c>
    </row>
    <row r="311" customFormat="false" ht="14.4" hidden="false" customHeight="false" outlineLevel="0" collapsed="false">
      <c r="A311" s="20" t="n">
        <v>310</v>
      </c>
      <c r="B311" s="21" t="n">
        <v>43410</v>
      </c>
      <c r="C311" s="22" t="n">
        <v>7490</v>
      </c>
      <c r="D311" s="22" t="n">
        <f aca="false">Table13[[#This Row],[Steps]]-C310</f>
        <v>-4887</v>
      </c>
      <c r="E311" s="23" t="n">
        <v>292.1</v>
      </c>
      <c r="F311" s="23" t="n">
        <f aca="false">Table13[[#This Row],[Colories]]-E310</f>
        <v>-184.6</v>
      </c>
      <c r="G311" s="6" t="n">
        <v>5.39</v>
      </c>
      <c r="H311" s="24" t="n">
        <f aca="false">Table13[[#This Row],[Distance]]-G310</f>
        <v>-3.52</v>
      </c>
      <c r="I311" s="22" t="n">
        <v>70</v>
      </c>
      <c r="J311" s="25" t="n">
        <f aca="false">Table13[[#This Row],[Time]]-I310</f>
        <v>-40</v>
      </c>
      <c r="K311" s="1" t="s">
        <v>14</v>
      </c>
      <c r="L311" s="1" t="e">
        <f aca="false">#N/A</f>
        <v>#N/A</v>
      </c>
      <c r="M311" s="1" t="e">
        <f aca="false">#N/A</f>
        <v>#N/A</v>
      </c>
      <c r="N311" s="1" t="e">
        <f aca="false">#N/A</f>
        <v>#N/A</v>
      </c>
      <c r="O311" s="1" t="n">
        <v>116</v>
      </c>
    </row>
    <row r="312" customFormat="false" ht="14.4" hidden="false" customHeight="false" outlineLevel="0" collapsed="false">
      <c r="A312" s="20" t="n">
        <v>311</v>
      </c>
      <c r="B312" s="21" t="n">
        <v>43411</v>
      </c>
      <c r="C312" s="22" t="n">
        <v>22996</v>
      </c>
      <c r="D312" s="22" t="n">
        <f aca="false">Table13[[#This Row],[Steps]]-C311</f>
        <v>15506</v>
      </c>
      <c r="E312" s="23" t="n">
        <v>885.7</v>
      </c>
      <c r="F312" s="23" t="n">
        <f aca="false">Table13[[#This Row],[Colories]]-E311</f>
        <v>593.6</v>
      </c>
      <c r="G312" s="6" t="n">
        <v>16.56</v>
      </c>
      <c r="H312" s="24" t="n">
        <f aca="false">Table13[[#This Row],[Distance]]-G311</f>
        <v>11.17</v>
      </c>
      <c r="I312" s="22" t="n">
        <v>204</v>
      </c>
      <c r="J312" s="25" t="n">
        <f aca="false">Table13[[#This Row],[Time]]-I311</f>
        <v>134</v>
      </c>
      <c r="K312" s="1" t="s">
        <v>16</v>
      </c>
      <c r="L312" s="1" t="n">
        <v>4688.26869953235</v>
      </c>
      <c r="M312" s="1" t="n">
        <v>182.411226266314</v>
      </c>
      <c r="N312" s="1" t="n">
        <v>3.37587832030385</v>
      </c>
      <c r="O312" s="1" t="n">
        <v>37.6365166980495</v>
      </c>
    </row>
    <row r="313" customFormat="false" ht="14.4" hidden="false" customHeight="false" outlineLevel="0" collapsed="false">
      <c r="A313" s="20" t="n">
        <v>312</v>
      </c>
      <c r="B313" s="21" t="n">
        <v>43412</v>
      </c>
      <c r="C313" s="22" t="n">
        <v>17576</v>
      </c>
      <c r="D313" s="22" t="n">
        <f aca="false">Table13[[#This Row],[Steps]]-C312</f>
        <v>-5420</v>
      </c>
      <c r="E313" s="23" t="n">
        <v>675</v>
      </c>
      <c r="F313" s="23" t="n">
        <f aca="false">Table13[[#This Row],[Colories]]-E312</f>
        <v>-210.7</v>
      </c>
      <c r="G313" s="6" t="n">
        <v>12.65</v>
      </c>
      <c r="H313" s="24" t="n">
        <f aca="false">Table13[[#This Row],[Distance]]-G312</f>
        <v>-3.91</v>
      </c>
      <c r="I313" s="22" t="n">
        <v>153</v>
      </c>
      <c r="J313" s="25" t="n">
        <f aca="false">Table13[[#This Row],[Time]]-I312</f>
        <v>-51</v>
      </c>
      <c r="K313" s="1" t="s">
        <v>18</v>
      </c>
      <c r="L313" s="1" t="n">
        <v>21979863.3990148</v>
      </c>
      <c r="M313" s="1" t="n">
        <v>33273.8554679804</v>
      </c>
      <c r="N313" s="1" t="n">
        <v>11.3965544334975</v>
      </c>
      <c r="O313" s="1" t="n">
        <v>1416.50738916256</v>
      </c>
    </row>
    <row r="314" customFormat="false" ht="14.4" hidden="false" customHeight="false" outlineLevel="0" collapsed="false">
      <c r="A314" s="20" t="n">
        <v>313</v>
      </c>
      <c r="B314" s="21" t="n">
        <v>43413</v>
      </c>
      <c r="C314" s="22" t="n">
        <v>7927</v>
      </c>
      <c r="D314" s="22" t="n">
        <f aca="false">Table13[[#This Row],[Steps]]-C313</f>
        <v>-9649</v>
      </c>
      <c r="E314" s="23" t="n">
        <v>304.4</v>
      </c>
      <c r="F314" s="23" t="n">
        <f aca="false">Table13[[#This Row],[Colories]]-E313</f>
        <v>-370.6</v>
      </c>
      <c r="G314" s="6" t="n">
        <v>5.71</v>
      </c>
      <c r="H314" s="24" t="n">
        <f aca="false">Table13[[#This Row],[Distance]]-G313</f>
        <v>-6.94</v>
      </c>
      <c r="I314" s="22" t="n">
        <v>68</v>
      </c>
      <c r="J314" s="25" t="n">
        <f aca="false">Table13[[#This Row],[Time]]-I313</f>
        <v>-85</v>
      </c>
      <c r="K314" s="1" t="s">
        <v>20</v>
      </c>
      <c r="L314" s="1" t="n">
        <v>0.742489166824586</v>
      </c>
      <c r="M314" s="1" t="n">
        <v>0.797900317518971</v>
      </c>
      <c r="N314" s="1" t="n">
        <v>0.744871422427109</v>
      </c>
      <c r="O314" s="1" t="n">
        <v>0.960999303930363</v>
      </c>
    </row>
    <row r="315" customFormat="false" ht="14.4" hidden="false" customHeight="false" outlineLevel="0" collapsed="false">
      <c r="A315" s="20" t="n">
        <v>314</v>
      </c>
      <c r="B315" s="21" t="n">
        <v>43414</v>
      </c>
      <c r="C315" s="22" t="n">
        <v>13825</v>
      </c>
      <c r="D315" s="22" t="n">
        <f aca="false">Table13[[#This Row],[Steps]]-C314</f>
        <v>5898</v>
      </c>
      <c r="E315" s="23" t="n">
        <v>551</v>
      </c>
      <c r="F315" s="23" t="n">
        <f aca="false">Table13[[#This Row],[Colories]]-E314</f>
        <v>246.6</v>
      </c>
      <c r="G315" s="6" t="n">
        <v>9.96</v>
      </c>
      <c r="H315" s="24" t="n">
        <f aca="false">Table13[[#This Row],[Distance]]-G314</f>
        <v>4.25</v>
      </c>
      <c r="I315" s="22" t="n">
        <v>138</v>
      </c>
      <c r="J315" s="25" t="n">
        <f aca="false">Table13[[#This Row],[Time]]-I314</f>
        <v>70</v>
      </c>
      <c r="K315" s="1" t="s">
        <v>22</v>
      </c>
      <c r="L315" s="1" t="n">
        <v>0.961508002868841</v>
      </c>
      <c r="M315" s="1" t="n">
        <v>1.00338694834318</v>
      </c>
      <c r="N315" s="1" t="n">
        <v>0.962371869023836</v>
      </c>
      <c r="O315" s="1" t="n">
        <v>0.907235542551273</v>
      </c>
    </row>
    <row r="316" customFormat="false" ht="14.4" hidden="false" customHeight="false" outlineLevel="0" collapsed="false">
      <c r="A316" s="20" t="n">
        <v>315</v>
      </c>
      <c r="B316" s="21" t="n">
        <v>43415</v>
      </c>
      <c r="C316" s="22" t="n">
        <v>21412</v>
      </c>
      <c r="D316" s="22" t="n">
        <f aca="false">Table13[[#This Row],[Steps]]-C315</f>
        <v>7587</v>
      </c>
      <c r="E316" s="23" t="n">
        <v>853.2</v>
      </c>
      <c r="F316" s="23" t="n">
        <f aca="false">Table13[[#This Row],[Colories]]-E315</f>
        <v>302.2</v>
      </c>
      <c r="G316" s="6" t="n">
        <v>15.42</v>
      </c>
      <c r="H316" s="24" t="n">
        <f aca="false">Table13[[#This Row],[Distance]]-G315</f>
        <v>5.46</v>
      </c>
      <c r="I316" s="22" t="n">
        <v>116</v>
      </c>
      <c r="J316" s="25" t="n">
        <f aca="false">Table13[[#This Row],[Time]]-I315</f>
        <v>-22</v>
      </c>
      <c r="K316" s="1" t="s">
        <v>24</v>
      </c>
      <c r="L316" s="1" t="n">
        <v>19225</v>
      </c>
      <c r="M316" s="1" t="n">
        <v>727.9</v>
      </c>
      <c r="N316" s="1" t="n">
        <v>13.84</v>
      </c>
      <c r="O316" s="1" t="n">
        <v>162</v>
      </c>
    </row>
    <row r="317" customFormat="false" ht="14.4" hidden="false" customHeight="false" outlineLevel="0" collapsed="false">
      <c r="A317" s="20" t="n">
        <v>316</v>
      </c>
      <c r="B317" s="21" t="n">
        <v>43416</v>
      </c>
      <c r="C317" s="22" t="n">
        <v>16976</v>
      </c>
      <c r="D317" s="22" t="n">
        <f aca="false">Table13[[#This Row],[Steps]]-C316</f>
        <v>-4436</v>
      </c>
      <c r="E317" s="23" t="n">
        <v>662</v>
      </c>
      <c r="F317" s="23" t="n">
        <f aca="false">Table13[[#This Row],[Colories]]-E316</f>
        <v>-191.2</v>
      </c>
      <c r="G317" s="6" t="n">
        <v>12.22</v>
      </c>
      <c r="H317" s="24" t="n">
        <f aca="false">Table13[[#This Row],[Distance]]-G316</f>
        <v>-3.2</v>
      </c>
      <c r="I317" s="22" t="n">
        <v>158</v>
      </c>
      <c r="J317" s="25" t="n">
        <f aca="false">Table13[[#This Row],[Time]]-I316</f>
        <v>42</v>
      </c>
      <c r="K317" s="1" t="s">
        <v>26</v>
      </c>
      <c r="L317" s="1" t="n">
        <v>3771</v>
      </c>
      <c r="M317" s="1" t="n">
        <v>157.8</v>
      </c>
      <c r="N317" s="1" t="n">
        <v>2.72</v>
      </c>
      <c r="O317" s="1" t="n">
        <v>42</v>
      </c>
    </row>
    <row r="318" customFormat="false" ht="14.4" hidden="false" customHeight="false" outlineLevel="0" collapsed="false">
      <c r="A318" s="20" t="n">
        <v>317</v>
      </c>
      <c r="B318" s="21" t="n">
        <v>43417</v>
      </c>
      <c r="C318" s="22" t="n">
        <v>11826</v>
      </c>
      <c r="D318" s="22" t="n">
        <f aca="false">Table13[[#This Row],[Steps]]-C317</f>
        <v>-5150</v>
      </c>
      <c r="E318" s="23" t="n">
        <v>460.8</v>
      </c>
      <c r="F318" s="23" t="n">
        <f aca="false">Table13[[#This Row],[Colories]]-E317</f>
        <v>-201.2</v>
      </c>
      <c r="G318" s="6" t="n">
        <v>8.51</v>
      </c>
      <c r="H318" s="24" t="n">
        <f aca="false">Table13[[#This Row],[Distance]]-G317</f>
        <v>-3.71</v>
      </c>
      <c r="I318" s="22" t="n">
        <v>109</v>
      </c>
      <c r="J318" s="25" t="n">
        <f aca="false">Table13[[#This Row],[Time]]-I317</f>
        <v>-49</v>
      </c>
      <c r="K318" s="1" t="s">
        <v>28</v>
      </c>
      <c r="L318" s="1" t="n">
        <v>22996</v>
      </c>
      <c r="M318" s="1" t="n">
        <v>885.7</v>
      </c>
      <c r="N318" s="1" t="n">
        <v>16.56</v>
      </c>
      <c r="O318" s="1" t="n">
        <v>204</v>
      </c>
    </row>
    <row r="319" customFormat="false" ht="14.4" hidden="false" customHeight="false" outlineLevel="0" collapsed="false">
      <c r="A319" s="20" t="n">
        <v>318</v>
      </c>
      <c r="B319" s="21" t="n">
        <v>43418</v>
      </c>
      <c r="C319" s="22" t="n">
        <v>13350</v>
      </c>
      <c r="D319" s="22" t="n">
        <f aca="false">Table13[[#This Row],[Steps]]-C318</f>
        <v>1524</v>
      </c>
      <c r="E319" s="23" t="n">
        <v>511.8</v>
      </c>
      <c r="F319" s="23" t="n">
        <f aca="false">Table13[[#This Row],[Colories]]-E318</f>
        <v>51</v>
      </c>
      <c r="G319" s="6" t="n">
        <v>9.61</v>
      </c>
      <c r="H319" s="24" t="n">
        <f aca="false">Table13[[#This Row],[Distance]]-G318</f>
        <v>1.1</v>
      </c>
      <c r="I319" s="22" t="n">
        <v>116</v>
      </c>
      <c r="J319" s="25" t="n">
        <f aca="false">Table13[[#This Row],[Time]]-I318</f>
        <v>7</v>
      </c>
      <c r="K319" s="1" t="s">
        <v>30</v>
      </c>
      <c r="L319" s="1" t="n">
        <v>312375</v>
      </c>
      <c r="M319" s="1" t="n">
        <v>12140.1</v>
      </c>
      <c r="N319" s="1" t="n">
        <v>224.9</v>
      </c>
      <c r="O319" s="1" t="n">
        <v>2764</v>
      </c>
    </row>
    <row r="320" customFormat="false" ht="14.4" hidden="false" customHeight="false" outlineLevel="0" collapsed="false">
      <c r="A320" s="20" t="n">
        <v>319</v>
      </c>
      <c r="B320" s="21" t="n">
        <v>43419</v>
      </c>
      <c r="C320" s="22" t="n">
        <v>13363</v>
      </c>
      <c r="D320" s="22" t="n">
        <f aca="false">Table13[[#This Row],[Steps]]-C319</f>
        <v>13</v>
      </c>
      <c r="E320" s="23" t="n">
        <v>514.9</v>
      </c>
      <c r="F320" s="23" t="n">
        <f aca="false">Table13[[#This Row],[Colories]]-E319</f>
        <v>3.09999999999997</v>
      </c>
      <c r="G320" s="6" t="n">
        <v>9.62</v>
      </c>
      <c r="H320" s="24" t="n">
        <f aca="false">Table13[[#This Row],[Distance]]-G319</f>
        <v>0.00999999999999979</v>
      </c>
      <c r="I320" s="22" t="n">
        <v>120</v>
      </c>
      <c r="J320" s="25" t="n">
        <f aca="false">Table13[[#This Row],[Time]]-I319</f>
        <v>4</v>
      </c>
      <c r="K320" s="1" t="s">
        <v>32</v>
      </c>
      <c r="L320" s="1" t="n">
        <v>29</v>
      </c>
      <c r="M320" s="1" t="n">
        <v>29</v>
      </c>
      <c r="N320" s="1" t="n">
        <v>29</v>
      </c>
      <c r="O320" s="1" t="n">
        <v>29</v>
      </c>
    </row>
    <row r="321" customFormat="false" ht="14.4" hidden="false" customHeight="false" outlineLevel="0" collapsed="false">
      <c r="A321" s="20" t="n">
        <v>320</v>
      </c>
      <c r="B321" s="21" t="n">
        <v>43420</v>
      </c>
      <c r="C321" s="22" t="n">
        <v>6018</v>
      </c>
      <c r="D321" s="22" t="n">
        <f aca="false">Table13[[#This Row],[Steps]]-C320</f>
        <v>-7345</v>
      </c>
      <c r="E321" s="23" t="n">
        <v>235.8</v>
      </c>
      <c r="F321" s="23" t="n">
        <f aca="false">Table13[[#This Row],[Colories]]-E320</f>
        <v>-279.1</v>
      </c>
      <c r="G321" s="6" t="n">
        <v>4.33</v>
      </c>
      <c r="H321" s="24" t="n">
        <f aca="false">Table13[[#This Row],[Distance]]-G320</f>
        <v>-5.29</v>
      </c>
      <c r="I321" s="22" t="n">
        <v>57</v>
      </c>
      <c r="J321" s="25" t="n">
        <f aca="false">Table13[[#This Row],[Time]]-I320</f>
        <v>-63</v>
      </c>
      <c r="K321" s="1" t="s">
        <v>34</v>
      </c>
      <c r="L321" s="1" t="n">
        <v>22996</v>
      </c>
      <c r="M321" s="1" t="n">
        <v>885.7</v>
      </c>
      <c r="N321" s="1" t="n">
        <v>16.56</v>
      </c>
      <c r="O321" s="1" t="n">
        <v>204</v>
      </c>
    </row>
    <row r="322" customFormat="false" ht="14.4" hidden="false" customHeight="false" outlineLevel="0" collapsed="false">
      <c r="A322" s="20" t="n">
        <v>321</v>
      </c>
      <c r="B322" s="21" t="n">
        <v>43421</v>
      </c>
      <c r="C322" s="22" t="n">
        <v>3771</v>
      </c>
      <c r="D322" s="22" t="n">
        <f aca="false">Table13[[#This Row],[Steps]]-C321</f>
        <v>-2247</v>
      </c>
      <c r="E322" s="23" t="n">
        <v>157.8</v>
      </c>
      <c r="F322" s="23" t="n">
        <f aca="false">Table13[[#This Row],[Colories]]-E321</f>
        <v>-78</v>
      </c>
      <c r="G322" s="6" t="n">
        <v>2.72</v>
      </c>
      <c r="H322" s="24" t="n">
        <f aca="false">Table13[[#This Row],[Distance]]-G321</f>
        <v>-1.61</v>
      </c>
      <c r="I322" s="22" t="n">
        <v>42</v>
      </c>
      <c r="J322" s="25" t="n">
        <f aca="false">Table13[[#This Row],[Time]]-I321</f>
        <v>-15</v>
      </c>
      <c r="K322" s="1" t="s">
        <v>36</v>
      </c>
      <c r="L322" s="1" t="n">
        <v>3771</v>
      </c>
      <c r="M322" s="1" t="n">
        <v>157.8</v>
      </c>
      <c r="N322" s="1" t="n">
        <v>2.72</v>
      </c>
      <c r="O322" s="1" t="n">
        <v>42</v>
      </c>
    </row>
    <row r="323" customFormat="false" ht="14.4" hidden="false" customHeight="false" outlineLevel="0" collapsed="false">
      <c r="A323" s="20" t="n">
        <v>322</v>
      </c>
      <c r="B323" s="21" t="n">
        <v>43422</v>
      </c>
      <c r="C323" s="22" t="n">
        <v>8508</v>
      </c>
      <c r="D323" s="22" t="n">
        <f aca="false">Table13[[#This Row],[Steps]]-C322</f>
        <v>4737</v>
      </c>
      <c r="E323" s="23" t="n">
        <v>333.2</v>
      </c>
      <c r="F323" s="23" t="n">
        <f aca="false">Table13[[#This Row],[Colories]]-E322</f>
        <v>175.4</v>
      </c>
      <c r="G323" s="6" t="n">
        <v>6.13</v>
      </c>
      <c r="H323" s="24" t="n">
        <f aca="false">Table13[[#This Row],[Distance]]-G322</f>
        <v>3.41</v>
      </c>
      <c r="I323" s="22" t="n">
        <v>80</v>
      </c>
      <c r="J323" s="25" t="n">
        <f aca="false">Table13[[#This Row],[Time]]-I322</f>
        <v>38</v>
      </c>
      <c r="K323" s="29" t="s">
        <v>158</v>
      </c>
      <c r="L323" s="29" t="n">
        <v>1783.32203947669</v>
      </c>
      <c r="M323" s="29" t="n">
        <v>69.385519665529</v>
      </c>
      <c r="N323" s="29" t="n">
        <v>1.2841154372807</v>
      </c>
      <c r="O323" s="29" t="n">
        <v>14.3161653092663</v>
      </c>
    </row>
    <row r="324" customFormat="false" ht="14.4" hidden="false" customHeight="false" outlineLevel="0" collapsed="false">
      <c r="A324" s="20" t="n">
        <v>323</v>
      </c>
      <c r="B324" s="21" t="n">
        <v>43423</v>
      </c>
      <c r="C324" s="22" t="n">
        <v>8999</v>
      </c>
      <c r="D324" s="22" t="n">
        <f aca="false">Table13[[#This Row],[Steps]]-C323</f>
        <v>491</v>
      </c>
      <c r="E324" s="23" t="n">
        <v>349.5</v>
      </c>
      <c r="F324" s="23" t="n">
        <f aca="false">Table13[[#This Row],[Colories]]-E323</f>
        <v>16.3</v>
      </c>
      <c r="G324" s="6" t="n">
        <v>6.48</v>
      </c>
      <c r="H324" s="24" t="n">
        <f aca="false">Table13[[#This Row],[Distance]]-G323</f>
        <v>0.350000000000001</v>
      </c>
      <c r="I324" s="22" t="n">
        <v>82</v>
      </c>
      <c r="J324" s="25" t="n">
        <f aca="false">Table13[[#This Row],[Time]]-I323</f>
        <v>2</v>
      </c>
    </row>
    <row r="325" customFormat="false" ht="14.4" hidden="false" customHeight="false" outlineLevel="0" collapsed="false">
      <c r="A325" s="20" t="n">
        <v>324</v>
      </c>
      <c r="B325" s="21" t="n">
        <v>43424</v>
      </c>
      <c r="C325" s="22" t="n">
        <v>13580</v>
      </c>
      <c r="D325" s="22" t="n">
        <f aca="false">Table13[[#This Row],[Steps]]-C324</f>
        <v>4581</v>
      </c>
      <c r="E325" s="23" t="n">
        <v>524.9</v>
      </c>
      <c r="F325" s="23" t="n">
        <f aca="false">Table13[[#This Row],[Colories]]-E324</f>
        <v>175.4</v>
      </c>
      <c r="G325" s="6" t="n">
        <v>9.78</v>
      </c>
      <c r="H325" s="24" t="n">
        <f aca="false">Table13[[#This Row],[Distance]]-G324</f>
        <v>3.3</v>
      </c>
      <c r="I325" s="22" t="n">
        <v>122</v>
      </c>
      <c r="J325" s="25" t="n">
        <f aca="false">Table13[[#This Row],[Time]]-I324</f>
        <v>40</v>
      </c>
    </row>
    <row r="326" customFormat="false" ht="14.4" hidden="false" customHeight="false" outlineLevel="0" collapsed="false">
      <c r="A326" s="20" t="n">
        <v>325</v>
      </c>
      <c r="B326" s="21" t="n">
        <v>43425</v>
      </c>
      <c r="C326" s="22" t="n">
        <v>12222</v>
      </c>
      <c r="D326" s="22" t="n">
        <f aca="false">Table13[[#This Row],[Steps]]-C325</f>
        <v>-1358</v>
      </c>
      <c r="E326" s="23" t="n">
        <v>473.9</v>
      </c>
      <c r="F326" s="23" t="n">
        <f aca="false">Table13[[#This Row],[Colories]]-E325</f>
        <v>-51</v>
      </c>
      <c r="G326" s="6" t="n">
        <v>8.8</v>
      </c>
      <c r="H326" s="24" t="n">
        <f aca="false">Table13[[#This Row],[Distance]]-G325</f>
        <v>-0.979999999999999</v>
      </c>
      <c r="I326" s="22" t="n">
        <v>112</v>
      </c>
      <c r="J326" s="25" t="n">
        <f aca="false">Table13[[#This Row],[Time]]-I325</f>
        <v>-10</v>
      </c>
    </row>
    <row r="327" customFormat="false" ht="14.4" hidden="false" customHeight="false" outlineLevel="0" collapsed="false">
      <c r="A327" s="20" t="n">
        <v>326</v>
      </c>
      <c r="B327" s="21" t="n">
        <v>43426</v>
      </c>
      <c r="C327" s="22" t="n">
        <v>11409</v>
      </c>
      <c r="D327" s="22" t="n">
        <f aca="false">Table13[[#This Row],[Steps]]-C326</f>
        <v>-813</v>
      </c>
      <c r="E327" s="23" t="n">
        <v>444</v>
      </c>
      <c r="F327" s="23" t="n">
        <f aca="false">Table13[[#This Row],[Colories]]-E326</f>
        <v>-29.9</v>
      </c>
      <c r="G327" s="6" t="n">
        <v>8.21</v>
      </c>
      <c r="H327" s="24" t="n">
        <f aca="false">Table13[[#This Row],[Distance]]-G326</f>
        <v>-0.59</v>
      </c>
      <c r="I327" s="22" t="n">
        <v>106</v>
      </c>
      <c r="J327" s="25" t="n">
        <f aca="false">Table13[[#This Row],[Time]]-I326</f>
        <v>-6</v>
      </c>
    </row>
    <row r="328" customFormat="false" ht="14.4" hidden="false" customHeight="false" outlineLevel="0" collapsed="false">
      <c r="A328" s="20" t="n">
        <v>327</v>
      </c>
      <c r="B328" s="21" t="n">
        <v>43427</v>
      </c>
      <c r="C328" s="22" t="n">
        <v>11916</v>
      </c>
      <c r="D328" s="22" t="n">
        <f aca="false">Table13[[#This Row],[Steps]]-C327</f>
        <v>507</v>
      </c>
      <c r="E328" s="23" t="n">
        <v>459.5</v>
      </c>
      <c r="F328" s="23" t="n">
        <f aca="false">Table13[[#This Row],[Colories]]-E327</f>
        <v>15.5</v>
      </c>
      <c r="G328" s="6" t="n">
        <v>8.58</v>
      </c>
      <c r="H328" s="24" t="n">
        <f aca="false">Table13[[#This Row],[Distance]]-G327</f>
        <v>0.369999999999999</v>
      </c>
      <c r="I328" s="22" t="n">
        <v>107</v>
      </c>
      <c r="J328" s="25" t="n">
        <f aca="false">Table13[[#This Row],[Time]]-I327</f>
        <v>1</v>
      </c>
    </row>
    <row r="329" customFormat="false" ht="14.4" hidden="false" customHeight="false" outlineLevel="0" collapsed="false">
      <c r="A329" s="20" t="n">
        <v>328</v>
      </c>
      <c r="B329" s="21" t="n">
        <v>43428</v>
      </c>
      <c r="C329" s="22" t="n">
        <v>6114</v>
      </c>
      <c r="D329" s="22" t="n">
        <f aca="false">Table13[[#This Row],[Steps]]-C328</f>
        <v>-5802</v>
      </c>
      <c r="E329" s="23" t="n">
        <v>239.2</v>
      </c>
      <c r="F329" s="23" t="n">
        <f aca="false">Table13[[#This Row],[Colories]]-E328</f>
        <v>-220.3</v>
      </c>
      <c r="G329" s="6" t="n">
        <v>4.4</v>
      </c>
      <c r="H329" s="24" t="n">
        <f aca="false">Table13[[#This Row],[Distance]]-G328</f>
        <v>-4.18</v>
      </c>
      <c r="I329" s="22" t="n">
        <v>58</v>
      </c>
      <c r="J329" s="25" t="n">
        <f aca="false">Table13[[#This Row],[Time]]-I328</f>
        <v>-49</v>
      </c>
    </row>
    <row r="330" customFormat="false" ht="14.4" hidden="false" customHeight="false" outlineLevel="0" collapsed="false">
      <c r="A330" s="20" t="n">
        <v>329</v>
      </c>
      <c r="B330" s="21" t="n">
        <v>43429</v>
      </c>
      <c r="C330" s="22" t="n">
        <v>6144</v>
      </c>
      <c r="D330" s="22" t="n">
        <f aca="false">Table13[[#This Row],[Steps]]-C329</f>
        <v>30</v>
      </c>
      <c r="E330" s="23" t="n">
        <v>237.4</v>
      </c>
      <c r="F330" s="23" t="n">
        <f aca="false">Table13[[#This Row],[Colories]]-E329</f>
        <v>-1.79999999999998</v>
      </c>
      <c r="G330" s="6" t="n">
        <v>4.42</v>
      </c>
      <c r="H330" s="24" t="n">
        <f aca="false">Table13[[#This Row],[Distance]]-G329</f>
        <v>0.0199999999999996</v>
      </c>
      <c r="I330" s="22" t="n">
        <v>56</v>
      </c>
      <c r="J330" s="25" t="n">
        <f aca="false">Table13[[#This Row],[Time]]-I329</f>
        <v>-2</v>
      </c>
    </row>
    <row r="331" customFormat="false" ht="14.4" hidden="false" customHeight="false" outlineLevel="0" collapsed="false">
      <c r="A331" s="20" t="n">
        <v>330</v>
      </c>
      <c r="B331" s="21" t="n">
        <v>43430</v>
      </c>
      <c r="C331" s="22" t="n">
        <v>10622</v>
      </c>
      <c r="D331" s="22" t="n">
        <f aca="false">Table13[[#This Row],[Steps]]-C330</f>
        <v>4478</v>
      </c>
      <c r="E331" s="23" t="n">
        <v>407.3</v>
      </c>
      <c r="F331" s="23" t="n">
        <f aca="false">Table13[[#This Row],[Colories]]-E330</f>
        <v>169.9</v>
      </c>
      <c r="G331" s="6" t="n">
        <v>7.65</v>
      </c>
      <c r="H331" s="24" t="n">
        <f aca="false">Table13[[#This Row],[Distance]]-G330</f>
        <v>3.23</v>
      </c>
      <c r="I331" s="22" t="n">
        <v>92</v>
      </c>
      <c r="J331" s="25" t="n">
        <f aca="false">Table13[[#This Row],[Time]]-I330</f>
        <v>36</v>
      </c>
    </row>
    <row r="332" customFormat="false" ht="14.4" hidden="false" customHeight="false" outlineLevel="0" collapsed="false">
      <c r="A332" s="20" t="n">
        <v>331</v>
      </c>
      <c r="B332" s="21" t="n">
        <v>43431</v>
      </c>
      <c r="C332" s="22" t="n">
        <v>7220</v>
      </c>
      <c r="D332" s="22" t="n">
        <f aca="false">Table13[[#This Row],[Steps]]-C331</f>
        <v>-3402</v>
      </c>
      <c r="E332" s="23" t="n">
        <v>281.3</v>
      </c>
      <c r="F332" s="23" t="n">
        <f aca="false">Table13[[#This Row],[Colories]]-E331</f>
        <v>-126</v>
      </c>
      <c r="G332" s="6" t="n">
        <v>5.2</v>
      </c>
      <c r="H332" s="24" t="n">
        <f aca="false">Table13[[#This Row],[Distance]]-G331</f>
        <v>-2.45</v>
      </c>
      <c r="I332" s="22" t="n">
        <v>67</v>
      </c>
      <c r="J332" s="25" t="n">
        <f aca="false">Table13[[#This Row],[Time]]-I331</f>
        <v>-25</v>
      </c>
    </row>
    <row r="333" customFormat="false" ht="14.4" hidden="false" customHeight="false" outlineLevel="0" collapsed="false">
      <c r="A333" s="20" t="n">
        <v>332</v>
      </c>
      <c r="B333" s="21" t="n">
        <v>43432</v>
      </c>
      <c r="C333" s="22" t="n">
        <v>6902</v>
      </c>
      <c r="D333" s="22" t="n">
        <f aca="false">Table13[[#This Row],[Steps]]-C332</f>
        <v>-318</v>
      </c>
      <c r="E333" s="23" t="n">
        <v>264.4</v>
      </c>
      <c r="F333" s="23" t="n">
        <f aca="false">Table13[[#This Row],[Colories]]-E332</f>
        <v>-16.9</v>
      </c>
      <c r="G333" s="6" t="n">
        <v>4.97</v>
      </c>
      <c r="H333" s="24" t="n">
        <f aca="false">Table13[[#This Row],[Distance]]-G332</f>
        <v>-0.23</v>
      </c>
      <c r="I333" s="22" t="n">
        <v>59</v>
      </c>
      <c r="J333" s="25" t="n">
        <f aca="false">Table13[[#This Row],[Time]]-I332</f>
        <v>-8</v>
      </c>
    </row>
    <row r="334" customFormat="false" ht="14.4" hidden="false" customHeight="false" outlineLevel="0" collapsed="false">
      <c r="A334" s="20" t="n">
        <v>333</v>
      </c>
      <c r="B334" s="21" t="n">
        <v>43433</v>
      </c>
      <c r="C334" s="22" t="n">
        <v>6422</v>
      </c>
      <c r="D334" s="22" t="n">
        <f aca="false">Table13[[#This Row],[Steps]]-C333</f>
        <v>-480</v>
      </c>
      <c r="E334" s="23" t="n">
        <v>247.2</v>
      </c>
      <c r="F334" s="23" t="n">
        <f aca="false">Table13[[#This Row],[Colories]]-E333</f>
        <v>-17.2</v>
      </c>
      <c r="G334" s="6" t="n">
        <v>4.62</v>
      </c>
      <c r="H334" s="24" t="n">
        <f aca="false">Table13[[#This Row],[Distance]]-G333</f>
        <v>-0.35</v>
      </c>
      <c r="I334" s="22" t="n">
        <v>57</v>
      </c>
      <c r="J334" s="25" t="n">
        <f aca="false">Table13[[#This Row],[Time]]-I333</f>
        <v>-2</v>
      </c>
    </row>
    <row r="335" customFormat="false" ht="14.4" hidden="false" customHeight="false" outlineLevel="0" collapsed="false">
      <c r="A335" s="20" t="n">
        <v>334</v>
      </c>
      <c r="B335" s="21" t="n">
        <v>43434</v>
      </c>
      <c r="C335" s="22" t="n">
        <v>6384</v>
      </c>
      <c r="D335" s="22" t="n">
        <f aca="false">Table13[[#This Row],[Steps]]-C334</f>
        <v>-38</v>
      </c>
      <c r="E335" s="23" t="n">
        <v>244.3</v>
      </c>
      <c r="F335" s="23" t="n">
        <f aca="false">Table13[[#This Row],[Colories]]-E334</f>
        <v>-2.89999999999998</v>
      </c>
      <c r="G335" s="6" t="n">
        <v>4.6</v>
      </c>
      <c r="H335" s="24" t="n">
        <f aca="false">Table13[[#This Row],[Distance]]-G334</f>
        <v>-0.0200000000000005</v>
      </c>
      <c r="I335" s="22" t="n">
        <v>54</v>
      </c>
      <c r="J335" s="25" t="n">
        <f aca="false">Table13[[#This Row],[Time]]-I334</f>
        <v>-3</v>
      </c>
    </row>
    <row r="336" customFormat="false" ht="14.4" hidden="false" customHeight="false" outlineLevel="0" collapsed="false">
      <c r="A336" s="20" t="n">
        <v>335</v>
      </c>
      <c r="B336" s="21" t="n">
        <v>43435</v>
      </c>
      <c r="C336" s="22" t="n">
        <v>22655</v>
      </c>
      <c r="D336" s="22" t="n">
        <f aca="false">Table13[[#This Row],[Steps]]-C335</f>
        <v>16271</v>
      </c>
      <c r="E336" s="23" t="n">
        <v>872</v>
      </c>
      <c r="F336" s="23" t="n">
        <f aca="false">Table13[[#This Row],[Colories]]-E335</f>
        <v>627.7</v>
      </c>
      <c r="G336" s="6" t="n">
        <v>16.31</v>
      </c>
      <c r="H336" s="24" t="n">
        <f aca="false">Table13[[#This Row],[Distance]]-G335</f>
        <v>11.71</v>
      </c>
      <c r="I336" s="22" t="n">
        <v>201</v>
      </c>
      <c r="J336" s="25" t="n">
        <f aca="false">Table13[[#This Row],[Time]]-I335</f>
        <v>147</v>
      </c>
      <c r="K336" s="27" t="s">
        <v>193</v>
      </c>
      <c r="L336" s="27" t="s">
        <v>2</v>
      </c>
      <c r="M336" s="27" t="s">
        <v>179</v>
      </c>
      <c r="N336" s="27" t="s">
        <v>175</v>
      </c>
      <c r="O336" s="27" t="s">
        <v>177</v>
      </c>
    </row>
    <row r="337" customFormat="false" ht="14.4" hidden="false" customHeight="false" outlineLevel="0" collapsed="false">
      <c r="A337" s="20" t="n">
        <v>336</v>
      </c>
      <c r="B337" s="21" t="n">
        <v>43436</v>
      </c>
      <c r="C337" s="22" t="n">
        <v>8410</v>
      </c>
      <c r="D337" s="22" t="n">
        <f aca="false">Table13[[#This Row],[Steps]]-C336</f>
        <v>-14245</v>
      </c>
      <c r="E337" s="23" t="n">
        <v>327.4</v>
      </c>
      <c r="F337" s="23" t="n">
        <f aca="false">Table13[[#This Row],[Colories]]-E336</f>
        <v>-544.6</v>
      </c>
      <c r="G337" s="6" t="n">
        <v>6.06</v>
      </c>
      <c r="H337" s="24" t="n">
        <f aca="false">Table13[[#This Row],[Distance]]-G336</f>
        <v>-10.25</v>
      </c>
      <c r="I337" s="22" t="n">
        <v>77</v>
      </c>
      <c r="J337" s="25" t="n">
        <f aca="false">Table13[[#This Row],[Time]]-I336</f>
        <v>-124</v>
      </c>
    </row>
    <row r="338" customFormat="false" ht="14.4" hidden="false" customHeight="false" outlineLevel="0" collapsed="false">
      <c r="A338" s="20" t="n">
        <v>337</v>
      </c>
      <c r="B338" s="21" t="n">
        <v>43437</v>
      </c>
      <c r="C338" s="22" t="n">
        <v>17802</v>
      </c>
      <c r="D338" s="22" t="n">
        <f aca="false">Table13[[#This Row],[Steps]]-C337</f>
        <v>9392</v>
      </c>
      <c r="E338" s="23" t="n">
        <v>685.7</v>
      </c>
      <c r="F338" s="23" t="n">
        <f aca="false">Table13[[#This Row],[Colories]]-E337</f>
        <v>358.3</v>
      </c>
      <c r="G338" s="6" t="n">
        <v>12.82</v>
      </c>
      <c r="H338" s="24" t="n">
        <f aca="false">Table13[[#This Row],[Distance]]-G337</f>
        <v>6.76</v>
      </c>
      <c r="I338" s="22" t="n">
        <v>158</v>
      </c>
      <c r="J338" s="25" t="n">
        <f aca="false">Table13[[#This Row],[Time]]-I337</f>
        <v>81</v>
      </c>
      <c r="K338" s="1" t="s">
        <v>8</v>
      </c>
      <c r="L338" s="1" t="n">
        <v>8819.03333333333</v>
      </c>
      <c r="M338" s="1" t="n">
        <v>341.623333333333</v>
      </c>
      <c r="N338" s="1" t="n">
        <v>6.34933333333333</v>
      </c>
      <c r="O338" s="1" t="n">
        <v>79.7666666666667</v>
      </c>
    </row>
    <row r="339" customFormat="false" ht="14.4" hidden="false" customHeight="false" outlineLevel="0" collapsed="false">
      <c r="A339" s="20" t="n">
        <v>338</v>
      </c>
      <c r="B339" s="21" t="n">
        <v>43438</v>
      </c>
      <c r="C339" s="22" t="n">
        <v>7835</v>
      </c>
      <c r="D339" s="22" t="n">
        <f aca="false">Table13[[#This Row],[Steps]]-C338</f>
        <v>-9967</v>
      </c>
      <c r="E339" s="23" t="n">
        <v>302.1</v>
      </c>
      <c r="F339" s="23" t="n">
        <f aca="false">Table13[[#This Row],[Colories]]-E338</f>
        <v>-383.6</v>
      </c>
      <c r="G339" s="6" t="n">
        <v>5.64</v>
      </c>
      <c r="H339" s="24" t="n">
        <f aca="false">Table13[[#This Row],[Distance]]-G338</f>
        <v>-7.18</v>
      </c>
      <c r="I339" s="22" t="n">
        <v>70</v>
      </c>
      <c r="J339" s="25" t="n">
        <f aca="false">Table13[[#This Row],[Time]]-I338</f>
        <v>-88</v>
      </c>
      <c r="K339" s="1" t="s">
        <v>10</v>
      </c>
      <c r="L339" s="1" t="n">
        <v>679.111179568235</v>
      </c>
      <c r="M339" s="1" t="n">
        <v>25.938053385132</v>
      </c>
      <c r="N339" s="1" t="n">
        <v>0.488947951848516</v>
      </c>
      <c r="O339" s="1" t="n">
        <v>5.88055109883875</v>
      </c>
    </row>
    <row r="340" customFormat="false" ht="14.4" hidden="false" customHeight="false" outlineLevel="0" collapsed="false">
      <c r="A340" s="20" t="n">
        <v>339</v>
      </c>
      <c r="B340" s="21" t="n">
        <v>43439</v>
      </c>
      <c r="C340" s="22" t="n">
        <v>9250</v>
      </c>
      <c r="D340" s="22" t="n">
        <f aca="false">Table13[[#This Row],[Steps]]-C339</f>
        <v>1415</v>
      </c>
      <c r="E340" s="23" t="n">
        <v>355.2</v>
      </c>
      <c r="F340" s="23" t="n">
        <f aca="false">Table13[[#This Row],[Colories]]-E339</f>
        <v>53.1</v>
      </c>
      <c r="G340" s="6" t="n">
        <v>6.66</v>
      </c>
      <c r="H340" s="24" t="n">
        <f aca="false">Table13[[#This Row],[Distance]]-G339</f>
        <v>1.02</v>
      </c>
      <c r="I340" s="22" t="n">
        <v>81</v>
      </c>
      <c r="J340" s="25" t="n">
        <f aca="false">Table13[[#This Row],[Time]]-I339</f>
        <v>11</v>
      </c>
      <c r="K340" s="1" t="s">
        <v>12</v>
      </c>
      <c r="L340" s="1" t="n">
        <v>9415</v>
      </c>
      <c r="M340" s="1" t="n">
        <v>365.1</v>
      </c>
      <c r="N340" s="1" t="n">
        <v>6.78</v>
      </c>
      <c r="O340" s="1" t="n">
        <v>84.5</v>
      </c>
    </row>
    <row r="341" customFormat="false" ht="14.4" hidden="false" customHeight="false" outlineLevel="0" collapsed="false">
      <c r="A341" s="20" t="n">
        <v>340</v>
      </c>
      <c r="B341" s="21" t="n">
        <v>43440</v>
      </c>
      <c r="C341" s="22" t="n">
        <v>6698</v>
      </c>
      <c r="D341" s="22" t="n">
        <f aca="false">Table13[[#This Row],[Steps]]-C340</f>
        <v>-2552</v>
      </c>
      <c r="E341" s="23" t="n">
        <v>259.3</v>
      </c>
      <c r="F341" s="23" t="n">
        <f aca="false">Table13[[#This Row],[Colories]]-E340</f>
        <v>-95.9</v>
      </c>
      <c r="G341" s="6" t="n">
        <v>4.82</v>
      </c>
      <c r="H341" s="24" t="n">
        <f aca="false">Table13[[#This Row],[Distance]]-G340</f>
        <v>-1.84</v>
      </c>
      <c r="I341" s="22" t="n">
        <v>61</v>
      </c>
      <c r="J341" s="25" t="n">
        <f aca="false">Table13[[#This Row],[Time]]-I340</f>
        <v>-20</v>
      </c>
      <c r="K341" s="1" t="s">
        <v>14</v>
      </c>
      <c r="L341" s="1" t="e">
        <f aca="false">#N/A</f>
        <v>#N/A</v>
      </c>
      <c r="M341" s="1" t="e">
        <f aca="false">#N/A</f>
        <v>#N/A</v>
      </c>
      <c r="N341" s="1" t="n">
        <v>6.66</v>
      </c>
      <c r="O341" s="1" t="n">
        <v>108</v>
      </c>
    </row>
    <row r="342" customFormat="false" ht="14.4" hidden="false" customHeight="false" outlineLevel="0" collapsed="false">
      <c r="A342" s="20" t="n">
        <v>341</v>
      </c>
      <c r="B342" s="21" t="n">
        <v>43441</v>
      </c>
      <c r="C342" s="22" t="n">
        <v>6295</v>
      </c>
      <c r="D342" s="22" t="n">
        <f aca="false">Table13[[#This Row],[Steps]]-C341</f>
        <v>-403</v>
      </c>
      <c r="E342" s="23" t="n">
        <v>246.8</v>
      </c>
      <c r="F342" s="23" t="n">
        <f aca="false">Table13[[#This Row],[Colories]]-E341</f>
        <v>-12.5</v>
      </c>
      <c r="G342" s="6" t="n">
        <v>4.53</v>
      </c>
      <c r="H342" s="24" t="n">
        <f aca="false">Table13[[#This Row],[Distance]]-G341</f>
        <v>-0.29</v>
      </c>
      <c r="I342" s="22" t="n">
        <v>60</v>
      </c>
      <c r="J342" s="25" t="n">
        <f aca="false">Table13[[#This Row],[Time]]-I341</f>
        <v>-1</v>
      </c>
      <c r="K342" s="1" t="s">
        <v>16</v>
      </c>
      <c r="L342" s="1" t="n">
        <v>3719.64512103464</v>
      </c>
      <c r="M342" s="1" t="n">
        <v>142.0685693681</v>
      </c>
      <c r="N342" s="1" t="n">
        <v>2.67807822673382</v>
      </c>
      <c r="O342" s="1" t="n">
        <v>32.2091048739578</v>
      </c>
    </row>
    <row r="343" customFormat="false" ht="14.4" hidden="false" customHeight="false" outlineLevel="0" collapsed="false">
      <c r="A343" s="20" t="n">
        <v>342</v>
      </c>
      <c r="B343" s="21" t="n">
        <v>43442</v>
      </c>
      <c r="C343" s="22" t="n">
        <v>6327</v>
      </c>
      <c r="D343" s="22" t="n">
        <f aca="false">Table13[[#This Row],[Steps]]-C342</f>
        <v>32</v>
      </c>
      <c r="E343" s="23" t="n">
        <v>246.6</v>
      </c>
      <c r="F343" s="23" t="n">
        <f aca="false">Table13[[#This Row],[Colories]]-E342</f>
        <v>-0.200000000000017</v>
      </c>
      <c r="G343" s="6" t="n">
        <v>4.56</v>
      </c>
      <c r="H343" s="24" t="n">
        <f aca="false">Table13[[#This Row],[Distance]]-G342</f>
        <v>0.0299999999999994</v>
      </c>
      <c r="I343" s="22" t="n">
        <v>59</v>
      </c>
      <c r="J343" s="25" t="n">
        <f aca="false">Table13[[#This Row],[Time]]-I342</f>
        <v>-1</v>
      </c>
      <c r="K343" s="1" t="s">
        <v>18</v>
      </c>
      <c r="L343" s="1" t="n">
        <v>13835759.8264368</v>
      </c>
      <c r="M343" s="1" t="n">
        <v>20183.4784022987</v>
      </c>
      <c r="N343" s="1" t="n">
        <v>7.17210298850576</v>
      </c>
      <c r="O343" s="1" t="n">
        <v>1037.42643678161</v>
      </c>
    </row>
    <row r="344" customFormat="false" ht="14.4" hidden="false" customHeight="false" outlineLevel="0" collapsed="false">
      <c r="A344" s="20" t="n">
        <v>343</v>
      </c>
      <c r="B344" s="21" t="n">
        <v>43443</v>
      </c>
      <c r="C344" s="22" t="n">
        <v>3983</v>
      </c>
      <c r="D344" s="22" t="n">
        <f aca="false">Table13[[#This Row],[Steps]]-C343</f>
        <v>-2344</v>
      </c>
      <c r="E344" s="23" t="n">
        <v>158.8</v>
      </c>
      <c r="F344" s="23" t="n">
        <f aca="false">Table13[[#This Row],[Colories]]-E343</f>
        <v>-87.8</v>
      </c>
      <c r="G344" s="6" t="n">
        <v>2.87</v>
      </c>
      <c r="H344" s="24" t="n">
        <f aca="false">Table13[[#This Row],[Distance]]-G343</f>
        <v>-1.69</v>
      </c>
      <c r="I344" s="22" t="n">
        <v>40</v>
      </c>
      <c r="J344" s="25" t="n">
        <f aca="false">Table13[[#This Row],[Time]]-I343</f>
        <v>-19</v>
      </c>
      <c r="K344" s="1" t="s">
        <v>20</v>
      </c>
      <c r="L344" s="1" t="n">
        <v>0.325055292001124</v>
      </c>
      <c r="M344" s="1" t="n">
        <v>0.341159414962889</v>
      </c>
      <c r="N344" s="1" t="n">
        <v>0.327791388190833</v>
      </c>
      <c r="O344" s="1" t="n">
        <v>0.43188890555562</v>
      </c>
    </row>
    <row r="345" customFormat="false" ht="14.4" hidden="false" customHeight="false" outlineLevel="0" collapsed="false">
      <c r="A345" s="20" t="n">
        <v>344</v>
      </c>
      <c r="B345" s="21" t="n">
        <v>43444</v>
      </c>
      <c r="C345" s="22" t="n">
        <v>12542</v>
      </c>
      <c r="D345" s="22" t="n">
        <f aca="false">Table13[[#This Row],[Steps]]-C344</f>
        <v>8559</v>
      </c>
      <c r="E345" s="23" t="n">
        <v>485.9</v>
      </c>
      <c r="F345" s="23" t="n">
        <f aca="false">Table13[[#This Row],[Colories]]-E344</f>
        <v>327.1</v>
      </c>
      <c r="G345" s="6" t="n">
        <v>9.03</v>
      </c>
      <c r="H345" s="24" t="n">
        <f aca="false">Table13[[#This Row],[Distance]]-G344</f>
        <v>6.16</v>
      </c>
      <c r="I345" s="22" t="n">
        <v>113</v>
      </c>
      <c r="J345" s="25" t="n">
        <f aca="false">Table13[[#This Row],[Time]]-I344</f>
        <v>73</v>
      </c>
      <c r="K345" s="1" t="s">
        <v>22</v>
      </c>
      <c r="L345" s="1" t="n">
        <v>-0.229566233161765</v>
      </c>
      <c r="M345" s="1" t="n">
        <v>-0.220354058841715</v>
      </c>
      <c r="N345" s="1" t="n">
        <v>-0.229054030068042</v>
      </c>
      <c r="O345" s="1" t="n">
        <v>-0.213359504471413</v>
      </c>
    </row>
    <row r="346" customFormat="false" ht="14.4" hidden="false" customHeight="false" outlineLevel="0" collapsed="false">
      <c r="A346" s="20" t="n">
        <v>345</v>
      </c>
      <c r="B346" s="21" t="n">
        <v>43445</v>
      </c>
      <c r="C346" s="22" t="n">
        <v>12909</v>
      </c>
      <c r="D346" s="22" t="n">
        <f aca="false">Table13[[#This Row],[Steps]]-C345</f>
        <v>367</v>
      </c>
      <c r="E346" s="23" t="n">
        <v>499.5</v>
      </c>
      <c r="F346" s="23" t="n">
        <f aca="false">Table13[[#This Row],[Colories]]-E345</f>
        <v>13.6</v>
      </c>
      <c r="G346" s="6" t="n">
        <v>9.29</v>
      </c>
      <c r="H346" s="24" t="n">
        <f aca="false">Table13[[#This Row],[Distance]]-G345</f>
        <v>0.26</v>
      </c>
      <c r="I346" s="22" t="n">
        <v>117</v>
      </c>
      <c r="J346" s="25" t="n">
        <f aca="false">Table13[[#This Row],[Time]]-I345</f>
        <v>4</v>
      </c>
      <c r="K346" s="1" t="s">
        <v>24</v>
      </c>
      <c r="L346" s="1" t="n">
        <v>16698</v>
      </c>
      <c r="M346" s="1" t="n">
        <v>640.6</v>
      </c>
      <c r="N346" s="1" t="n">
        <v>12.03</v>
      </c>
      <c r="O346" s="1" t="n">
        <v>147</v>
      </c>
    </row>
    <row r="347" customFormat="false" ht="14.4" hidden="false" customHeight="false" outlineLevel="0" collapsed="false">
      <c r="A347" s="20" t="n">
        <v>346</v>
      </c>
      <c r="B347" s="21" t="n">
        <v>43446</v>
      </c>
      <c r="C347" s="22" t="n">
        <v>10784</v>
      </c>
      <c r="D347" s="22" t="n">
        <f aca="false">Table13[[#This Row],[Steps]]-C346</f>
        <v>-2125</v>
      </c>
      <c r="E347" s="23" t="n">
        <v>415.4</v>
      </c>
      <c r="F347" s="23" t="n">
        <f aca="false">Table13[[#This Row],[Colories]]-E346</f>
        <v>-84.1</v>
      </c>
      <c r="G347" s="6" t="n">
        <v>7.76</v>
      </c>
      <c r="H347" s="24" t="n">
        <f aca="false">Table13[[#This Row],[Distance]]-G346</f>
        <v>-1.53</v>
      </c>
      <c r="I347" s="22" t="n">
        <v>96</v>
      </c>
      <c r="J347" s="25" t="n">
        <f aca="false">Table13[[#This Row],[Time]]-I346</f>
        <v>-21</v>
      </c>
      <c r="K347" s="1" t="s">
        <v>26</v>
      </c>
      <c r="L347" s="1" t="n">
        <v>1104</v>
      </c>
      <c r="M347" s="1" t="n">
        <v>45.1</v>
      </c>
      <c r="N347" s="1" t="n">
        <v>0.79</v>
      </c>
      <c r="O347" s="1" t="n">
        <v>11</v>
      </c>
    </row>
    <row r="348" customFormat="false" ht="14.4" hidden="false" customHeight="false" outlineLevel="0" collapsed="false">
      <c r="A348" s="20" t="n">
        <v>347</v>
      </c>
      <c r="B348" s="21" t="n">
        <v>43447</v>
      </c>
      <c r="C348" s="22" t="n">
        <v>9248</v>
      </c>
      <c r="D348" s="22" t="n">
        <f aca="false">Table13[[#This Row],[Steps]]-C347</f>
        <v>-1536</v>
      </c>
      <c r="E348" s="23" t="n">
        <v>360</v>
      </c>
      <c r="F348" s="23" t="n">
        <f aca="false">Table13[[#This Row],[Colories]]-E347</f>
        <v>-55.4</v>
      </c>
      <c r="G348" s="6" t="n">
        <v>6.66</v>
      </c>
      <c r="H348" s="24" t="n">
        <f aca="false">Table13[[#This Row],[Distance]]-G347</f>
        <v>-1.1</v>
      </c>
      <c r="I348" s="22" t="n">
        <v>85</v>
      </c>
      <c r="J348" s="25" t="n">
        <f aca="false">Table13[[#This Row],[Time]]-I347</f>
        <v>-11</v>
      </c>
      <c r="K348" s="1" t="s">
        <v>28</v>
      </c>
      <c r="L348" s="1" t="n">
        <v>17802</v>
      </c>
      <c r="M348" s="1" t="n">
        <v>685.7</v>
      </c>
      <c r="N348" s="1" t="n">
        <v>12.82</v>
      </c>
      <c r="O348" s="1" t="n">
        <v>158</v>
      </c>
    </row>
    <row r="349" customFormat="false" ht="14.4" hidden="false" customHeight="false" outlineLevel="0" collapsed="false">
      <c r="A349" s="20" t="n">
        <v>348</v>
      </c>
      <c r="B349" s="21" t="n">
        <v>43448</v>
      </c>
      <c r="C349" s="22" t="n">
        <v>10104</v>
      </c>
      <c r="D349" s="22" t="n">
        <f aca="false">Table13[[#This Row],[Steps]]-C348</f>
        <v>856</v>
      </c>
      <c r="E349" s="23" t="n">
        <v>388.7</v>
      </c>
      <c r="F349" s="23" t="n">
        <f aca="false">Table13[[#This Row],[Colories]]-E348</f>
        <v>28.7</v>
      </c>
      <c r="G349" s="6" t="n">
        <v>7.27</v>
      </c>
      <c r="H349" s="24" t="n">
        <f aca="false">Table13[[#This Row],[Distance]]-G348</f>
        <v>0.609999999999999</v>
      </c>
      <c r="I349" s="22" t="n">
        <v>89</v>
      </c>
      <c r="J349" s="25" t="n">
        <f aca="false">Table13[[#This Row],[Time]]-I348</f>
        <v>4</v>
      </c>
      <c r="K349" s="1" t="s">
        <v>30</v>
      </c>
      <c r="L349" s="1" t="n">
        <v>264571</v>
      </c>
      <c r="M349" s="1" t="n">
        <v>10248.7</v>
      </c>
      <c r="N349" s="1" t="n">
        <v>190.48</v>
      </c>
      <c r="O349" s="1" t="n">
        <v>2393</v>
      </c>
    </row>
    <row r="350" customFormat="false" ht="14.4" hidden="false" customHeight="false" outlineLevel="0" collapsed="false">
      <c r="A350" s="20" t="n">
        <v>349</v>
      </c>
      <c r="B350" s="21" t="n">
        <v>43449</v>
      </c>
      <c r="C350" s="22" t="n">
        <v>6754</v>
      </c>
      <c r="D350" s="22" t="n">
        <f aca="false">Table13[[#This Row],[Steps]]-C349</f>
        <v>-3350</v>
      </c>
      <c r="E350" s="23" t="n">
        <v>263.3</v>
      </c>
      <c r="F350" s="23" t="n">
        <f aca="false">Table13[[#This Row],[Colories]]-E349</f>
        <v>-125.4</v>
      </c>
      <c r="G350" s="6" t="n">
        <v>4.86</v>
      </c>
      <c r="H350" s="24" t="n">
        <f aca="false">Table13[[#This Row],[Distance]]-G349</f>
        <v>-2.41</v>
      </c>
      <c r="I350" s="22" t="n">
        <v>63</v>
      </c>
      <c r="J350" s="25" t="n">
        <f aca="false">Table13[[#This Row],[Time]]-I349</f>
        <v>-26</v>
      </c>
      <c r="K350" s="1" t="s">
        <v>32</v>
      </c>
      <c r="L350" s="1" t="n">
        <v>30</v>
      </c>
      <c r="M350" s="1" t="n">
        <v>30</v>
      </c>
      <c r="N350" s="1" t="n">
        <v>30</v>
      </c>
      <c r="O350" s="1" t="n">
        <v>30</v>
      </c>
    </row>
    <row r="351" customFormat="false" ht="14.4" hidden="false" customHeight="false" outlineLevel="0" collapsed="false">
      <c r="A351" s="20" t="n">
        <v>350</v>
      </c>
      <c r="B351" s="21" t="n">
        <v>43450</v>
      </c>
      <c r="C351" s="22" t="n">
        <v>11856</v>
      </c>
      <c r="D351" s="22" t="n">
        <f aca="false">Table13[[#This Row],[Steps]]-C350</f>
        <v>5102</v>
      </c>
      <c r="E351" s="23" t="n">
        <v>459</v>
      </c>
      <c r="F351" s="23" t="n">
        <f aca="false">Table13[[#This Row],[Colories]]-E350</f>
        <v>195.7</v>
      </c>
      <c r="G351" s="6" t="n">
        <v>8.54</v>
      </c>
      <c r="H351" s="24" t="n">
        <f aca="false">Table13[[#This Row],[Distance]]-G350</f>
        <v>3.68</v>
      </c>
      <c r="I351" s="22" t="n">
        <v>108</v>
      </c>
      <c r="J351" s="25" t="n">
        <f aca="false">Table13[[#This Row],[Time]]-I350</f>
        <v>45</v>
      </c>
      <c r="K351" s="1" t="s">
        <v>34</v>
      </c>
      <c r="L351" s="1" t="n">
        <v>17802</v>
      </c>
      <c r="M351" s="1" t="n">
        <v>685.7</v>
      </c>
      <c r="N351" s="1" t="n">
        <v>12.82</v>
      </c>
      <c r="O351" s="1" t="n">
        <v>158</v>
      </c>
    </row>
    <row r="352" customFormat="false" ht="14.4" hidden="false" customHeight="false" outlineLevel="0" collapsed="false">
      <c r="A352" s="20" t="n">
        <v>351</v>
      </c>
      <c r="B352" s="21" t="n">
        <v>43451</v>
      </c>
      <c r="C352" s="22" t="n">
        <v>12318</v>
      </c>
      <c r="D352" s="22" t="n">
        <f aca="false">Table13[[#This Row],[Steps]]-C351</f>
        <v>462</v>
      </c>
      <c r="E352" s="23" t="n">
        <v>473</v>
      </c>
      <c r="F352" s="23" t="n">
        <f aca="false">Table13[[#This Row],[Colories]]-E351</f>
        <v>14</v>
      </c>
      <c r="G352" s="6" t="n">
        <v>8.87</v>
      </c>
      <c r="H352" s="24" t="n">
        <f aca="false">Table13[[#This Row],[Distance]]-G351</f>
        <v>0.33</v>
      </c>
      <c r="I352" s="22" t="n">
        <v>108</v>
      </c>
      <c r="J352" s="25" t="n">
        <f aca="false">Table13[[#This Row],[Time]]-I351</f>
        <v>0</v>
      </c>
      <c r="K352" s="1" t="s">
        <v>36</v>
      </c>
      <c r="L352" s="1" t="n">
        <v>1104</v>
      </c>
      <c r="M352" s="1" t="n">
        <v>45.1</v>
      </c>
      <c r="N352" s="1" t="n">
        <v>0.79</v>
      </c>
      <c r="O352" s="1" t="n">
        <v>11</v>
      </c>
    </row>
    <row r="353" customFormat="false" ht="14.4" hidden="false" customHeight="false" outlineLevel="0" collapsed="false">
      <c r="A353" s="20" t="n">
        <v>352</v>
      </c>
      <c r="B353" s="21" t="n">
        <v>43452</v>
      </c>
      <c r="C353" s="22" t="n">
        <v>9580</v>
      </c>
      <c r="D353" s="22" t="n">
        <f aca="false">Table13[[#This Row],[Steps]]-C352</f>
        <v>-2738</v>
      </c>
      <c r="E353" s="23" t="n">
        <v>370.2</v>
      </c>
      <c r="F353" s="23" t="n">
        <f aca="false">Table13[[#This Row],[Colories]]-E352</f>
        <v>-102.8</v>
      </c>
      <c r="G353" s="6" t="n">
        <v>6.9</v>
      </c>
      <c r="H353" s="24" t="n">
        <f aca="false">Table13[[#This Row],[Distance]]-G352</f>
        <v>-1.97</v>
      </c>
      <c r="I353" s="22" t="n">
        <v>84</v>
      </c>
      <c r="J353" s="25" t="n">
        <f aca="false">Table13[[#This Row],[Time]]-I352</f>
        <v>-24</v>
      </c>
      <c r="K353" s="29" t="s">
        <v>158</v>
      </c>
      <c r="L353" s="29" t="n">
        <v>1388.93831475666</v>
      </c>
      <c r="M353" s="29" t="n">
        <v>53.0492756424925</v>
      </c>
      <c r="N353" s="29" t="n">
        <v>1.00001084458066</v>
      </c>
      <c r="O353" s="29" t="n">
        <v>12.0270774194211</v>
      </c>
    </row>
    <row r="354" customFormat="false" ht="14.4" hidden="false" customHeight="false" outlineLevel="0" collapsed="false">
      <c r="A354" s="20" t="n">
        <v>353</v>
      </c>
      <c r="B354" s="21" t="n">
        <v>43453</v>
      </c>
      <c r="C354" s="22" t="n">
        <v>11679</v>
      </c>
      <c r="D354" s="22" t="n">
        <f aca="false">Table13[[#This Row],[Steps]]-C353</f>
        <v>2099</v>
      </c>
      <c r="E354" s="23" t="n">
        <v>452.6</v>
      </c>
      <c r="F354" s="23" t="n">
        <f aca="false">Table13[[#This Row],[Colories]]-E353</f>
        <v>82.4</v>
      </c>
      <c r="G354" s="6" t="n">
        <v>8.41</v>
      </c>
      <c r="H354" s="24" t="n">
        <f aca="false">Table13[[#This Row],[Distance]]-G353</f>
        <v>1.51</v>
      </c>
      <c r="I354" s="22" t="n">
        <v>106</v>
      </c>
      <c r="J354" s="25" t="n">
        <f aca="false">Table13[[#This Row],[Time]]-I353</f>
        <v>22</v>
      </c>
    </row>
    <row r="355" customFormat="false" ht="14.4" hidden="false" customHeight="false" outlineLevel="0" collapsed="false">
      <c r="A355" s="20" t="n">
        <v>354</v>
      </c>
      <c r="B355" s="21" t="n">
        <v>43454</v>
      </c>
      <c r="C355" s="22" t="n">
        <v>10291</v>
      </c>
      <c r="D355" s="22" t="n">
        <f aca="false">Table13[[#This Row],[Steps]]-C354</f>
        <v>-1388</v>
      </c>
      <c r="E355" s="23" t="n">
        <v>393.1</v>
      </c>
      <c r="F355" s="23" t="n">
        <f aca="false">Table13[[#This Row],[Colories]]-E354</f>
        <v>-59.5</v>
      </c>
      <c r="G355" s="6" t="n">
        <v>7.41</v>
      </c>
      <c r="H355" s="24" t="n">
        <f aca="false">Table13[[#This Row],[Distance]]-G354</f>
        <v>-1</v>
      </c>
      <c r="I355" s="22" t="n">
        <v>86</v>
      </c>
      <c r="J355" s="25" t="n">
        <f aca="false">Table13[[#This Row],[Time]]-I354</f>
        <v>-20</v>
      </c>
    </row>
    <row r="356" customFormat="false" ht="14.4" hidden="false" customHeight="false" outlineLevel="0" collapsed="false">
      <c r="A356" s="20" t="n">
        <v>355</v>
      </c>
      <c r="B356" s="21" t="n">
        <v>43455</v>
      </c>
      <c r="C356" s="22" t="n">
        <v>12131</v>
      </c>
      <c r="D356" s="22" t="n">
        <f aca="false">Table13[[#This Row],[Steps]]-C355</f>
        <v>1840</v>
      </c>
      <c r="E356" s="23" t="n">
        <v>469.4</v>
      </c>
      <c r="F356" s="23" t="n">
        <f aca="false">Table13[[#This Row],[Colories]]-E355</f>
        <v>76.3</v>
      </c>
      <c r="G356" s="6" t="n">
        <v>8.73</v>
      </c>
      <c r="H356" s="24" t="n">
        <f aca="false">Table13[[#This Row],[Distance]]-G355</f>
        <v>1.32</v>
      </c>
      <c r="I356" s="22" t="n">
        <v>110</v>
      </c>
      <c r="J356" s="25" t="n">
        <f aca="false">Table13[[#This Row],[Time]]-I355</f>
        <v>24</v>
      </c>
    </row>
    <row r="357" customFormat="false" ht="14.4" hidden="false" customHeight="false" outlineLevel="0" collapsed="false">
      <c r="A357" s="20" t="n">
        <v>356</v>
      </c>
      <c r="B357" s="21" t="n">
        <v>43456</v>
      </c>
      <c r="C357" s="22" t="n">
        <v>6195</v>
      </c>
      <c r="D357" s="22" t="n">
        <f aca="false">Table13[[#This Row],[Steps]]-C356</f>
        <v>-5936</v>
      </c>
      <c r="E357" s="23" t="n">
        <v>240</v>
      </c>
      <c r="F357" s="23" t="n">
        <f aca="false">Table13[[#This Row],[Colories]]-E356</f>
        <v>-229.4</v>
      </c>
      <c r="G357" s="6" t="n">
        <v>4.46</v>
      </c>
      <c r="H357" s="24" t="n">
        <f aca="false">Table13[[#This Row],[Distance]]-G356</f>
        <v>-4.27</v>
      </c>
      <c r="I357" s="22" t="n">
        <v>56</v>
      </c>
      <c r="J357" s="25" t="n">
        <f aca="false">Table13[[#This Row],[Time]]-I356</f>
        <v>-54</v>
      </c>
    </row>
    <row r="358" customFormat="false" ht="14.4" hidden="false" customHeight="false" outlineLevel="0" collapsed="false">
      <c r="A358" s="20" t="n">
        <v>357</v>
      </c>
      <c r="B358" s="21" t="n">
        <v>43457</v>
      </c>
      <c r="C358" s="22" t="n">
        <v>4255</v>
      </c>
      <c r="D358" s="22" t="n">
        <f aca="false">Table13[[#This Row],[Steps]]-C357</f>
        <v>-1940</v>
      </c>
      <c r="E358" s="23" t="n">
        <v>170</v>
      </c>
      <c r="F358" s="23" t="n">
        <f aca="false">Table13[[#This Row],[Colories]]-E357</f>
        <v>-70</v>
      </c>
      <c r="G358" s="6" t="n">
        <v>3.06</v>
      </c>
      <c r="H358" s="24" t="n">
        <f aca="false">Table13[[#This Row],[Distance]]-G357</f>
        <v>-1.4</v>
      </c>
      <c r="I358" s="22" t="n">
        <v>43</v>
      </c>
      <c r="J358" s="25" t="n">
        <f aca="false">Table13[[#This Row],[Time]]-I357</f>
        <v>-13</v>
      </c>
    </row>
    <row r="359" customFormat="false" ht="14.4" hidden="false" customHeight="false" outlineLevel="0" collapsed="false">
      <c r="A359" s="20" t="n">
        <v>358</v>
      </c>
      <c r="B359" s="21" t="n">
        <v>43458</v>
      </c>
      <c r="C359" s="22" t="n">
        <v>7958</v>
      </c>
      <c r="D359" s="22" t="n">
        <f aca="false">Table13[[#This Row],[Steps]]-C358</f>
        <v>3703</v>
      </c>
      <c r="E359" s="23" t="n">
        <v>311.6</v>
      </c>
      <c r="F359" s="23" t="n">
        <f aca="false">Table13[[#This Row],[Colories]]-E358</f>
        <v>141.6</v>
      </c>
      <c r="G359" s="6" t="n">
        <v>5.73</v>
      </c>
      <c r="H359" s="24" t="n">
        <f aca="false">Table13[[#This Row],[Distance]]-G358</f>
        <v>2.67</v>
      </c>
      <c r="I359" s="22" t="n">
        <v>75</v>
      </c>
      <c r="J359" s="25" t="n">
        <f aca="false">Table13[[#This Row],[Time]]-I358</f>
        <v>32</v>
      </c>
    </row>
    <row r="360" customFormat="false" ht="14.4" hidden="false" customHeight="false" outlineLevel="0" collapsed="false">
      <c r="A360" s="20" t="n">
        <v>359</v>
      </c>
      <c r="B360" s="21" t="n">
        <v>43459</v>
      </c>
      <c r="C360" s="22" t="n">
        <v>1177</v>
      </c>
      <c r="D360" s="22" t="n">
        <f aca="false">Table13[[#This Row],[Steps]]-C359</f>
        <v>-6781</v>
      </c>
      <c r="E360" s="23" t="n">
        <v>52.1</v>
      </c>
      <c r="F360" s="23" t="n">
        <f aca="false">Table13[[#This Row],[Colories]]-E359</f>
        <v>-259.5</v>
      </c>
      <c r="G360" s="6" t="n">
        <v>0.85</v>
      </c>
      <c r="H360" s="24" t="n">
        <f aca="false">Table13[[#This Row],[Distance]]-G359</f>
        <v>-4.88</v>
      </c>
      <c r="I360" s="22" t="n">
        <v>14</v>
      </c>
      <c r="J360" s="25" t="n">
        <f aca="false">Table13[[#This Row],[Time]]-I359</f>
        <v>-61</v>
      </c>
    </row>
    <row r="361" customFormat="false" ht="14.4" hidden="false" customHeight="false" outlineLevel="0" collapsed="false">
      <c r="A361" s="20" t="n">
        <v>360</v>
      </c>
      <c r="B361" s="21" t="n">
        <v>43460</v>
      </c>
      <c r="C361" s="22" t="n">
        <v>11092</v>
      </c>
      <c r="D361" s="22" t="n">
        <f aca="false">Table13[[#This Row],[Steps]]-C360</f>
        <v>9915</v>
      </c>
      <c r="E361" s="23" t="n">
        <v>427.5</v>
      </c>
      <c r="F361" s="23" t="n">
        <f aca="false">Table13[[#This Row],[Colories]]-E360</f>
        <v>375.4</v>
      </c>
      <c r="G361" s="6" t="n">
        <v>7.99</v>
      </c>
      <c r="H361" s="24" t="n">
        <f aca="false">Table13[[#This Row],[Distance]]-G360</f>
        <v>7.14</v>
      </c>
      <c r="I361" s="22" t="n">
        <v>98</v>
      </c>
      <c r="J361" s="25" t="n">
        <f aca="false">Table13[[#This Row],[Time]]-I360</f>
        <v>84</v>
      </c>
    </row>
    <row r="362" customFormat="false" ht="14.4" hidden="false" customHeight="false" outlineLevel="0" collapsed="false">
      <c r="A362" s="20" t="n">
        <v>361</v>
      </c>
      <c r="B362" s="21" t="n">
        <v>43461</v>
      </c>
      <c r="C362" s="22" t="n">
        <v>10462</v>
      </c>
      <c r="D362" s="22" t="n">
        <f aca="false">Table13[[#This Row],[Steps]]-C361</f>
        <v>-630</v>
      </c>
      <c r="E362" s="23" t="n">
        <v>406.7</v>
      </c>
      <c r="F362" s="23" t="n">
        <f aca="false">Table13[[#This Row],[Colories]]-E361</f>
        <v>-20.8</v>
      </c>
      <c r="G362" s="6" t="n">
        <v>7.53</v>
      </c>
      <c r="H362" s="24" t="n">
        <f aca="false">Table13[[#This Row],[Distance]]-G361</f>
        <v>-0.46</v>
      </c>
      <c r="I362" s="22" t="n">
        <v>97</v>
      </c>
      <c r="J362" s="25" t="n">
        <f aca="false">Table13[[#This Row],[Time]]-I361</f>
        <v>-1</v>
      </c>
    </row>
    <row r="363" customFormat="false" ht="14.4" hidden="false" customHeight="false" outlineLevel="0" collapsed="false">
      <c r="A363" s="20" t="n">
        <v>362</v>
      </c>
      <c r="B363" s="21" t="n">
        <v>43462</v>
      </c>
      <c r="C363" s="22" t="n">
        <v>11214</v>
      </c>
      <c r="D363" s="22" t="n">
        <f aca="false">Table13[[#This Row],[Steps]]-C362</f>
        <v>752</v>
      </c>
      <c r="E363" s="23" t="n">
        <v>431.1</v>
      </c>
      <c r="F363" s="23" t="n">
        <f aca="false">Table13[[#This Row],[Colories]]-E362</f>
        <v>24.4</v>
      </c>
      <c r="G363" s="6" t="n">
        <v>8.07</v>
      </c>
      <c r="H363" s="24" t="n">
        <f aca="false">Table13[[#This Row],[Distance]]-G362</f>
        <v>0.54</v>
      </c>
      <c r="I363" s="22" t="n">
        <v>99</v>
      </c>
      <c r="J363" s="25" t="n">
        <f aca="false">Table13[[#This Row],[Time]]-I362</f>
        <v>2</v>
      </c>
    </row>
    <row r="364" customFormat="false" ht="14.4" hidden="false" customHeight="false" outlineLevel="0" collapsed="false">
      <c r="A364" s="20" t="n">
        <v>363</v>
      </c>
      <c r="B364" s="21" t="n">
        <v>43463</v>
      </c>
      <c r="C364" s="22" t="n">
        <v>1104</v>
      </c>
      <c r="D364" s="22" t="n">
        <f aca="false">Table13[[#This Row],[Steps]]-C363</f>
        <v>-10110</v>
      </c>
      <c r="E364" s="23" t="n">
        <v>45.1</v>
      </c>
      <c r="F364" s="23" t="n">
        <f aca="false">Table13[[#This Row],[Colories]]-E363</f>
        <v>-386</v>
      </c>
      <c r="G364" s="6" t="n">
        <v>0.79</v>
      </c>
      <c r="H364" s="24" t="n">
        <f aca="false">Table13[[#This Row],[Distance]]-G363</f>
        <v>-7.28</v>
      </c>
      <c r="I364" s="22" t="n">
        <v>11</v>
      </c>
      <c r="J364" s="25" t="n">
        <f aca="false">Table13[[#This Row],[Time]]-I363</f>
        <v>-88</v>
      </c>
    </row>
    <row r="365" customFormat="false" ht="14.4" hidden="false" customHeight="false" outlineLevel="0" collapsed="false">
      <c r="A365" s="20" t="n">
        <v>364</v>
      </c>
      <c r="B365" s="21" t="n">
        <v>43464</v>
      </c>
      <c r="C365" s="22" t="n">
        <v>3328</v>
      </c>
      <c r="D365" s="22" t="n">
        <f aca="false">Table13[[#This Row],[Steps]]-C364</f>
        <v>2224</v>
      </c>
      <c r="E365" s="23" t="n">
        <v>129.4</v>
      </c>
      <c r="F365" s="23" t="n">
        <f aca="false">Table13[[#This Row],[Colories]]-E364</f>
        <v>84.3</v>
      </c>
      <c r="G365" s="6" t="n">
        <v>2.4</v>
      </c>
      <c r="H365" s="24" t="n">
        <f aca="false">Table13[[#This Row],[Distance]]-G364</f>
        <v>1.61</v>
      </c>
      <c r="I365" s="22" t="n">
        <v>31</v>
      </c>
      <c r="J365" s="25" t="n">
        <f aca="false">Table13[[#This Row],[Time]]-I364</f>
        <v>20</v>
      </c>
    </row>
    <row r="366" customFormat="false" ht="14.4" hidden="false" customHeight="false" outlineLevel="0" collapsed="false">
      <c r="A366" s="20" t="n">
        <v>365</v>
      </c>
      <c r="B366" s="21" t="n">
        <v>43465</v>
      </c>
      <c r="C366" s="22" t="n">
        <v>10990</v>
      </c>
      <c r="D366" s="22" t="n">
        <f aca="false">Table13[[#This Row],[Steps]]-C365</f>
        <v>7662</v>
      </c>
      <c r="E366" s="23" t="n">
        <v>423.2</v>
      </c>
      <c r="F366" s="23" t="n">
        <f aca="false">Table13[[#This Row],[Colories]]-E365</f>
        <v>293.8</v>
      </c>
      <c r="G366" s="6" t="n">
        <v>7.91</v>
      </c>
      <c r="H366" s="24" t="n">
        <f aca="false">Table13[[#This Row],[Distance]]-G365</f>
        <v>5.51</v>
      </c>
      <c r="I366" s="22" t="n">
        <v>98</v>
      </c>
      <c r="J366" s="25" t="n">
        <f aca="false">Table13[[#This Row],[Time]]-I365</f>
        <v>67</v>
      </c>
    </row>
    <row r="367" customFormat="false" ht="13.8" hidden="false" customHeight="false" outlineLevel="0" collapsed="false"/>
    <row r="368" customFormat="false" ht="13.8" hidden="false" customHeight="false" outlineLevel="0" collapsed="false"/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  <row r="385" customFormat="false" ht="13.8" hidden="false" customHeight="false" outlineLevel="0" collapsed="false"/>
    <row r="386" customFormat="false" ht="13.8" hidden="false" customHeight="false" outlineLevel="0" collapsed="false"/>
    <row r="387" customFormat="false" ht="13.8" hidden="false" customHeight="false" outlineLevel="0" collapsed="false"/>
    <row r="388" customFormat="false" ht="13.8" hidden="false" customHeight="false" outlineLevel="0" collapsed="false"/>
    <row r="389" customFormat="false" ht="13.8" hidden="false" customHeight="false" outlineLevel="0" collapsed="false"/>
    <row r="390" customFormat="false" ht="13.8" hidden="false" customHeight="false" outlineLevel="0" collapsed="false"/>
    <row r="391" customFormat="false" ht="13.8" hidden="false" customHeight="false" outlineLevel="0" collapsed="false"/>
    <row r="392" customFormat="false" ht="13.8" hidden="false" customHeight="false" outlineLevel="0" collapsed="false"/>
    <row r="393" customFormat="false" ht="13.8" hidden="false" customHeight="false" outlineLevel="0" collapsed="false"/>
    <row r="394" customFormat="false" ht="13.8" hidden="false" customHeight="false" outlineLevel="0" collapsed="false"/>
    <row r="395" customFormat="false" ht="13.8" hidden="false" customHeight="false" outlineLevel="0" collapsed="false"/>
    <row r="396" customFormat="false" ht="13.8" hidden="false" customHeight="false" outlineLevel="0" collapsed="false"/>
    <row r="397" customFormat="false" ht="13.8" hidden="false" customHeight="false" outlineLevel="0" collapsed="false"/>
    <row r="398" customFormat="false" ht="13.8" hidden="false" customHeight="false" outlineLevel="0" collapsed="false"/>
    <row r="399" customFormat="false" ht="13.8" hidden="false" customHeight="false" outlineLevel="0" collapsed="false"/>
    <row r="400" customFormat="false" ht="13.8" hidden="false" customHeight="false" outlineLevel="0" collapsed="false"/>
    <row r="401" customFormat="false" ht="13.8" hidden="false" customHeight="false" outlineLevel="0" collapsed="false"/>
    <row r="402" customFormat="false" ht="13.8" hidden="false" customHeight="false" outlineLevel="0" collapsed="false"/>
    <row r="403" customFormat="false" ht="13.8" hidden="false" customHeight="false" outlineLevel="0" collapsed="false"/>
    <row r="404" customFormat="false" ht="13.8" hidden="false" customHeight="false" outlineLevel="0" collapsed="false"/>
    <row r="405" customFormat="false" ht="13.8" hidden="false" customHeight="false" outlineLevel="0" collapsed="false"/>
    <row r="406" customFormat="false" ht="13.8" hidden="false" customHeight="false" outlineLevel="0" collapsed="false"/>
    <row r="407" customFormat="false" ht="13.8" hidden="false" customHeight="false" outlineLevel="0" collapsed="false"/>
    <row r="408" customFormat="false" ht="13.8" hidden="false" customHeight="false" outlineLevel="0" collapsed="false"/>
    <row r="409" customFormat="false" ht="13.8" hidden="false" customHeight="false" outlineLevel="0" collapsed="false"/>
    <row r="410" customFormat="false" ht="13.8" hidden="false" customHeight="false" outlineLevel="0" collapsed="false"/>
    <row r="411" customFormat="false" ht="13.8" hidden="false" customHeight="false" outlineLevel="0" collapsed="false"/>
    <row r="412" customFormat="false" ht="13.8" hidden="false" customHeight="false" outlineLevel="0" collapsed="false"/>
    <row r="413" customFormat="false" ht="13.8" hidden="false" customHeight="false" outlineLevel="0" collapsed="false"/>
    <row r="414" customFormat="false" ht="13.8" hidden="false" customHeight="false" outlineLevel="0" collapsed="false"/>
    <row r="415" customFormat="false" ht="13.8" hidden="false" customHeight="false" outlineLevel="0" collapsed="false"/>
    <row r="416" customFormat="false" ht="13.8" hidden="false" customHeight="false" outlineLevel="0" collapsed="false"/>
    <row r="417" customFormat="false" ht="13.8" hidden="false" customHeight="false" outlineLevel="0" collapsed="false"/>
    <row r="418" customFormat="false" ht="13.8" hidden="false" customHeight="false" outlineLevel="0" collapsed="false"/>
    <row r="419" customFormat="false" ht="13.8" hidden="false" customHeight="false" outlineLevel="0" collapsed="false"/>
    <row r="420" customFormat="false" ht="13.8" hidden="false" customHeight="false" outlineLevel="0" collapsed="false"/>
    <row r="421" customFormat="false" ht="13.8" hidden="false" customHeight="false" outlineLevel="0" collapsed="false"/>
    <row r="422" customFormat="false" ht="13.8" hidden="false" customHeight="false" outlineLevel="0" collapsed="false"/>
    <row r="423" customFormat="false" ht="13.8" hidden="false" customHeight="false" outlineLevel="0" collapsed="false"/>
    <row r="424" customFormat="false" ht="13.8" hidden="false" customHeight="false" outlineLevel="0" collapsed="false"/>
    <row r="425" customFormat="false" ht="13.8" hidden="false" customHeight="false" outlineLevel="0" collapsed="false"/>
    <row r="426" customFormat="false" ht="13.8" hidden="false" customHeight="false" outlineLevel="0" collapsed="false"/>
    <row r="427" customFormat="false" ht="13.8" hidden="false" customHeight="false" outlineLevel="0" collapsed="false"/>
    <row r="428" customFormat="false" ht="13.8" hidden="false" customHeight="false" outlineLevel="0" collapsed="false"/>
    <row r="429" customFormat="false" ht="13.8" hidden="false" customHeight="false" outlineLevel="0" collapsed="false"/>
    <row r="430" customFormat="false" ht="13.8" hidden="false" customHeight="false" outlineLevel="0" collapsed="false"/>
    <row r="431" customFormat="false" ht="13.8" hidden="false" customHeight="false" outlineLevel="0" collapsed="false"/>
    <row r="432" customFormat="false" ht="13.8" hidden="false" customHeight="false" outlineLevel="0" collapsed="false"/>
    <row r="433" customFormat="false" ht="13.8" hidden="false" customHeight="false" outlineLevel="0" collapsed="false"/>
    <row r="434" customFormat="false" ht="13.8" hidden="false" customHeight="false" outlineLevel="0" collapsed="false"/>
    <row r="435" customFormat="false" ht="13.8" hidden="false" customHeight="false" outlineLevel="0" collapsed="false"/>
    <row r="436" customFormat="false" ht="13.8" hidden="false" customHeight="false" outlineLevel="0" collapsed="false"/>
    <row r="437" customFormat="false" ht="13.8" hidden="false" customHeight="false" outlineLevel="0" collapsed="false"/>
    <row r="438" customFormat="false" ht="13.8" hidden="false" customHeight="false" outlineLevel="0" collapsed="false"/>
    <row r="439" customFormat="false" ht="13.8" hidden="false" customHeight="false" outlineLevel="0" collapsed="false"/>
    <row r="440" customFormat="false" ht="13.8" hidden="false" customHeight="false" outlineLevel="0" collapsed="false"/>
    <row r="441" customFormat="false" ht="13.8" hidden="false" customHeight="false" outlineLevel="0" collapsed="false"/>
    <row r="442" customFormat="false" ht="13.8" hidden="false" customHeight="false" outlineLevel="0" collapsed="false"/>
    <row r="443" customFormat="false" ht="13.8" hidden="false" customHeight="false" outlineLevel="0" collapsed="false"/>
    <row r="444" customFormat="false" ht="13.8" hidden="false" customHeight="false" outlineLevel="0" collapsed="false"/>
    <row r="445" customFormat="false" ht="13.8" hidden="false" customHeight="false" outlineLevel="0" collapsed="false"/>
    <row r="446" customFormat="false" ht="13.8" hidden="false" customHeight="false" outlineLevel="0" collapsed="false"/>
    <row r="447" customFormat="false" ht="13.8" hidden="false" customHeight="false" outlineLevel="0" collapsed="false"/>
    <row r="448" customFormat="false" ht="13.8" hidden="false" customHeight="false" outlineLevel="0" collapsed="false"/>
    <row r="449" customFormat="false" ht="13.8" hidden="false" customHeight="false" outlineLevel="0" collapsed="false"/>
    <row r="450" customFormat="false" ht="13.8" hidden="false" customHeight="false" outlineLevel="0" collapsed="false"/>
    <row r="451" customFormat="false" ht="13.8" hidden="false" customHeight="false" outlineLevel="0" collapsed="false"/>
    <row r="452" customFormat="false" ht="13.8" hidden="false" customHeight="false" outlineLevel="0" collapsed="false"/>
    <row r="453" customFormat="false" ht="13.8" hidden="false" customHeight="false" outlineLevel="0" collapsed="false"/>
    <row r="454" customFormat="false" ht="13.8" hidden="false" customHeight="false" outlineLevel="0" collapsed="false"/>
    <row r="455" customFormat="false" ht="13.8" hidden="false" customHeight="false" outlineLevel="0" collapsed="false"/>
    <row r="456" customFormat="false" ht="13.8" hidden="false" customHeight="false" outlineLevel="0" collapsed="false"/>
    <row r="457" customFormat="false" ht="13.8" hidden="false" customHeight="false" outlineLevel="0" collapsed="false"/>
    <row r="458" customFormat="false" ht="13.8" hidden="false" customHeight="false" outlineLevel="0" collapsed="false"/>
    <row r="459" customFormat="false" ht="13.8" hidden="false" customHeight="false" outlineLevel="0" collapsed="false"/>
    <row r="460" customFormat="false" ht="13.8" hidden="false" customHeight="false" outlineLevel="0" collapsed="false"/>
    <row r="461" customFormat="false" ht="13.8" hidden="false" customHeight="false" outlineLevel="0" collapsed="false"/>
    <row r="462" customFormat="false" ht="13.8" hidden="false" customHeight="false" outlineLevel="0" collapsed="false"/>
    <row r="463" customFormat="false" ht="13.8" hidden="false" customHeight="false" outlineLevel="0" collapsed="false"/>
    <row r="464" customFormat="false" ht="13.8" hidden="false" customHeight="false" outlineLevel="0" collapsed="false"/>
    <row r="465" customFormat="false" ht="13.8" hidden="false" customHeight="false" outlineLevel="0" collapsed="false"/>
    <row r="466" customFormat="false" ht="13.8" hidden="false" customHeight="false" outlineLevel="0" collapsed="false"/>
    <row r="467" customFormat="false" ht="13.8" hidden="false" customHeight="false" outlineLevel="0" collapsed="false"/>
    <row r="468" customFormat="false" ht="13.8" hidden="false" customHeight="false" outlineLevel="0" collapsed="false"/>
    <row r="469" customFormat="false" ht="13.8" hidden="false" customHeight="false" outlineLevel="0" collapsed="false"/>
    <row r="470" customFormat="false" ht="13.8" hidden="false" customHeight="false" outlineLevel="0" collapsed="false"/>
    <row r="471" customFormat="false" ht="13.8" hidden="false" customHeight="false" outlineLevel="0" collapsed="false"/>
    <row r="472" customFormat="false" ht="13.8" hidden="false" customHeight="false" outlineLevel="0" collapsed="false"/>
    <row r="473" customFormat="false" ht="13.8" hidden="false" customHeight="false" outlineLevel="0" collapsed="false"/>
    <row r="474" customFormat="false" ht="13.8" hidden="false" customHeight="false" outlineLevel="0" collapsed="false"/>
    <row r="475" customFormat="false" ht="13.8" hidden="false" customHeight="false" outlineLevel="0" collapsed="false"/>
    <row r="476" customFormat="false" ht="13.8" hidden="false" customHeight="false" outlineLevel="0" collapsed="false"/>
    <row r="477" customFormat="false" ht="13.8" hidden="false" customHeight="false" outlineLevel="0" collapsed="false"/>
    <row r="478" customFormat="false" ht="13.8" hidden="false" customHeight="false" outlineLevel="0" collapsed="false"/>
    <row r="479" customFormat="false" ht="13.8" hidden="false" customHeight="false" outlineLevel="0" collapsed="false"/>
    <row r="480" customFormat="false" ht="13.8" hidden="false" customHeight="false" outlineLevel="0" collapsed="false"/>
    <row r="481" customFormat="false" ht="13.8" hidden="false" customHeight="false" outlineLevel="0" collapsed="false"/>
    <row r="482" customFormat="false" ht="13.8" hidden="false" customHeight="false" outlineLevel="0" collapsed="false"/>
    <row r="483" customFormat="false" ht="13.8" hidden="false" customHeight="false" outlineLevel="0" collapsed="false"/>
    <row r="484" customFormat="false" ht="13.8" hidden="false" customHeight="false" outlineLevel="0" collapsed="false"/>
    <row r="485" customFormat="false" ht="13.8" hidden="false" customHeight="false" outlineLevel="0" collapsed="false"/>
    <row r="486" customFormat="false" ht="13.8" hidden="false" customHeight="false" outlineLevel="0" collapsed="false"/>
    <row r="487" customFormat="false" ht="13.8" hidden="false" customHeight="false" outlineLevel="0" collapsed="false"/>
    <row r="488" customFormat="false" ht="13.8" hidden="false" customHeight="false" outlineLevel="0" collapsed="false"/>
    <row r="489" customFormat="false" ht="13.8" hidden="false" customHeight="false" outlineLevel="0" collapsed="false"/>
    <row r="490" customFormat="false" ht="13.8" hidden="false" customHeight="false" outlineLevel="0" collapsed="false"/>
    <row r="491" customFormat="false" ht="13.8" hidden="false" customHeight="false" outlineLevel="0" collapsed="false"/>
    <row r="492" customFormat="false" ht="13.8" hidden="false" customHeight="false" outlineLevel="0" collapsed="false"/>
    <row r="493" customFormat="false" ht="13.8" hidden="false" customHeight="false" outlineLevel="0" collapsed="false"/>
    <row r="494" customFormat="false" ht="13.8" hidden="false" customHeight="false" outlineLevel="0" collapsed="false"/>
    <row r="495" customFormat="false" ht="13.8" hidden="false" customHeight="false" outlineLevel="0" collapsed="false"/>
    <row r="496" customFormat="false" ht="13.8" hidden="false" customHeight="false" outlineLevel="0" collapsed="false"/>
    <row r="497" customFormat="false" ht="13.8" hidden="false" customHeight="false" outlineLevel="0" collapsed="false"/>
    <row r="498" customFormat="false" ht="13.8" hidden="false" customHeight="false" outlineLevel="0" collapsed="false"/>
    <row r="499" customFormat="false" ht="13.8" hidden="false" customHeight="false" outlineLevel="0" collapsed="false"/>
    <row r="500" customFormat="false" ht="13.8" hidden="false" customHeight="false" outlineLevel="0" collapsed="false"/>
    <row r="501" customFormat="false" ht="13.8" hidden="false" customHeight="false" outlineLevel="0" collapsed="false"/>
    <row r="502" customFormat="false" ht="13.8" hidden="false" customHeight="false" outlineLevel="0" collapsed="false"/>
    <row r="503" customFormat="false" ht="13.8" hidden="false" customHeight="false" outlineLevel="0" collapsed="false"/>
    <row r="504" customFormat="false" ht="13.8" hidden="false" customHeight="false" outlineLevel="0" collapsed="false"/>
    <row r="505" customFormat="false" ht="13.8" hidden="false" customHeight="false" outlineLevel="0" collapsed="false"/>
    <row r="506" customFormat="false" ht="13.8" hidden="false" customHeight="false" outlineLevel="0" collapsed="false"/>
    <row r="507" customFormat="false" ht="13.8" hidden="false" customHeight="false" outlineLevel="0" collapsed="false"/>
    <row r="508" customFormat="false" ht="13.8" hidden="false" customHeight="false" outlineLevel="0" collapsed="false"/>
    <row r="509" customFormat="false" ht="13.8" hidden="false" customHeight="false" outlineLevel="0" collapsed="false"/>
    <row r="510" customFormat="false" ht="13.8" hidden="false" customHeight="false" outlineLevel="0" collapsed="false"/>
    <row r="511" customFormat="false" ht="13.8" hidden="false" customHeight="false" outlineLevel="0" collapsed="false"/>
    <row r="512" customFormat="false" ht="13.8" hidden="false" customHeight="false" outlineLevel="0" collapsed="false"/>
    <row r="513" customFormat="false" ht="13.8" hidden="false" customHeight="false" outlineLevel="0" collapsed="false"/>
    <row r="514" customFormat="false" ht="13.8" hidden="false" customHeight="false" outlineLevel="0" collapsed="false"/>
    <row r="515" customFormat="false" ht="13.8" hidden="false" customHeight="false" outlineLevel="0" collapsed="false"/>
    <row r="516" customFormat="false" ht="13.8" hidden="false" customHeight="false" outlineLevel="0" collapsed="false"/>
    <row r="517" customFormat="false" ht="13.8" hidden="false" customHeight="false" outlineLevel="0" collapsed="false"/>
    <row r="518" customFormat="false" ht="13.8" hidden="false" customHeight="false" outlineLevel="0" collapsed="false"/>
    <row r="519" customFormat="false" ht="13.8" hidden="false" customHeight="false" outlineLevel="0" collapsed="false"/>
    <row r="520" customFormat="false" ht="13.8" hidden="false" customHeight="false" outlineLevel="0" collapsed="false"/>
    <row r="521" customFormat="false" ht="13.8" hidden="false" customHeight="false" outlineLevel="0" collapsed="false"/>
    <row r="522" customFormat="false" ht="13.8" hidden="false" customHeight="false" outlineLevel="0" collapsed="false"/>
    <row r="523" customFormat="false" ht="13.8" hidden="false" customHeight="false" outlineLevel="0" collapsed="false"/>
    <row r="524" customFormat="false" ht="13.8" hidden="false" customHeight="false" outlineLevel="0" collapsed="false"/>
    <row r="525" customFormat="false" ht="13.8" hidden="false" customHeight="false" outlineLevel="0" collapsed="false"/>
    <row r="526" customFormat="false" ht="13.8" hidden="false" customHeight="false" outlineLevel="0" collapsed="false"/>
    <row r="527" customFormat="false" ht="13.8" hidden="false" customHeight="false" outlineLevel="0" collapsed="false"/>
    <row r="528" customFormat="false" ht="13.8" hidden="false" customHeight="false" outlineLevel="0" collapsed="false"/>
    <row r="529" customFormat="false" ht="13.8" hidden="false" customHeight="false" outlineLevel="0" collapsed="false"/>
    <row r="530" customFormat="false" ht="13.8" hidden="false" customHeight="false" outlineLevel="0" collapsed="false"/>
    <row r="531" customFormat="false" ht="13.8" hidden="false" customHeight="false" outlineLevel="0" collapsed="false"/>
    <row r="532" customFormat="false" ht="13.8" hidden="false" customHeight="false" outlineLevel="0" collapsed="false"/>
    <row r="533" customFormat="false" ht="13.8" hidden="false" customHeight="false" outlineLevel="0" collapsed="false"/>
    <row r="534" customFormat="false" ht="13.8" hidden="false" customHeight="false" outlineLevel="0" collapsed="false"/>
    <row r="535" customFormat="false" ht="13.8" hidden="false" customHeight="false" outlineLevel="0" collapsed="false"/>
    <row r="536" customFormat="false" ht="13.8" hidden="false" customHeight="false" outlineLevel="0" collapsed="false"/>
    <row r="537" customFormat="false" ht="13.8" hidden="false" customHeight="false" outlineLevel="0" collapsed="false"/>
    <row r="538" customFormat="false" ht="13.8" hidden="false" customHeight="false" outlineLevel="0" collapsed="false"/>
    <row r="539" customFormat="false" ht="13.8" hidden="false" customHeight="false" outlineLevel="0" collapsed="false"/>
    <row r="540" customFormat="false" ht="13.8" hidden="false" customHeight="false" outlineLevel="0" collapsed="false"/>
    <row r="541" customFormat="false" ht="13.8" hidden="false" customHeight="false" outlineLevel="0" collapsed="false"/>
    <row r="542" customFormat="false" ht="13.8" hidden="false" customHeight="false" outlineLevel="0" collapsed="false"/>
    <row r="543" customFormat="false" ht="13.8" hidden="false" customHeight="false" outlineLevel="0" collapsed="false"/>
    <row r="544" customFormat="false" ht="13.8" hidden="false" customHeight="false" outlineLevel="0" collapsed="false"/>
    <row r="545" customFormat="false" ht="13.8" hidden="false" customHeight="false" outlineLevel="0" collapsed="false"/>
    <row r="546" customFormat="false" ht="13.8" hidden="false" customHeight="false" outlineLevel="0" collapsed="false"/>
    <row r="547" customFormat="false" ht="13.8" hidden="false" customHeight="false" outlineLevel="0" collapsed="false"/>
    <row r="548" customFormat="false" ht="13.8" hidden="false" customHeight="false" outlineLevel="0" collapsed="false"/>
    <row r="549" customFormat="false" ht="13.8" hidden="false" customHeight="false" outlineLevel="0" collapsed="false"/>
    <row r="550" customFormat="false" ht="13.8" hidden="false" customHeight="false" outlineLevel="0" collapsed="false"/>
    <row r="551" customFormat="false" ht="13.8" hidden="false" customHeight="false" outlineLevel="0" collapsed="false"/>
    <row r="552" customFormat="false" ht="13.8" hidden="false" customHeight="false" outlineLevel="0" collapsed="false"/>
    <row r="553" customFormat="false" ht="13.8" hidden="false" customHeight="false" outlineLevel="0" collapsed="false"/>
    <row r="554" customFormat="false" ht="13.8" hidden="false" customHeight="false" outlineLevel="0" collapsed="false"/>
    <row r="555" customFormat="false" ht="13.8" hidden="false" customHeight="false" outlineLevel="0" collapsed="false"/>
    <row r="556" customFormat="false" ht="13.8" hidden="false" customHeight="false" outlineLevel="0" collapsed="false"/>
    <row r="557" customFormat="false" ht="13.8" hidden="false" customHeight="false" outlineLevel="0" collapsed="false"/>
    <row r="558" customFormat="false" ht="13.8" hidden="false" customHeight="false" outlineLevel="0" collapsed="false"/>
    <row r="559" customFormat="false" ht="13.8" hidden="false" customHeight="false" outlineLevel="0" collapsed="false"/>
    <row r="560" customFormat="false" ht="13.8" hidden="false" customHeight="false" outlineLevel="0" collapsed="false"/>
    <row r="561" customFormat="false" ht="13.8" hidden="false" customHeight="false" outlineLevel="0" collapsed="false"/>
    <row r="562" customFormat="false" ht="13.8" hidden="false" customHeight="false" outlineLevel="0" collapsed="false"/>
    <row r="563" customFormat="false" ht="13.8" hidden="false" customHeight="false" outlineLevel="0" collapsed="false"/>
    <row r="564" customFormat="false" ht="13.8" hidden="false" customHeight="false" outlineLevel="0" collapsed="false"/>
    <row r="565" customFormat="false" ht="13.8" hidden="false" customHeight="false" outlineLevel="0" collapsed="false"/>
    <row r="566" customFormat="false" ht="13.8" hidden="false" customHeight="false" outlineLevel="0" collapsed="false"/>
    <row r="567" customFormat="false" ht="13.8" hidden="false" customHeight="false" outlineLevel="0" collapsed="false"/>
    <row r="568" customFormat="false" ht="13.8" hidden="false" customHeight="false" outlineLevel="0" collapsed="false"/>
    <row r="569" customFormat="false" ht="13.8" hidden="false" customHeight="false" outlineLevel="0" collapsed="false"/>
    <row r="570" customFormat="false" ht="13.8" hidden="false" customHeight="false" outlineLevel="0" collapsed="false"/>
    <row r="571" customFormat="false" ht="13.8" hidden="false" customHeight="false" outlineLevel="0" collapsed="false"/>
    <row r="572" customFormat="false" ht="13.8" hidden="false" customHeight="false" outlineLevel="0" collapsed="false"/>
    <row r="573" customFormat="false" ht="13.8" hidden="false" customHeight="false" outlineLevel="0" collapsed="false"/>
    <row r="574" customFormat="false" ht="13.8" hidden="false" customHeight="false" outlineLevel="0" collapsed="false"/>
    <row r="575" customFormat="false" ht="13.8" hidden="false" customHeight="false" outlineLevel="0" collapsed="false"/>
    <row r="576" customFormat="false" ht="13.8" hidden="false" customHeight="false" outlineLevel="0" collapsed="false"/>
    <row r="577" customFormat="false" ht="13.8" hidden="false" customHeight="false" outlineLevel="0" collapsed="false"/>
    <row r="578" customFormat="false" ht="13.8" hidden="false" customHeight="false" outlineLevel="0" collapsed="false"/>
    <row r="579" customFormat="false" ht="13.8" hidden="false" customHeight="false" outlineLevel="0" collapsed="false"/>
    <row r="580" customFormat="false" ht="13.8" hidden="false" customHeight="false" outlineLevel="0" collapsed="false"/>
    <row r="581" customFormat="false" ht="13.8" hidden="false" customHeight="false" outlineLevel="0" collapsed="false"/>
    <row r="582" customFormat="false" ht="13.8" hidden="false" customHeight="false" outlineLevel="0" collapsed="false"/>
    <row r="583" customFormat="false" ht="13.8" hidden="false" customHeight="false" outlineLevel="0" collapsed="false"/>
    <row r="584" customFormat="false" ht="13.8" hidden="false" customHeight="false" outlineLevel="0" collapsed="false"/>
    <row r="585" customFormat="false" ht="13.8" hidden="false" customHeight="false" outlineLevel="0" collapsed="false"/>
    <row r="586" customFormat="false" ht="13.8" hidden="false" customHeight="false" outlineLevel="0" collapsed="false"/>
    <row r="587" customFormat="false" ht="13.8" hidden="false" customHeight="false" outlineLevel="0" collapsed="false"/>
    <row r="588" customFormat="false" ht="13.8" hidden="false" customHeight="false" outlineLevel="0" collapsed="false"/>
    <row r="589" customFormat="false" ht="13.8" hidden="false" customHeight="false" outlineLevel="0" collapsed="false"/>
    <row r="590" customFormat="false" ht="13.8" hidden="false" customHeight="false" outlineLevel="0" collapsed="false"/>
    <row r="591" customFormat="false" ht="13.8" hidden="false" customHeight="false" outlineLevel="0" collapsed="false"/>
    <row r="592" customFormat="false" ht="13.8" hidden="false" customHeight="false" outlineLevel="0" collapsed="false"/>
    <row r="593" customFormat="false" ht="13.8" hidden="false" customHeight="false" outlineLevel="0" collapsed="false"/>
    <row r="594" customFormat="false" ht="13.8" hidden="false" customHeight="false" outlineLevel="0" collapsed="false"/>
    <row r="595" customFormat="false" ht="13.8" hidden="false" customHeight="false" outlineLevel="0" collapsed="false"/>
    <row r="596" customFormat="false" ht="13.8" hidden="false" customHeight="false" outlineLevel="0" collapsed="false"/>
    <row r="597" customFormat="false" ht="13.8" hidden="false" customHeight="false" outlineLevel="0" collapsed="false"/>
    <row r="598" customFormat="false" ht="13.8" hidden="false" customHeight="false" outlineLevel="0" collapsed="false"/>
    <row r="599" customFormat="false" ht="13.8" hidden="false" customHeight="false" outlineLevel="0" collapsed="false"/>
    <row r="600" customFormat="false" ht="13.8" hidden="false" customHeight="false" outlineLevel="0" collapsed="false"/>
    <row r="601" customFormat="false" ht="13.8" hidden="false" customHeight="false" outlineLevel="0" collapsed="false"/>
    <row r="602" customFormat="false" ht="13.8" hidden="false" customHeight="false" outlineLevel="0" collapsed="false"/>
    <row r="603" customFormat="false" ht="13.8" hidden="false" customHeight="false" outlineLevel="0" collapsed="false"/>
    <row r="604" customFormat="false" ht="13.8" hidden="false" customHeight="false" outlineLevel="0" collapsed="false"/>
    <row r="605" customFormat="false" ht="13.8" hidden="false" customHeight="false" outlineLevel="0" collapsed="false"/>
    <row r="606" customFormat="false" ht="13.8" hidden="false" customHeight="false" outlineLevel="0" collapsed="false"/>
    <row r="607" customFormat="false" ht="13.8" hidden="false" customHeight="false" outlineLevel="0" collapsed="false"/>
    <row r="608" customFormat="false" ht="13.8" hidden="false" customHeight="false" outlineLevel="0" collapsed="false"/>
    <row r="609" customFormat="false" ht="13.8" hidden="false" customHeight="false" outlineLevel="0" collapsed="false"/>
    <row r="610" customFormat="false" ht="13.8" hidden="false" customHeight="false" outlineLevel="0" collapsed="false"/>
    <row r="611" customFormat="false" ht="13.8" hidden="false" customHeight="false" outlineLevel="0" collapsed="false"/>
    <row r="612" customFormat="false" ht="13.8" hidden="false" customHeight="false" outlineLevel="0" collapsed="false"/>
    <row r="613" customFormat="false" ht="13.8" hidden="false" customHeight="false" outlineLevel="0" collapsed="false"/>
    <row r="614" customFormat="false" ht="13.8" hidden="false" customHeight="false" outlineLevel="0" collapsed="false"/>
    <row r="615" customFormat="false" ht="13.8" hidden="false" customHeight="false" outlineLevel="0" collapsed="false"/>
    <row r="616" customFormat="false" ht="13.8" hidden="false" customHeight="false" outlineLevel="0" collapsed="false"/>
    <row r="617" customFormat="false" ht="13.8" hidden="false" customHeight="false" outlineLevel="0" collapsed="false"/>
    <row r="618" customFormat="false" ht="13.8" hidden="false" customHeight="false" outlineLevel="0" collapsed="false"/>
    <row r="619" customFormat="false" ht="13.8" hidden="false" customHeight="false" outlineLevel="0" collapsed="false"/>
    <row r="620" customFormat="false" ht="13.8" hidden="false" customHeight="false" outlineLevel="0" collapsed="false"/>
    <row r="621" customFormat="false" ht="13.8" hidden="false" customHeight="false" outlineLevel="0" collapsed="false"/>
    <row r="622" customFormat="false" ht="13.8" hidden="false" customHeight="false" outlineLevel="0" collapsed="false"/>
    <row r="623" customFormat="false" ht="13.8" hidden="false" customHeight="false" outlineLevel="0" collapsed="false"/>
    <row r="624" customFormat="false" ht="13.8" hidden="false" customHeight="false" outlineLevel="0" collapsed="false"/>
    <row r="625" customFormat="false" ht="13.8" hidden="false" customHeight="false" outlineLevel="0" collapsed="false"/>
    <row r="626" customFormat="false" ht="13.8" hidden="false" customHeight="false" outlineLevel="0" collapsed="false"/>
    <row r="627" customFormat="false" ht="13.8" hidden="false" customHeight="false" outlineLevel="0" collapsed="false"/>
  </sheetData>
  <mergeCells count="1">
    <mergeCell ref="K2:L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6"/>
  <sheetViews>
    <sheetView showFormulas="false" showGridLines="true" showRowColHeaders="true" showZeros="true" rightToLeft="false" tabSelected="false" showOutlineSymbols="true" defaultGridColor="true" view="normal" topLeftCell="F1" colorId="64" zoomScale="110" zoomScaleNormal="110" zoomScalePageLayoutView="100" workbookViewId="0">
      <selection pane="topLeft" activeCell="S21" activeCellId="0" sqref="S21"/>
    </sheetView>
  </sheetViews>
  <sheetFormatPr defaultColWidth="8.54296875" defaultRowHeight="13.8" customHeight="true" zeroHeight="false" outlineLevelRow="0" outlineLevelCol="0"/>
  <cols>
    <col collapsed="false" customWidth="true" hidden="false" outlineLevel="0" max="1" min="1" style="1" width="10.44"/>
    <col collapsed="false" customWidth="true" hidden="false" outlineLevel="0" max="2" min="2" style="1" width="11.11"/>
    <col collapsed="false" customWidth="true" hidden="false" outlineLevel="0" max="4" min="4" style="1" width="11.89"/>
    <col collapsed="false" customWidth="true" hidden="false" outlineLevel="0" max="5" min="5" style="1" width="9.87"/>
    <col collapsed="false" customWidth="true" hidden="false" outlineLevel="0" max="6" min="6" style="1" width="15.66"/>
    <col collapsed="false" customWidth="true" hidden="false" outlineLevel="0" max="7" min="7" style="1" width="10.34"/>
    <col collapsed="false" customWidth="true" hidden="false" outlineLevel="0" max="8" min="8" style="1" width="15.89"/>
    <col collapsed="false" customWidth="true" hidden="false" outlineLevel="0" max="10" min="10" style="1" width="18.44"/>
    <col collapsed="false" customWidth="true" hidden="false" outlineLevel="0" max="19" min="19" style="1" width="11.36"/>
  </cols>
  <sheetData>
    <row r="1" customFormat="false" ht="13.8" hidden="false" customHeight="false" outlineLevel="0" collapsed="false">
      <c r="A1" s="17" t="s">
        <v>0</v>
      </c>
      <c r="B1" s="18" t="s">
        <v>1</v>
      </c>
      <c r="C1" s="18" t="s">
        <v>2</v>
      </c>
      <c r="D1" s="18" t="s">
        <v>3</v>
      </c>
      <c r="E1" s="18" t="s">
        <v>173</v>
      </c>
      <c r="F1" s="18" t="s">
        <v>174</v>
      </c>
      <c r="G1" s="18" t="s">
        <v>175</v>
      </c>
      <c r="H1" s="18" t="s">
        <v>176</v>
      </c>
      <c r="I1" s="18" t="s">
        <v>177</v>
      </c>
      <c r="J1" s="19" t="s">
        <v>178</v>
      </c>
      <c r="N1" s="27"/>
      <c r="O1" s="27"/>
      <c r="P1" s="27"/>
    </row>
    <row r="2" customFormat="false" ht="13.8" hidden="false" customHeight="false" outlineLevel="0" collapsed="false">
      <c r="A2" s="20" t="n">
        <v>1</v>
      </c>
      <c r="B2" s="21" t="n">
        <v>43466</v>
      </c>
      <c r="C2" s="22" t="n">
        <v>7034</v>
      </c>
      <c r="D2" s="22" t="e">
        <f aca="false">Table134[[#This Row],[Steps]]-C1</f>
        <v>#VALUE!</v>
      </c>
      <c r="E2" s="23" t="n">
        <v>280.3</v>
      </c>
      <c r="F2" s="22" t="e">
        <f aca="false">Table134[[#This Row],[Colories]]-E1</f>
        <v>#VALUE!</v>
      </c>
      <c r="G2" s="24" t="n">
        <v>5.06</v>
      </c>
      <c r="H2" s="24" t="e">
        <f aca="false">Table134[[#This Row],[Distance]]-G1</f>
        <v>#VALUE!</v>
      </c>
      <c r="I2" s="22" t="n">
        <v>68</v>
      </c>
      <c r="J2" s="25" t="e">
        <f aca="false">Table134[[#This Row],[Time]]-I1</f>
        <v>#VALUE!</v>
      </c>
      <c r="M2" s="1" t="s">
        <v>2</v>
      </c>
      <c r="N2" s="1" t="s">
        <v>179</v>
      </c>
      <c r="O2" s="1" t="s">
        <v>175</v>
      </c>
      <c r="P2" s="1" t="s">
        <v>177</v>
      </c>
      <c r="S2" s="1" t="s">
        <v>2</v>
      </c>
      <c r="T2" s="1" t="s">
        <v>179</v>
      </c>
      <c r="U2" s="1" t="s">
        <v>175</v>
      </c>
      <c r="V2" s="1" t="s">
        <v>177</v>
      </c>
    </row>
    <row r="3" customFormat="false" ht="13.8" hidden="false" customHeight="false" outlineLevel="0" collapsed="false">
      <c r="A3" s="20" t="n">
        <v>2</v>
      </c>
      <c r="B3" s="21" t="n">
        <v>43467</v>
      </c>
      <c r="C3" s="22" t="n">
        <v>16097</v>
      </c>
      <c r="D3" s="22" t="n">
        <f aca="false">Table134[[#This Row],[Steps]]-C2</f>
        <v>9063</v>
      </c>
      <c r="E3" s="23" t="n">
        <v>619.6</v>
      </c>
      <c r="F3" s="23" t="n">
        <f aca="false">Table134[[#This Row],[Colories]]-E2</f>
        <v>339.3</v>
      </c>
      <c r="G3" s="24" t="n">
        <v>11.59</v>
      </c>
      <c r="H3" s="24" t="n">
        <f aca="false">Table134[[#This Row],[Distance]]-G2</f>
        <v>6.53</v>
      </c>
      <c r="I3" s="22" t="n">
        <v>142</v>
      </c>
      <c r="J3" s="25" t="n">
        <f aca="false">Table134[[#This Row],[Time]]-I2</f>
        <v>74</v>
      </c>
      <c r="L3" s="1" t="s">
        <v>8</v>
      </c>
      <c r="M3" s="1" t="n">
        <v>7567.54838709677</v>
      </c>
      <c r="N3" s="1" t="n">
        <v>293.748387096774</v>
      </c>
      <c r="O3" s="1" t="n">
        <v>5.44870967741935</v>
      </c>
      <c r="P3" s="1" t="n">
        <v>68.741935483871</v>
      </c>
      <c r="R3" s="1" t="s">
        <v>8</v>
      </c>
      <c r="S3" s="1" t="n">
        <f aca="false">AVERAGE($C$1:$C$366)</f>
        <v>11072.7541436464</v>
      </c>
      <c r="T3" s="1" t="n">
        <f aca="false">AVERAGE($E$1:$E$366)</f>
        <v>448.762154696133</v>
      </c>
      <c r="U3" s="1" t="n">
        <f aca="false">AVERAGE($G$1:$G$366)</f>
        <v>7.97328729281768</v>
      </c>
      <c r="V3" s="1" t="n">
        <f aca="false">AVERAGE($I$1:$I$366)</f>
        <v>106.162983425414</v>
      </c>
    </row>
    <row r="4" customFormat="false" ht="13.8" hidden="false" customHeight="false" outlineLevel="0" collapsed="false">
      <c r="A4" s="20" t="n">
        <v>3</v>
      </c>
      <c r="B4" s="21" t="n">
        <v>43468</v>
      </c>
      <c r="C4" s="22" t="n">
        <v>8016</v>
      </c>
      <c r="D4" s="22" t="n">
        <f aca="false">Table134[[#This Row],[Steps]]-C3</f>
        <v>-8081</v>
      </c>
      <c r="E4" s="23" t="n">
        <v>306.6</v>
      </c>
      <c r="F4" s="23" t="n">
        <f aca="false">Table134[[#This Row],[Colories]]-E3</f>
        <v>-313</v>
      </c>
      <c r="G4" s="6" t="n">
        <v>5.77</v>
      </c>
      <c r="H4" s="24" t="n">
        <f aca="false">Table134[[#This Row],[Distance]]-G3</f>
        <v>-5.82</v>
      </c>
      <c r="I4" s="22" t="n">
        <v>68</v>
      </c>
      <c r="J4" s="25" t="n">
        <f aca="false">Table134[[#This Row],[Time]]-I3</f>
        <v>-74</v>
      </c>
      <c r="L4" s="1" t="s">
        <v>10</v>
      </c>
      <c r="M4" s="1" t="n">
        <v>765.367042229125</v>
      </c>
      <c r="N4" s="1" t="n">
        <v>29.2628109509663</v>
      </c>
      <c r="O4" s="1" t="n">
        <v>0.551041973292608</v>
      </c>
      <c r="P4" s="1" t="n">
        <v>6.70001889612734</v>
      </c>
      <c r="R4" s="1" t="s">
        <v>10</v>
      </c>
      <c r="S4" s="1" t="n">
        <f aca="false">SQRT(VAR($C$1:$C$366)/COUNT($C$1:$C$366))</f>
        <v>312.846802861345</v>
      </c>
      <c r="T4" s="1" t="n">
        <f aca="false">SQRT(VAR($E$1:$E$366)/COUNT($E$1:$E$366))</f>
        <v>12.8707765687926</v>
      </c>
      <c r="U4" s="1" t="n">
        <f aca="false">SQRT(VAR($G$1:$G$366)/COUNT($G$1:$G$366))</f>
        <v>0.225234515863163</v>
      </c>
      <c r="V4" s="1" t="n">
        <f aca="false">SQRT(VAR($I$1:$I$366)/COUNT($I$1:$I$366))</f>
        <v>3.07920692903377</v>
      </c>
    </row>
    <row r="5" customFormat="false" ht="13.8" hidden="false" customHeight="false" outlineLevel="0" collapsed="false">
      <c r="A5" s="20" t="n">
        <v>4</v>
      </c>
      <c r="B5" s="21" t="n">
        <v>43469</v>
      </c>
      <c r="C5" s="22" t="n">
        <v>5968</v>
      </c>
      <c r="D5" s="22" t="n">
        <f aca="false">Table134[[#This Row],[Steps]]-C4</f>
        <v>-2048</v>
      </c>
      <c r="E5" s="23" t="n">
        <v>231.9</v>
      </c>
      <c r="F5" s="23" t="n">
        <f aca="false">Table134[[#This Row],[Colories]]-E4</f>
        <v>-74.7</v>
      </c>
      <c r="G5" s="6" t="n">
        <v>4.3</v>
      </c>
      <c r="H5" s="24" t="n">
        <f aca="false">Table134[[#This Row],[Distance]]-G4</f>
        <v>-1.47</v>
      </c>
      <c r="I5" s="22" t="n">
        <v>55</v>
      </c>
      <c r="J5" s="25" t="n">
        <f aca="false">Table134[[#This Row],[Time]]-I4</f>
        <v>-13</v>
      </c>
      <c r="L5" s="1" t="s">
        <v>12</v>
      </c>
      <c r="M5" s="1" t="n">
        <v>7653</v>
      </c>
      <c r="N5" s="1" t="n">
        <v>299.2</v>
      </c>
      <c r="O5" s="1" t="n">
        <v>5.51</v>
      </c>
      <c r="P5" s="1" t="n">
        <v>71</v>
      </c>
      <c r="R5" s="1" t="s">
        <v>14</v>
      </c>
      <c r="S5" s="1" t="n">
        <f aca="false">MODE($C$1:$C$366)</f>
        <v>0</v>
      </c>
      <c r="T5" s="1" t="n">
        <f aca="false">MODE($E$1:$E$366)</f>
        <v>0</v>
      </c>
      <c r="U5" s="1" t="n">
        <f aca="false">MODE($G$1:$G$366)</f>
        <v>0</v>
      </c>
      <c r="V5" s="1" t="n">
        <f aca="false">MODE($I$1:$I$366)</f>
        <v>0</v>
      </c>
    </row>
    <row r="6" customFormat="false" ht="13.8" hidden="false" customHeight="false" outlineLevel="0" collapsed="false">
      <c r="A6" s="20" t="n">
        <v>5</v>
      </c>
      <c r="B6" s="21" t="n">
        <v>43470</v>
      </c>
      <c r="C6" s="22" t="n">
        <v>6677</v>
      </c>
      <c r="D6" s="22" t="n">
        <f aca="false">Table134[[#This Row],[Steps]]-C5</f>
        <v>709</v>
      </c>
      <c r="E6" s="23" t="n">
        <v>258.2</v>
      </c>
      <c r="F6" s="23" t="n">
        <f aca="false">Table134[[#This Row],[Colories]]-E5</f>
        <v>26.3</v>
      </c>
      <c r="G6" s="6" t="n">
        <v>4.81</v>
      </c>
      <c r="H6" s="24" t="n">
        <f aca="false">Table134[[#This Row],[Distance]]-G5</f>
        <v>0.51</v>
      </c>
      <c r="I6" s="22" t="n">
        <v>60</v>
      </c>
      <c r="J6" s="25" t="n">
        <f aca="false">Table134[[#This Row],[Time]]-I5</f>
        <v>5</v>
      </c>
      <c r="L6" s="1" t="s">
        <v>14</v>
      </c>
      <c r="M6" s="1" t="e">
        <f aca="false">#N/A</f>
        <v>#N/A</v>
      </c>
      <c r="N6" s="1" t="e">
        <f aca="false">#N/A</f>
        <v>#N/A</v>
      </c>
      <c r="O6" s="1" t="n">
        <v>5.06</v>
      </c>
      <c r="P6" s="1" t="n">
        <v>68</v>
      </c>
      <c r="R6" s="1" t="s">
        <v>12</v>
      </c>
      <c r="S6" s="1" t="n">
        <f aca="false">MEDIAN($C$1:$C$366)</f>
        <v>10933</v>
      </c>
      <c r="T6" s="1" t="n">
        <f aca="false">MEDIAN($E$1:$E$366)</f>
        <v>441.35</v>
      </c>
      <c r="U6" s="1" t="n">
        <f aca="false">MEDIAN($G$1:$G$366)</f>
        <v>7.87</v>
      </c>
      <c r="V6" s="1" t="n">
        <f aca="false">MEDIAN($I$1:$I$366)</f>
        <v>103</v>
      </c>
    </row>
    <row r="7" customFormat="false" ht="13.8" hidden="false" customHeight="false" outlineLevel="0" collapsed="false">
      <c r="A7" s="20" t="n">
        <v>6</v>
      </c>
      <c r="B7" s="21" t="n">
        <v>43471</v>
      </c>
      <c r="C7" s="22" t="n">
        <v>7640</v>
      </c>
      <c r="D7" s="22" t="n">
        <f aca="false">Table134[[#This Row],[Steps]]-C6</f>
        <v>963</v>
      </c>
      <c r="E7" s="23" t="n">
        <v>299.2</v>
      </c>
      <c r="F7" s="23" t="n">
        <f aca="false">Table134[[#This Row],[Colories]]-E6</f>
        <v>41</v>
      </c>
      <c r="G7" s="6" t="n">
        <v>5.5</v>
      </c>
      <c r="H7" s="24" t="n">
        <f aca="false">Table134[[#This Row],[Distance]]-G6</f>
        <v>0.69</v>
      </c>
      <c r="I7" s="22" t="n">
        <v>73</v>
      </c>
      <c r="J7" s="25" t="n">
        <f aca="false">Table134[[#This Row],[Time]]-I6</f>
        <v>13</v>
      </c>
      <c r="L7" s="1" t="s">
        <v>16</v>
      </c>
      <c r="M7" s="1" t="n">
        <v>4261.38334220794</v>
      </c>
      <c r="N7" s="1" t="n">
        <v>162.928435969022</v>
      </c>
      <c r="O7" s="1" t="n">
        <v>3.06807186132212</v>
      </c>
      <c r="P7" s="1" t="n">
        <v>37.3041264401455</v>
      </c>
      <c r="R7" s="1" t="s">
        <v>180</v>
      </c>
      <c r="S7" s="1" t="n">
        <f aca="false">QUARTILE($C$1:$C$366, 1)</f>
        <v>7125.5</v>
      </c>
      <c r="T7" s="1" t="n">
        <f aca="false">QUARTILE($E$1:$E$366, 1)</f>
        <v>285.975</v>
      </c>
      <c r="U7" s="1" t="n">
        <f aca="false">QUARTILE($G$1:$G$366, 1)</f>
        <v>5.13</v>
      </c>
      <c r="V7" s="1" t="n">
        <f aca="false">QUARTILE($I$1:$I$366, 1)</f>
        <v>69</v>
      </c>
    </row>
    <row r="8" customFormat="false" ht="13.8" hidden="false" customHeight="false" outlineLevel="0" collapsed="false">
      <c r="A8" s="20" t="n">
        <v>7</v>
      </c>
      <c r="B8" s="21" t="n">
        <v>43472</v>
      </c>
      <c r="C8" s="22" t="n">
        <v>8177</v>
      </c>
      <c r="D8" s="22" t="n">
        <f aca="false">Table134[[#This Row],[Steps]]-C7</f>
        <v>537</v>
      </c>
      <c r="E8" s="23" t="n">
        <v>312.4</v>
      </c>
      <c r="F8" s="23" t="n">
        <f aca="false">Table134[[#This Row],[Colories]]-E7</f>
        <v>13.2</v>
      </c>
      <c r="G8" s="6" t="n">
        <v>5.89</v>
      </c>
      <c r="H8" s="24" t="n">
        <f aca="false">Table134[[#This Row],[Distance]]-G7</f>
        <v>0.39</v>
      </c>
      <c r="I8" s="22" t="n">
        <v>69</v>
      </c>
      <c r="J8" s="25" t="n">
        <f aca="false">Table134[[#This Row],[Time]]-I7</f>
        <v>-4</v>
      </c>
      <c r="L8" s="1" t="s">
        <v>18</v>
      </c>
      <c r="M8" s="1" t="n">
        <v>18159387.9892473</v>
      </c>
      <c r="N8" s="1" t="n">
        <v>26545.6752473119</v>
      </c>
      <c r="O8" s="1" t="n">
        <v>9.41306494623657</v>
      </c>
      <c r="P8" s="1" t="n">
        <v>1391.59784946237</v>
      </c>
      <c r="R8" s="1" t="s">
        <v>181</v>
      </c>
      <c r="S8" s="1" t="n">
        <f aca="false">QUARTILE($C$1:$C$366, 3)</f>
        <v>14430.75</v>
      </c>
      <c r="T8" s="1" t="n">
        <f aca="false">QUARTILE($E$1:$E$366, 3)</f>
        <v>577.35</v>
      </c>
      <c r="U8" s="1" t="n">
        <f aca="false">QUARTILE($G$1:$G$366, 3)</f>
        <v>10.3925</v>
      </c>
      <c r="V8" s="1" t="n">
        <f aca="false">QUARTILE($I$1:$I$366, 3)</f>
        <v>136</v>
      </c>
    </row>
    <row r="9" customFormat="false" ht="13.8" hidden="false" customHeight="false" outlineLevel="0" collapsed="false">
      <c r="A9" s="20" t="n">
        <v>8</v>
      </c>
      <c r="B9" s="21" t="n">
        <v>43473</v>
      </c>
      <c r="C9" s="22" t="n">
        <v>8714</v>
      </c>
      <c r="D9" s="22" t="n">
        <f aca="false">Table134[[#This Row],[Steps]]-C8</f>
        <v>537</v>
      </c>
      <c r="E9" s="23" t="n">
        <v>334</v>
      </c>
      <c r="F9" s="23" t="n">
        <f aca="false">Table134[[#This Row],[Colories]]-E8</f>
        <v>21.6</v>
      </c>
      <c r="G9" s="6" t="n">
        <v>6.27</v>
      </c>
      <c r="H9" s="24" t="n">
        <f aca="false">Table134[[#This Row],[Distance]]-G8</f>
        <v>0.38</v>
      </c>
      <c r="I9" s="22" t="n">
        <v>75</v>
      </c>
      <c r="J9" s="25" t="n">
        <f aca="false">Table134[[#This Row],[Time]]-I8</f>
        <v>6</v>
      </c>
      <c r="L9" s="1" t="s">
        <v>20</v>
      </c>
      <c r="M9" s="1" t="n">
        <v>-0.351988528587885</v>
      </c>
      <c r="N9" s="1" t="n">
        <v>-0.316865562279364</v>
      </c>
      <c r="O9" s="1" t="n">
        <v>-0.353222540171753</v>
      </c>
      <c r="P9" s="1" t="n">
        <v>-0.269404947956809</v>
      </c>
      <c r="R9" s="1" t="s">
        <v>182</v>
      </c>
      <c r="S9" s="1" t="n">
        <f aca="false">VAR($C$1:$C$366)</f>
        <v>35430070.1859246</v>
      </c>
      <c r="T9" s="1" t="n">
        <f aca="false">VAR($E$1:$E$366)</f>
        <v>59967.7939931284</v>
      </c>
      <c r="U9" s="1" t="n">
        <f aca="false">VAR($G$1:$G$366)</f>
        <v>18.364472543273</v>
      </c>
      <c r="V9" s="1" t="n">
        <f aca="false">VAR($I$1:$I$366)</f>
        <v>3432.30854287507</v>
      </c>
    </row>
    <row r="10" customFormat="false" ht="13.8" hidden="false" customHeight="false" outlineLevel="0" collapsed="false">
      <c r="A10" s="20" t="n">
        <v>9</v>
      </c>
      <c r="B10" s="21" t="n">
        <v>43474</v>
      </c>
      <c r="C10" s="22" t="n">
        <v>14935</v>
      </c>
      <c r="D10" s="22" t="n">
        <f aca="false">Table134[[#This Row],[Steps]]-C9</f>
        <v>6221</v>
      </c>
      <c r="E10" s="23" t="n">
        <v>575.7</v>
      </c>
      <c r="F10" s="23" t="n">
        <f aca="false">Table134[[#This Row],[Colories]]-E9</f>
        <v>241.7</v>
      </c>
      <c r="G10" s="6" t="n">
        <v>10.75</v>
      </c>
      <c r="H10" s="24" t="n">
        <f aca="false">Table134[[#This Row],[Distance]]-G9</f>
        <v>4.48</v>
      </c>
      <c r="I10" s="22" t="n">
        <v>134</v>
      </c>
      <c r="J10" s="25" t="n">
        <f aca="false">Table134[[#This Row],[Time]]-I9</f>
        <v>59</v>
      </c>
      <c r="L10" s="1" t="s">
        <v>22</v>
      </c>
      <c r="M10" s="1" t="n">
        <v>0.0654054860979386</v>
      </c>
      <c r="N10" s="1" t="n">
        <v>0.0428450381987004</v>
      </c>
      <c r="O10" s="1" t="n">
        <v>0.0647550950740776</v>
      </c>
      <c r="P10" s="1" t="n">
        <v>-0.00905795342712408</v>
      </c>
      <c r="R10" s="1" t="s">
        <v>16</v>
      </c>
      <c r="S10" s="1" t="n">
        <f aca="false">STDEV($C$1:$C$366)</f>
        <v>5952.3163714578</v>
      </c>
      <c r="T10" s="1" t="n">
        <f aca="false">STDEV($E$1:$E$366)</f>
        <v>244.883225217916</v>
      </c>
      <c r="U10" s="1" t="n">
        <f aca="false">STDEV($G$1:$G$366)</f>
        <v>4.28537892645131</v>
      </c>
      <c r="V10" s="1" t="n">
        <f aca="false">STDEV($I$1:$I$366)</f>
        <v>58.5859073743428</v>
      </c>
    </row>
    <row r="11" customFormat="false" ht="13.8" hidden="false" customHeight="false" outlineLevel="0" collapsed="false">
      <c r="A11" s="20" t="n">
        <v>10</v>
      </c>
      <c r="B11" s="21" t="n">
        <v>43475</v>
      </c>
      <c r="C11" s="22" t="n">
        <v>11718</v>
      </c>
      <c r="D11" s="22" t="n">
        <f aca="false">Table134[[#This Row],[Steps]]-C10</f>
        <v>-3217</v>
      </c>
      <c r="E11" s="23" t="n">
        <v>449</v>
      </c>
      <c r="F11" s="23" t="n">
        <f aca="false">Table134[[#This Row],[Colories]]-E10</f>
        <v>-126.7</v>
      </c>
      <c r="G11" s="6" t="n">
        <v>8.44</v>
      </c>
      <c r="H11" s="24" t="n">
        <f aca="false">Table134[[#This Row],[Distance]]-G10</f>
        <v>-2.31</v>
      </c>
      <c r="I11" s="22" t="n">
        <v>101</v>
      </c>
      <c r="J11" s="25" t="n">
        <f aca="false">Table134[[#This Row],[Time]]-I10</f>
        <v>-33</v>
      </c>
      <c r="L11" s="1" t="s">
        <v>24</v>
      </c>
      <c r="M11" s="1" t="n">
        <v>15853</v>
      </c>
      <c r="N11" s="1" t="n">
        <v>609.5</v>
      </c>
      <c r="O11" s="1" t="n">
        <v>11.41</v>
      </c>
      <c r="P11" s="1" t="n">
        <v>140</v>
      </c>
      <c r="R11" s="1" t="s">
        <v>20</v>
      </c>
      <c r="S11" s="1" t="n">
        <f aca="false">KURT($C$1:$C$366)</f>
        <v>1.80976087628011</v>
      </c>
      <c r="T11" s="1" t="n">
        <f aca="false">KURT($E$1:$E$366)</f>
        <v>2.44491452098705</v>
      </c>
      <c r="U11" s="1" t="n">
        <f aca="false">KURT($G$1:$G$366)</f>
        <v>1.80977857317826</v>
      </c>
      <c r="V11" s="1" t="n">
        <f aca="false">KURT($I$1:$I$366)</f>
        <v>3.29479360504207</v>
      </c>
    </row>
    <row r="12" customFormat="false" ht="13.8" hidden="false" customHeight="false" outlineLevel="0" collapsed="false">
      <c r="A12" s="20" t="n">
        <v>11</v>
      </c>
      <c r="B12" s="21" t="n">
        <v>43476</v>
      </c>
      <c r="C12" s="22" t="n">
        <v>7024</v>
      </c>
      <c r="D12" s="22" t="n">
        <f aca="false">Table134[[#This Row],[Steps]]-C11</f>
        <v>-4694</v>
      </c>
      <c r="E12" s="23" t="n">
        <v>282.2</v>
      </c>
      <c r="F12" s="23" t="n">
        <f aca="false">Table134[[#This Row],[Colories]]-E11</f>
        <v>-166.8</v>
      </c>
      <c r="G12" s="6" t="n">
        <v>5.06</v>
      </c>
      <c r="H12" s="24" t="n">
        <f aca="false">Table134[[#This Row],[Distance]]-G11</f>
        <v>-3.38</v>
      </c>
      <c r="I12" s="22" t="n">
        <v>71</v>
      </c>
      <c r="J12" s="25" t="n">
        <f aca="false">Table134[[#This Row],[Time]]-I11</f>
        <v>-30</v>
      </c>
      <c r="L12" s="1" t="s">
        <v>26</v>
      </c>
      <c r="M12" s="1" t="n">
        <v>244</v>
      </c>
      <c r="N12" s="1" t="n">
        <v>10.1</v>
      </c>
      <c r="O12" s="1" t="n">
        <v>0.18</v>
      </c>
      <c r="P12" s="1" t="n">
        <v>2</v>
      </c>
      <c r="R12" s="1" t="s">
        <v>22</v>
      </c>
      <c r="S12" s="1" t="n">
        <f aca="false">SKEW($C$1:$C$366)</f>
        <v>0.781465335117461</v>
      </c>
      <c r="T12" s="1" t="n">
        <f aca="false">SKEW($E$1:$E$366)</f>
        <v>0.94646687219446</v>
      </c>
      <c r="U12" s="1" t="n">
        <f aca="false">SKEW($G$1:$G$366)</f>
        <v>0.781696968775204</v>
      </c>
      <c r="V12" s="1" t="n">
        <f aca="false">SKEW($I$1:$I$366)</f>
        <v>1.13926273120563</v>
      </c>
    </row>
    <row r="13" customFormat="false" ht="13.8" hidden="false" customHeight="false" outlineLevel="0" collapsed="false">
      <c r="A13" s="20" t="n">
        <v>12</v>
      </c>
      <c r="B13" s="21" t="n">
        <v>43477</v>
      </c>
      <c r="C13" s="22" t="n">
        <v>3269</v>
      </c>
      <c r="D13" s="22" t="n">
        <f aca="false">Table134[[#This Row],[Steps]]-C12</f>
        <v>-3755</v>
      </c>
      <c r="E13" s="23" t="n">
        <v>129.6</v>
      </c>
      <c r="F13" s="23" t="n">
        <f aca="false">Table134[[#This Row],[Colories]]-E12</f>
        <v>-152.6</v>
      </c>
      <c r="G13" s="6" t="n">
        <v>2.35</v>
      </c>
      <c r="H13" s="24" t="n">
        <f aca="false">Table134[[#This Row],[Distance]]-G12</f>
        <v>-2.71</v>
      </c>
      <c r="I13" s="22" t="n">
        <v>32</v>
      </c>
      <c r="J13" s="25" t="n">
        <f aca="false">Table134[[#This Row],[Time]]-I12</f>
        <v>-39</v>
      </c>
      <c r="L13" s="1" t="s">
        <v>28</v>
      </c>
      <c r="M13" s="1" t="n">
        <v>16097</v>
      </c>
      <c r="N13" s="1" t="n">
        <v>619.6</v>
      </c>
      <c r="O13" s="1" t="n">
        <v>11.59</v>
      </c>
      <c r="P13" s="1" t="n">
        <v>142</v>
      </c>
      <c r="R13" s="1" t="s">
        <v>24</v>
      </c>
      <c r="S13" s="1" t="n">
        <f aca="false">MAX($C$1:$C$366)-MIN($C$1:$C$366)</f>
        <v>35974</v>
      </c>
      <c r="T13" s="1" t="n">
        <f aca="false">MAX($E$1:$E$366)-MIN($E$1:$E$366)</f>
        <v>1515.1</v>
      </c>
      <c r="U13" s="1" t="n">
        <f aca="false">MAX($G$1:$G$366)-MIN($G$1:$G$366)</f>
        <v>25.9</v>
      </c>
      <c r="V13" s="1" t="n">
        <f aca="false">MAX($I$1:$I$366)-MIN($I$1:$I$366)</f>
        <v>371</v>
      </c>
    </row>
    <row r="14" customFormat="false" ht="13.8" hidden="false" customHeight="false" outlineLevel="0" collapsed="false">
      <c r="A14" s="20" t="n">
        <v>13</v>
      </c>
      <c r="B14" s="21" t="n">
        <v>43478</v>
      </c>
      <c r="C14" s="22" t="n">
        <v>929</v>
      </c>
      <c r="D14" s="22" t="n">
        <f aca="false">Table134[[#This Row],[Steps]]-C13</f>
        <v>-2340</v>
      </c>
      <c r="E14" s="23" t="n">
        <v>37.6</v>
      </c>
      <c r="F14" s="23" t="n">
        <f aca="false">Table134[[#This Row],[Colories]]-E13</f>
        <v>-92</v>
      </c>
      <c r="G14" s="6" t="n">
        <v>0.67</v>
      </c>
      <c r="H14" s="24" t="n">
        <f aca="false">Table134[[#This Row],[Distance]]-G13</f>
        <v>-1.68</v>
      </c>
      <c r="I14" s="22" t="n">
        <v>9</v>
      </c>
      <c r="J14" s="25" t="n">
        <f aca="false">Table134[[#This Row],[Time]]-I13</f>
        <v>-23</v>
      </c>
      <c r="L14" s="1" t="s">
        <v>30</v>
      </c>
      <c r="M14" s="1" t="n">
        <v>234594</v>
      </c>
      <c r="N14" s="1" t="n">
        <v>9106.2</v>
      </c>
      <c r="O14" s="1" t="n">
        <v>168.91</v>
      </c>
      <c r="P14" s="1" t="n">
        <v>2131</v>
      </c>
      <c r="R14" s="1" t="s">
        <v>26</v>
      </c>
      <c r="S14" s="1" t="n">
        <f aca="false">MIN($C$1:$C$366)</f>
        <v>0</v>
      </c>
      <c r="T14" s="1" t="n">
        <f aca="false">MIN($E$1:$E$366)</f>
        <v>0</v>
      </c>
      <c r="U14" s="1" t="n">
        <f aca="false">MIN($G$1:$G$366)</f>
        <v>0</v>
      </c>
      <c r="V14" s="1" t="n">
        <f aca="false">MIN($I$1:$I$366)</f>
        <v>0</v>
      </c>
    </row>
    <row r="15" customFormat="false" ht="13.8" hidden="false" customHeight="false" outlineLevel="0" collapsed="false">
      <c r="A15" s="20" t="n">
        <v>14</v>
      </c>
      <c r="B15" s="21" t="n">
        <v>43479</v>
      </c>
      <c r="C15" s="22" t="n">
        <v>244</v>
      </c>
      <c r="D15" s="22" t="n">
        <f aca="false">Table134[[#This Row],[Steps]]-C14</f>
        <v>-685</v>
      </c>
      <c r="E15" s="23" t="n">
        <v>10.1</v>
      </c>
      <c r="F15" s="23" t="n">
        <f aca="false">Table134[[#This Row],[Colories]]-E14</f>
        <v>-27.5</v>
      </c>
      <c r="G15" s="6" t="n">
        <v>0.18</v>
      </c>
      <c r="H15" s="24" t="n">
        <f aca="false">Table134[[#This Row],[Distance]]-G14</f>
        <v>-0.49</v>
      </c>
      <c r="I15" s="22" t="n">
        <v>2</v>
      </c>
      <c r="J15" s="25" t="n">
        <f aca="false">Table134[[#This Row],[Time]]-I14</f>
        <v>-7</v>
      </c>
      <c r="L15" s="1" t="s">
        <v>32</v>
      </c>
      <c r="M15" s="1" t="n">
        <v>31</v>
      </c>
      <c r="N15" s="1" t="n">
        <v>31</v>
      </c>
      <c r="O15" s="1" t="n">
        <v>31</v>
      </c>
      <c r="P15" s="1" t="n">
        <v>31</v>
      </c>
      <c r="R15" s="1" t="s">
        <v>28</v>
      </c>
      <c r="S15" s="1" t="n">
        <f aca="false">MAX($C$1:$C$366)</f>
        <v>35974</v>
      </c>
      <c r="T15" s="1" t="n">
        <f aca="false">MAX($E$1:$E$366)</f>
        <v>1515.1</v>
      </c>
      <c r="U15" s="1" t="n">
        <f aca="false">MAX($G$1:$G$366)</f>
        <v>25.9</v>
      </c>
      <c r="V15" s="1" t="n">
        <f aca="false">MAX($I$1:$I$366)</f>
        <v>371</v>
      </c>
    </row>
    <row r="16" customFormat="false" ht="13.8" hidden="false" customHeight="false" outlineLevel="0" collapsed="false">
      <c r="A16" s="20" t="n">
        <v>15</v>
      </c>
      <c r="B16" s="21" t="n">
        <v>43480</v>
      </c>
      <c r="C16" s="22" t="n">
        <v>516</v>
      </c>
      <c r="D16" s="22" t="n">
        <f aca="false">Table134[[#This Row],[Steps]]-C15</f>
        <v>272</v>
      </c>
      <c r="E16" s="23" t="n">
        <v>21.9</v>
      </c>
      <c r="F16" s="23" t="n">
        <f aca="false">Table134[[#This Row],[Colories]]-E15</f>
        <v>11.8</v>
      </c>
      <c r="G16" s="6" t="n">
        <v>0.37</v>
      </c>
      <c r="H16" s="24" t="n">
        <f aca="false">Table134[[#This Row],[Distance]]-G15</f>
        <v>0.19</v>
      </c>
      <c r="I16" s="22" t="n">
        <v>6</v>
      </c>
      <c r="J16" s="25" t="n">
        <f aca="false">Table134[[#This Row],[Time]]-I15</f>
        <v>4</v>
      </c>
      <c r="L16" s="1" t="s">
        <v>34</v>
      </c>
      <c r="M16" s="1" t="n">
        <v>16097</v>
      </c>
      <c r="N16" s="1" t="n">
        <v>619.6</v>
      </c>
      <c r="O16" s="1" t="n">
        <v>11.59</v>
      </c>
      <c r="P16" s="1" t="n">
        <v>142</v>
      </c>
      <c r="R16" s="1" t="s">
        <v>30</v>
      </c>
      <c r="S16" s="1" t="n">
        <f aca="false">SUM($C$1:$C$366)</f>
        <v>4008337</v>
      </c>
      <c r="T16" s="1" t="n">
        <f aca="false">SUM($E$1:$E$366)</f>
        <v>162451.9</v>
      </c>
      <c r="U16" s="1" t="n">
        <f aca="false">SUM($G$1:$G$366)</f>
        <v>2886.33</v>
      </c>
      <c r="V16" s="1" t="n">
        <f aca="false">SUM($I$1:$I$366)</f>
        <v>38431</v>
      </c>
    </row>
    <row r="17" customFormat="false" ht="13.8" hidden="false" customHeight="false" outlineLevel="0" collapsed="false">
      <c r="A17" s="20" t="n">
        <v>16</v>
      </c>
      <c r="B17" s="21" t="n">
        <v>43481</v>
      </c>
      <c r="C17" s="22" t="n">
        <v>3596</v>
      </c>
      <c r="D17" s="22" t="n">
        <f aca="false">Table134[[#This Row],[Steps]]-C16</f>
        <v>3080</v>
      </c>
      <c r="E17" s="23" t="n">
        <v>149</v>
      </c>
      <c r="F17" s="23" t="n">
        <f aca="false">Table134[[#This Row],[Colories]]-E16</f>
        <v>127.1</v>
      </c>
      <c r="G17" s="6" t="n">
        <v>2.59</v>
      </c>
      <c r="H17" s="24" t="n">
        <f aca="false">Table134[[#This Row],[Distance]]-G16</f>
        <v>2.22</v>
      </c>
      <c r="I17" s="22" t="n">
        <v>39</v>
      </c>
      <c r="J17" s="25" t="n">
        <f aca="false">Table134[[#This Row],[Time]]-I16</f>
        <v>33</v>
      </c>
      <c r="L17" s="1" t="s">
        <v>36</v>
      </c>
      <c r="M17" s="1" t="n">
        <v>244</v>
      </c>
      <c r="N17" s="1" t="n">
        <v>10.1</v>
      </c>
      <c r="O17" s="1" t="n">
        <v>0.18</v>
      </c>
      <c r="P17" s="1" t="n">
        <v>2</v>
      </c>
      <c r="R17" s="1" t="s">
        <v>32</v>
      </c>
      <c r="S17" s="1" t="n">
        <f aca="false">COUNT($C$1:$C$366)</f>
        <v>362</v>
      </c>
      <c r="T17" s="1" t="n">
        <f aca="false">COUNT($E$1:$E$366)</f>
        <v>362</v>
      </c>
      <c r="U17" s="1" t="n">
        <f aca="false">COUNT($G$1:$G$366)</f>
        <v>362</v>
      </c>
      <c r="V17" s="1" t="n">
        <f aca="false">COUNT($I$1:$I$366)</f>
        <v>362</v>
      </c>
    </row>
    <row r="18" customFormat="false" ht="13.8" hidden="false" customHeight="false" outlineLevel="0" collapsed="false">
      <c r="A18" s="20" t="n">
        <v>17</v>
      </c>
      <c r="B18" s="21" t="n">
        <v>43482</v>
      </c>
      <c r="C18" s="22" t="n">
        <v>8261</v>
      </c>
      <c r="D18" s="22" t="n">
        <f aca="false">Table134[[#This Row],[Steps]]-C17</f>
        <v>4665</v>
      </c>
      <c r="E18" s="23" t="n">
        <v>326</v>
      </c>
      <c r="F18" s="23" t="n">
        <f aca="false">Table134[[#This Row],[Colories]]-E17</f>
        <v>177</v>
      </c>
      <c r="G18" s="6" t="n">
        <v>5.95</v>
      </c>
      <c r="H18" s="24" t="n">
        <f aca="false">Table134[[#This Row],[Distance]]-G17</f>
        <v>3.36</v>
      </c>
      <c r="I18" s="22" t="n">
        <v>80</v>
      </c>
      <c r="J18" s="25" t="n">
        <f aca="false">Table134[[#This Row],[Time]]-I17</f>
        <v>41</v>
      </c>
      <c r="L18" s="1" t="s">
        <v>158</v>
      </c>
      <c r="M18" s="1" t="n">
        <v>1563.08802930529</v>
      </c>
      <c r="N18" s="29" t="n">
        <v>59.7626327991088</v>
      </c>
      <c r="O18" s="29" t="n">
        <v>1.12537784432138</v>
      </c>
      <c r="P18" s="29" t="n">
        <v>13.6832640482587</v>
      </c>
    </row>
    <row r="19" customFormat="false" ht="13.8" hidden="false" customHeight="false" outlineLevel="0" collapsed="false">
      <c r="A19" s="20" t="n">
        <v>18</v>
      </c>
      <c r="B19" s="21" t="n">
        <v>43483</v>
      </c>
      <c r="C19" s="22" t="n">
        <v>1102</v>
      </c>
      <c r="D19" s="22" t="n">
        <f aca="false">Table134[[#This Row],[Steps]]-C18</f>
        <v>-7159</v>
      </c>
      <c r="E19" s="23" t="n">
        <v>46.2</v>
      </c>
      <c r="F19" s="23" t="n">
        <f aca="false">Table134[[#This Row],[Colories]]-E18</f>
        <v>-279.8</v>
      </c>
      <c r="G19" s="6" t="n">
        <v>0.79</v>
      </c>
      <c r="H19" s="24" t="n">
        <f aca="false">Table134[[#This Row],[Distance]]-G18</f>
        <v>-5.16</v>
      </c>
      <c r="I19" s="22" t="n">
        <v>12</v>
      </c>
      <c r="J19" s="25" t="n">
        <f aca="false">Table134[[#This Row],[Time]]-I18</f>
        <v>-68</v>
      </c>
    </row>
    <row r="20" customFormat="false" ht="13.8" hidden="false" customHeight="false" outlineLevel="0" collapsed="false">
      <c r="A20" s="20" t="n">
        <v>19</v>
      </c>
      <c r="B20" s="21" t="n">
        <v>43484</v>
      </c>
      <c r="C20" s="22" t="n">
        <v>1738</v>
      </c>
      <c r="D20" s="22" t="n">
        <f aca="false">Table134[[#This Row],[Steps]]-C19</f>
        <v>636</v>
      </c>
      <c r="E20" s="23" t="n">
        <v>67</v>
      </c>
      <c r="F20" s="23" t="n">
        <f aca="false">Table134[[#This Row],[Colories]]-E19</f>
        <v>20.8</v>
      </c>
      <c r="G20" s="6" t="n">
        <v>1.25</v>
      </c>
      <c r="H20" s="24" t="n">
        <f aca="false">Table134[[#This Row],[Distance]]-G19</f>
        <v>0.46</v>
      </c>
      <c r="I20" s="22" t="n">
        <v>15</v>
      </c>
      <c r="J20" s="25" t="n">
        <f aca="false">Table134[[#This Row],[Time]]-I19</f>
        <v>3</v>
      </c>
    </row>
    <row r="21" customFormat="false" ht="13.8" hidden="false" customHeight="false" outlineLevel="0" collapsed="false">
      <c r="A21" s="20" t="n">
        <v>20</v>
      </c>
      <c r="B21" s="21" t="n">
        <v>43485</v>
      </c>
      <c r="C21" s="22" t="n">
        <v>7425</v>
      </c>
      <c r="D21" s="22" t="n">
        <f aca="false">Table134[[#This Row],[Steps]]-C20</f>
        <v>5687</v>
      </c>
      <c r="E21" s="23" t="n">
        <v>295.3</v>
      </c>
      <c r="F21" s="23" t="n">
        <f aca="false">Table134[[#This Row],[Colories]]-E20</f>
        <v>228.3</v>
      </c>
      <c r="G21" s="6" t="n">
        <v>5.35</v>
      </c>
      <c r="H21" s="24" t="n">
        <f aca="false">Table134[[#This Row],[Distance]]-G20</f>
        <v>4.1</v>
      </c>
      <c r="I21" s="22" t="n">
        <v>74</v>
      </c>
      <c r="J21" s="25" t="n">
        <f aca="false">Table134[[#This Row],[Time]]-I20</f>
        <v>59</v>
      </c>
    </row>
    <row r="22" customFormat="false" ht="13.8" hidden="false" customHeight="false" outlineLevel="0" collapsed="false">
      <c r="A22" s="20" t="n">
        <v>21</v>
      </c>
      <c r="B22" s="21" t="n">
        <v>43486</v>
      </c>
      <c r="C22" s="22" t="n">
        <v>12745</v>
      </c>
      <c r="D22" s="22" t="n">
        <f aca="false">Table134[[#This Row],[Steps]]-C21</f>
        <v>5320</v>
      </c>
      <c r="E22" s="23" t="n">
        <v>489.8</v>
      </c>
      <c r="F22" s="23" t="n">
        <f aca="false">Table134[[#This Row],[Colories]]-E21</f>
        <v>194.5</v>
      </c>
      <c r="G22" s="6" t="n">
        <v>9.18</v>
      </c>
      <c r="H22" s="24" t="n">
        <f aca="false">Table134[[#This Row],[Distance]]-G21</f>
        <v>3.83</v>
      </c>
      <c r="I22" s="22" t="n">
        <v>113</v>
      </c>
      <c r="J22" s="25" t="n">
        <f aca="false">Table134[[#This Row],[Time]]-I21</f>
        <v>39</v>
      </c>
    </row>
    <row r="23" customFormat="false" ht="13.8" hidden="false" customHeight="false" outlineLevel="0" collapsed="false">
      <c r="A23" s="20" t="n">
        <v>22</v>
      </c>
      <c r="B23" s="21" t="n">
        <v>43487</v>
      </c>
      <c r="C23" s="22" t="n">
        <v>8178</v>
      </c>
      <c r="D23" s="22" t="n">
        <f aca="false">Table134[[#This Row],[Steps]]-C22</f>
        <v>-4567</v>
      </c>
      <c r="E23" s="23" t="n">
        <v>313.4</v>
      </c>
      <c r="F23" s="23" t="n">
        <f aca="false">Table134[[#This Row],[Colories]]-E22</f>
        <v>-176.4</v>
      </c>
      <c r="G23" s="6" t="n">
        <v>5.89</v>
      </c>
      <c r="H23" s="24" t="n">
        <f aca="false">Table134[[#This Row],[Distance]]-G22</f>
        <v>-3.29</v>
      </c>
      <c r="I23" s="22" t="n">
        <v>71</v>
      </c>
      <c r="J23" s="25" t="n">
        <f aca="false">Table134[[#This Row],[Time]]-I22</f>
        <v>-42</v>
      </c>
    </row>
    <row r="24" customFormat="false" ht="13.8" hidden="false" customHeight="false" outlineLevel="0" collapsed="false">
      <c r="A24" s="20" t="n">
        <v>23</v>
      </c>
      <c r="B24" s="21" t="n">
        <v>43488</v>
      </c>
      <c r="C24" s="22" t="n">
        <v>12136</v>
      </c>
      <c r="D24" s="22" t="n">
        <f aca="false">Table134[[#This Row],[Steps]]-C23</f>
        <v>3958</v>
      </c>
      <c r="E24" s="23" t="n">
        <v>466.2</v>
      </c>
      <c r="F24" s="23" t="n">
        <f aca="false">Table134[[#This Row],[Colories]]-E23</f>
        <v>152.8</v>
      </c>
      <c r="G24" s="6" t="n">
        <v>8.74</v>
      </c>
      <c r="H24" s="24" t="n">
        <f aca="false">Table134[[#This Row],[Distance]]-G23</f>
        <v>2.85</v>
      </c>
      <c r="I24" s="22" t="n">
        <v>107</v>
      </c>
      <c r="J24" s="25" t="n">
        <f aca="false">Table134[[#This Row],[Time]]-I23</f>
        <v>36</v>
      </c>
    </row>
    <row r="25" customFormat="false" ht="13.8" hidden="false" customHeight="false" outlineLevel="0" collapsed="false">
      <c r="A25" s="20" t="n">
        <v>24</v>
      </c>
      <c r="B25" s="21" t="n">
        <v>43489</v>
      </c>
      <c r="C25" s="22" t="n">
        <v>10130</v>
      </c>
      <c r="D25" s="22" t="n">
        <f aca="false">Table134[[#This Row],[Steps]]-C24</f>
        <v>-2006</v>
      </c>
      <c r="E25" s="23" t="n">
        <v>389.1</v>
      </c>
      <c r="F25" s="23" t="n">
        <f aca="false">Table134[[#This Row],[Colories]]-E24</f>
        <v>-77.1</v>
      </c>
      <c r="G25" s="6" t="n">
        <v>7.29</v>
      </c>
      <c r="H25" s="24" t="n">
        <f aca="false">Table134[[#This Row],[Distance]]-G24</f>
        <v>-1.45</v>
      </c>
      <c r="I25" s="22" t="n">
        <v>89</v>
      </c>
      <c r="J25" s="25" t="n">
        <f aca="false">Table134[[#This Row],[Time]]-I24</f>
        <v>-18</v>
      </c>
    </row>
    <row r="26" customFormat="false" ht="13.8" hidden="false" customHeight="false" outlineLevel="0" collapsed="false">
      <c r="A26" s="20" t="n">
        <v>25</v>
      </c>
      <c r="B26" s="21" t="n">
        <v>43490</v>
      </c>
      <c r="C26" s="22" t="n">
        <v>15187</v>
      </c>
      <c r="D26" s="22" t="n">
        <f aca="false">Table134[[#This Row],[Steps]]-C25</f>
        <v>5057</v>
      </c>
      <c r="E26" s="23" t="n">
        <v>585.4</v>
      </c>
      <c r="F26" s="23" t="n">
        <f aca="false">Table134[[#This Row],[Colories]]-E25</f>
        <v>196.3</v>
      </c>
      <c r="G26" s="6" t="n">
        <v>10.93</v>
      </c>
      <c r="H26" s="24" t="n">
        <f aca="false">Table134[[#This Row],[Distance]]-G25</f>
        <v>3.64</v>
      </c>
      <c r="I26" s="22" t="n">
        <v>136</v>
      </c>
      <c r="J26" s="25" t="n">
        <f aca="false">Table134[[#This Row],[Time]]-I25</f>
        <v>47</v>
      </c>
    </row>
    <row r="27" customFormat="false" ht="13.8" hidden="false" customHeight="false" outlineLevel="0" collapsed="false">
      <c r="A27" s="20" t="n">
        <v>26</v>
      </c>
      <c r="B27" s="21" t="n">
        <v>43491</v>
      </c>
      <c r="C27" s="22" t="n">
        <v>4555</v>
      </c>
      <c r="D27" s="22" t="n">
        <f aca="false">Table134[[#This Row],[Steps]]-C26</f>
        <v>-10632</v>
      </c>
      <c r="E27" s="23" t="n">
        <v>177.8</v>
      </c>
      <c r="F27" s="23" t="n">
        <f aca="false">Table134[[#This Row],[Colories]]-E26</f>
        <v>-407.6</v>
      </c>
      <c r="G27" s="6" t="n">
        <v>3.28</v>
      </c>
      <c r="H27" s="24" t="n">
        <f aca="false">Table134[[#This Row],[Distance]]-G26</f>
        <v>-7.65</v>
      </c>
      <c r="I27" s="22" t="n">
        <v>40</v>
      </c>
      <c r="J27" s="25" t="n">
        <f aca="false">Table134[[#This Row],[Time]]-I26</f>
        <v>-96</v>
      </c>
    </row>
    <row r="28" customFormat="false" ht="13.8" hidden="false" customHeight="false" outlineLevel="0" collapsed="false">
      <c r="A28" s="20" t="n">
        <v>27</v>
      </c>
      <c r="B28" s="21" t="n">
        <v>43492</v>
      </c>
      <c r="C28" s="22" t="n">
        <v>6393</v>
      </c>
      <c r="D28" s="22" t="n">
        <f aca="false">Table134[[#This Row],[Steps]]-C27</f>
        <v>1838</v>
      </c>
      <c r="E28" s="23" t="n">
        <v>253.1</v>
      </c>
      <c r="F28" s="23" t="n">
        <f aca="false">Table134[[#This Row],[Colories]]-E27</f>
        <v>75.3</v>
      </c>
      <c r="G28" s="6" t="n">
        <v>4.6</v>
      </c>
      <c r="H28" s="24" t="n">
        <f aca="false">Table134[[#This Row],[Distance]]-G27</f>
        <v>1.32</v>
      </c>
      <c r="I28" s="22" t="n">
        <v>62</v>
      </c>
      <c r="J28" s="25" t="n">
        <f aca="false">Table134[[#This Row],[Time]]-I27</f>
        <v>22</v>
      </c>
    </row>
    <row r="29" customFormat="false" ht="13.8" hidden="false" customHeight="false" outlineLevel="0" collapsed="false">
      <c r="A29" s="20" t="n">
        <v>28</v>
      </c>
      <c r="B29" s="21" t="n">
        <v>43493</v>
      </c>
      <c r="C29" s="22" t="n">
        <v>9591</v>
      </c>
      <c r="D29" s="22" t="n">
        <f aca="false">Table134[[#This Row],[Steps]]-C28</f>
        <v>3198</v>
      </c>
      <c r="E29" s="23" t="n">
        <v>372.1</v>
      </c>
      <c r="F29" s="23" t="n">
        <f aca="false">Table134[[#This Row],[Colories]]-E28</f>
        <v>119</v>
      </c>
      <c r="G29" s="6" t="n">
        <v>6.91</v>
      </c>
      <c r="H29" s="24" t="n">
        <f aca="false">Table134[[#This Row],[Distance]]-G28</f>
        <v>2.31</v>
      </c>
      <c r="I29" s="22" t="n">
        <v>88</v>
      </c>
      <c r="J29" s="25" t="n">
        <f aca="false">Table134[[#This Row],[Time]]-I28</f>
        <v>26</v>
      </c>
    </row>
    <row r="30" customFormat="false" ht="13.8" hidden="false" customHeight="false" outlineLevel="0" collapsed="false">
      <c r="A30" s="20" t="n">
        <v>29</v>
      </c>
      <c r="B30" s="21" t="n">
        <v>43494</v>
      </c>
      <c r="C30" s="22" t="n">
        <v>8414</v>
      </c>
      <c r="D30" s="22" t="n">
        <f aca="false">Table134[[#This Row],[Steps]]-C29</f>
        <v>-1177</v>
      </c>
      <c r="E30" s="23" t="n">
        <v>325.3</v>
      </c>
      <c r="F30" s="23" t="n">
        <f aca="false">Table134[[#This Row],[Colories]]-E29</f>
        <v>-46.8</v>
      </c>
      <c r="G30" s="6" t="n">
        <v>6.06</v>
      </c>
      <c r="H30" s="24" t="n">
        <f aca="false">Table134[[#This Row],[Distance]]-G29</f>
        <v>-0.850000000000001</v>
      </c>
      <c r="I30" s="22" t="n">
        <v>76</v>
      </c>
      <c r="J30" s="25" t="n">
        <f aca="false">Table134[[#This Row],[Time]]-I29</f>
        <v>-12</v>
      </c>
    </row>
    <row r="31" customFormat="false" ht="13.8" hidden="false" customHeight="false" outlineLevel="0" collapsed="false">
      <c r="A31" s="20" t="n">
        <v>30</v>
      </c>
      <c r="B31" s="21" t="n">
        <v>43495</v>
      </c>
      <c r="C31" s="22" t="n">
        <v>10532</v>
      </c>
      <c r="D31" s="22" t="n">
        <f aca="false">Table134[[#This Row],[Steps]]-C30</f>
        <v>2118</v>
      </c>
      <c r="E31" s="23" t="n">
        <v>405.4</v>
      </c>
      <c r="F31" s="23" t="n">
        <f aca="false">Table134[[#This Row],[Colories]]-E30</f>
        <v>80.1</v>
      </c>
      <c r="G31" s="6" t="n">
        <v>7.58</v>
      </c>
      <c r="H31" s="24" t="n">
        <f aca="false">Table134[[#This Row],[Distance]]-G30</f>
        <v>1.52</v>
      </c>
      <c r="I31" s="22" t="n">
        <v>94</v>
      </c>
      <c r="J31" s="25" t="n">
        <f aca="false">Table134[[#This Row],[Time]]-I30</f>
        <v>18</v>
      </c>
    </row>
    <row r="32" customFormat="false" ht="13.8" hidden="false" customHeight="false" outlineLevel="0" collapsed="false">
      <c r="A32" s="20" t="n">
        <v>31</v>
      </c>
      <c r="B32" s="21" t="n">
        <v>43496</v>
      </c>
      <c r="C32" s="22" t="n">
        <v>7653</v>
      </c>
      <c r="D32" s="22" t="n">
        <f aca="false">Table134[[#This Row],[Steps]]-C31</f>
        <v>-2879</v>
      </c>
      <c r="E32" s="23" t="n">
        <v>296.8</v>
      </c>
      <c r="F32" s="23" t="n">
        <f aca="false">Table134[[#This Row],[Colories]]-E31</f>
        <v>-108.6</v>
      </c>
      <c r="G32" s="6" t="n">
        <v>5.51</v>
      </c>
      <c r="H32" s="24" t="n">
        <f aca="false">Table134[[#This Row],[Distance]]-G31</f>
        <v>-2.07</v>
      </c>
      <c r="I32" s="22" t="n">
        <v>70</v>
      </c>
      <c r="J32" s="25" t="n">
        <f aca="false">Table134[[#This Row],[Time]]-I31</f>
        <v>-24</v>
      </c>
    </row>
    <row r="33" customFormat="false" ht="13.8" hidden="false" customHeight="false" outlineLevel="0" collapsed="false">
      <c r="A33" s="20" t="n">
        <v>13</v>
      </c>
      <c r="B33" s="21" t="n">
        <v>43497</v>
      </c>
      <c r="C33" s="22" t="n">
        <v>16006</v>
      </c>
      <c r="D33" s="22" t="n">
        <f aca="false">Table134[[#This Row],[Steps]]-C32</f>
        <v>8353</v>
      </c>
      <c r="E33" s="23" t="n">
        <v>626.1</v>
      </c>
      <c r="F33" s="23" t="n">
        <f aca="false">Table134[[#This Row],[Colories]]-E32</f>
        <v>329.3</v>
      </c>
      <c r="G33" s="6" t="n">
        <v>11.52</v>
      </c>
      <c r="H33" s="24" t="n">
        <f aca="false">Table134[[#This Row],[Distance]]-G32</f>
        <v>6.01</v>
      </c>
      <c r="I33" s="22" t="n">
        <v>152</v>
      </c>
      <c r="J33" s="25" t="n">
        <f aca="false">Table134[[#This Row],[Time]]-I32</f>
        <v>82</v>
      </c>
      <c r="L33" s="27"/>
      <c r="M33" s="27"/>
      <c r="N33" s="27"/>
      <c r="O33" s="27"/>
      <c r="P33" s="27"/>
    </row>
    <row r="34" customFormat="false" ht="13.8" hidden="false" customHeight="false" outlineLevel="0" collapsed="false">
      <c r="A34" s="20" t="n">
        <v>14</v>
      </c>
      <c r="B34" s="21" t="n">
        <v>43498</v>
      </c>
      <c r="C34" s="22" t="n">
        <v>12965</v>
      </c>
      <c r="D34" s="22" t="n">
        <f aca="false">Table134[[#This Row],[Steps]]-C33</f>
        <v>-3041</v>
      </c>
      <c r="E34" s="23" t="n">
        <v>506.5</v>
      </c>
      <c r="F34" s="23" t="n">
        <f aca="false">Table134[[#This Row],[Colories]]-E33</f>
        <v>-119.6</v>
      </c>
      <c r="G34" s="6" t="n">
        <v>9.33</v>
      </c>
      <c r="H34" s="24" t="n">
        <f aca="false">Table134[[#This Row],[Distance]]-G33</f>
        <v>-2.19</v>
      </c>
      <c r="I34" s="22" t="n">
        <v>119</v>
      </c>
      <c r="J34" s="25" t="n">
        <f aca="false">Table134[[#This Row],[Time]]-I33</f>
        <v>-33</v>
      </c>
      <c r="M34" s="1" t="s">
        <v>2</v>
      </c>
      <c r="N34" s="1" t="s">
        <v>179</v>
      </c>
      <c r="O34" s="1" t="s">
        <v>175</v>
      </c>
      <c r="P34" s="1" t="s">
        <v>177</v>
      </c>
    </row>
    <row r="35" customFormat="false" ht="13.8" hidden="false" customHeight="false" outlineLevel="0" collapsed="false">
      <c r="A35" s="20" t="n">
        <v>15</v>
      </c>
      <c r="B35" s="21" t="n">
        <v>43499</v>
      </c>
      <c r="C35" s="22" t="n">
        <v>12507</v>
      </c>
      <c r="D35" s="22" t="n">
        <f aca="false">Table134[[#This Row],[Steps]]-C34</f>
        <v>-458</v>
      </c>
      <c r="E35" s="23" t="n">
        <v>485.3</v>
      </c>
      <c r="F35" s="23" t="n">
        <f aca="false">Table134[[#This Row],[Colories]]-E34</f>
        <v>-21.2</v>
      </c>
      <c r="G35" s="6" t="n">
        <v>9.01</v>
      </c>
      <c r="H35" s="24" t="n">
        <f aca="false">Table134[[#This Row],[Distance]]-G34</f>
        <v>-0.32</v>
      </c>
      <c r="I35" s="22" t="n">
        <v>115</v>
      </c>
      <c r="J35" s="25" t="n">
        <f aca="false">Table134[[#This Row],[Time]]-I34</f>
        <v>-4</v>
      </c>
      <c r="L35" s="1" t="s">
        <v>8</v>
      </c>
      <c r="M35" s="1" t="n">
        <v>10667.6071428571</v>
      </c>
      <c r="N35" s="1" t="n">
        <v>414.078571428571</v>
      </c>
      <c r="O35" s="1" t="n">
        <v>7.68178571428571</v>
      </c>
      <c r="P35" s="1" t="n">
        <v>97.6428571428571</v>
      </c>
    </row>
    <row r="36" customFormat="false" ht="13.8" hidden="false" customHeight="false" outlineLevel="0" collapsed="false">
      <c r="A36" s="20" t="n">
        <v>16</v>
      </c>
      <c r="B36" s="21" t="n">
        <v>43500</v>
      </c>
      <c r="C36" s="22" t="n">
        <v>10570</v>
      </c>
      <c r="D36" s="22" t="n">
        <f aca="false">Table134[[#This Row],[Steps]]-C35</f>
        <v>-1937</v>
      </c>
      <c r="E36" s="23" t="n">
        <v>415.5</v>
      </c>
      <c r="F36" s="23" t="n">
        <f aca="false">Table134[[#This Row],[Colories]]-E35</f>
        <v>-69.8</v>
      </c>
      <c r="G36" s="6" t="n">
        <v>7.61</v>
      </c>
      <c r="H36" s="24" t="n">
        <f aca="false">Table134[[#This Row],[Distance]]-G35</f>
        <v>-1.4</v>
      </c>
      <c r="I36" s="22" t="n">
        <v>100</v>
      </c>
      <c r="J36" s="25" t="n">
        <f aca="false">Table134[[#This Row],[Time]]-I35</f>
        <v>-15</v>
      </c>
      <c r="L36" s="1" t="s">
        <v>10</v>
      </c>
      <c r="M36" s="1" t="n">
        <v>748.663914571977</v>
      </c>
      <c r="N36" s="1" t="n">
        <v>29.0477513983454</v>
      </c>
      <c r="O36" s="1" t="n">
        <v>0.539108134152976</v>
      </c>
      <c r="P36" s="1" t="n">
        <v>6.92595270426228</v>
      </c>
    </row>
    <row r="37" customFormat="false" ht="13.8" hidden="false" customHeight="false" outlineLevel="0" collapsed="false">
      <c r="A37" s="20" t="n">
        <v>17</v>
      </c>
      <c r="B37" s="21" t="n">
        <v>43501</v>
      </c>
      <c r="C37" s="22" t="n">
        <v>11372</v>
      </c>
      <c r="D37" s="22" t="n">
        <f aca="false">Table134[[#This Row],[Steps]]-C36</f>
        <v>802</v>
      </c>
      <c r="E37" s="23" t="n">
        <v>439.9</v>
      </c>
      <c r="F37" s="23" t="n">
        <f aca="false">Table134[[#This Row],[Colories]]-E36</f>
        <v>24.4</v>
      </c>
      <c r="G37" s="6" t="n">
        <v>8.19</v>
      </c>
      <c r="H37" s="24" t="n">
        <f aca="false">Table134[[#This Row],[Distance]]-G36</f>
        <v>0.579999999999999</v>
      </c>
      <c r="I37" s="22" t="n">
        <v>103</v>
      </c>
      <c r="J37" s="25" t="n">
        <f aca="false">Table134[[#This Row],[Time]]-I36</f>
        <v>3</v>
      </c>
      <c r="L37" s="1" t="s">
        <v>12</v>
      </c>
      <c r="M37" s="1" t="n">
        <v>10971</v>
      </c>
      <c r="N37" s="1" t="n">
        <v>427.7</v>
      </c>
      <c r="O37" s="1" t="n">
        <v>7.9</v>
      </c>
      <c r="P37" s="1" t="n">
        <v>101.5</v>
      </c>
    </row>
    <row r="38" customFormat="false" ht="13.8" hidden="false" customHeight="false" outlineLevel="0" collapsed="false">
      <c r="A38" s="20" t="n">
        <v>18</v>
      </c>
      <c r="B38" s="21" t="n">
        <v>43502</v>
      </c>
      <c r="C38" s="22" t="n">
        <v>11896</v>
      </c>
      <c r="D38" s="22" t="n">
        <f aca="false">Table134[[#This Row],[Steps]]-C37</f>
        <v>524</v>
      </c>
      <c r="E38" s="23" t="n">
        <v>461.8</v>
      </c>
      <c r="F38" s="23" t="n">
        <f aca="false">Table134[[#This Row],[Colories]]-E37</f>
        <v>21.9</v>
      </c>
      <c r="G38" s="6" t="n">
        <v>8.57</v>
      </c>
      <c r="H38" s="24" t="n">
        <f aca="false">Table134[[#This Row],[Distance]]-G37</f>
        <v>0.380000000000001</v>
      </c>
      <c r="I38" s="22" t="n">
        <v>109</v>
      </c>
      <c r="J38" s="25" t="n">
        <f aca="false">Table134[[#This Row],[Time]]-I37</f>
        <v>6</v>
      </c>
      <c r="L38" s="1" t="s">
        <v>14</v>
      </c>
      <c r="M38" s="1" t="e">
        <f aca="false">#N/A</f>
        <v>#N/A</v>
      </c>
      <c r="N38" s="1" t="e">
        <f aca="false">#N/A</f>
        <v>#N/A</v>
      </c>
      <c r="O38" s="1" t="e">
        <f aca="false">#N/A</f>
        <v>#N/A</v>
      </c>
      <c r="P38" s="1" t="n">
        <v>109</v>
      </c>
    </row>
    <row r="39" customFormat="false" ht="13.8" hidden="false" customHeight="false" outlineLevel="0" collapsed="false">
      <c r="A39" s="20" t="n">
        <v>19</v>
      </c>
      <c r="B39" s="21" t="n">
        <v>43503</v>
      </c>
      <c r="C39" s="22" t="n">
        <v>7966</v>
      </c>
      <c r="D39" s="22" t="n">
        <f aca="false">Table134[[#This Row],[Steps]]-C38</f>
        <v>-3930</v>
      </c>
      <c r="E39" s="23" t="n">
        <v>308.2</v>
      </c>
      <c r="F39" s="23" t="n">
        <f aca="false">Table134[[#This Row],[Colories]]-E38</f>
        <v>-153.6</v>
      </c>
      <c r="G39" s="6" t="n">
        <v>5.74</v>
      </c>
      <c r="H39" s="24" t="n">
        <f aca="false">Table134[[#This Row],[Distance]]-G38</f>
        <v>-2.83</v>
      </c>
      <c r="I39" s="22" t="n">
        <v>72</v>
      </c>
      <c r="J39" s="25" t="n">
        <f aca="false">Table134[[#This Row],[Time]]-I38</f>
        <v>-37</v>
      </c>
      <c r="L39" s="1" t="s">
        <v>16</v>
      </c>
      <c r="M39" s="1" t="n">
        <v>3961.55706705112</v>
      </c>
      <c r="N39" s="1" t="n">
        <v>153.706252691301</v>
      </c>
      <c r="O39" s="1" t="n">
        <v>2.85269210548164</v>
      </c>
      <c r="P39" s="1" t="n">
        <v>36.6486968953466</v>
      </c>
    </row>
    <row r="40" customFormat="false" ht="13.8" hidden="false" customHeight="false" outlineLevel="0" collapsed="false">
      <c r="A40" s="20" t="n">
        <v>20</v>
      </c>
      <c r="B40" s="21" t="n">
        <v>43504</v>
      </c>
      <c r="C40" s="22" t="n">
        <v>6626</v>
      </c>
      <c r="D40" s="22" t="n">
        <f aca="false">Table134[[#This Row],[Steps]]-C39</f>
        <v>-1340</v>
      </c>
      <c r="E40" s="23" t="n">
        <v>256.3</v>
      </c>
      <c r="F40" s="23" t="n">
        <f aca="false">Table134[[#This Row],[Colories]]-E39</f>
        <v>-51.9</v>
      </c>
      <c r="G40" s="6" t="n">
        <v>4.77</v>
      </c>
      <c r="H40" s="24" t="n">
        <f aca="false">Table134[[#This Row],[Distance]]-G39</f>
        <v>-0.970000000000001</v>
      </c>
      <c r="I40" s="22" t="n">
        <v>60</v>
      </c>
      <c r="J40" s="25" t="n">
        <f aca="false">Table134[[#This Row],[Time]]-I39</f>
        <v>-12</v>
      </c>
      <c r="L40" s="1" t="s">
        <v>18</v>
      </c>
      <c r="M40" s="1" t="n">
        <v>15693934.3955026</v>
      </c>
      <c r="N40" s="1" t="n">
        <v>23625.6121164022</v>
      </c>
      <c r="O40" s="1" t="n">
        <v>8.13785224867728</v>
      </c>
      <c r="P40" s="1" t="n">
        <v>1343.12698412698</v>
      </c>
    </row>
    <row r="41" customFormat="false" ht="13.8" hidden="false" customHeight="false" outlineLevel="0" collapsed="false">
      <c r="A41" s="20" t="n">
        <v>21</v>
      </c>
      <c r="B41" s="21" t="n">
        <v>43505</v>
      </c>
      <c r="C41" s="22" t="n">
        <v>14037</v>
      </c>
      <c r="D41" s="22" t="n">
        <f aca="false">Table134[[#This Row],[Steps]]-C40</f>
        <v>7411</v>
      </c>
      <c r="E41" s="23" t="n">
        <v>551.8</v>
      </c>
      <c r="F41" s="23" t="n">
        <f aca="false">Table134[[#This Row],[Colories]]-E40</f>
        <v>295.5</v>
      </c>
      <c r="G41" s="6" t="n">
        <v>10.11</v>
      </c>
      <c r="H41" s="24" t="n">
        <f aca="false">Table134[[#This Row],[Distance]]-G40</f>
        <v>5.34</v>
      </c>
      <c r="I41" s="22" t="n">
        <v>136</v>
      </c>
      <c r="J41" s="25" t="n">
        <f aca="false">Table134[[#This Row],[Time]]-I40</f>
        <v>76</v>
      </c>
      <c r="L41" s="1" t="s">
        <v>20</v>
      </c>
      <c r="M41" s="1" t="n">
        <v>0.0619985429793024</v>
      </c>
      <c r="N41" s="1" t="n">
        <v>0.0124206517802228</v>
      </c>
      <c r="O41" s="1" t="n">
        <v>0.060462576941144</v>
      </c>
      <c r="P41" s="1" t="n">
        <v>-0.0982774984952641</v>
      </c>
    </row>
    <row r="42" customFormat="false" ht="13.8" hidden="false" customHeight="false" outlineLevel="0" collapsed="false">
      <c r="A42" s="20" t="n">
        <v>22</v>
      </c>
      <c r="B42" s="21" t="n">
        <v>43506</v>
      </c>
      <c r="C42" s="22" t="n">
        <v>3912</v>
      </c>
      <c r="D42" s="22" t="n">
        <f aca="false">Table134[[#This Row],[Steps]]-C41</f>
        <v>-10125</v>
      </c>
      <c r="E42" s="23" t="n">
        <v>158.2</v>
      </c>
      <c r="F42" s="23" t="n">
        <f aca="false">Table134[[#This Row],[Colories]]-E41</f>
        <v>-393.6</v>
      </c>
      <c r="G42" s="6" t="n">
        <v>2.82</v>
      </c>
      <c r="H42" s="24" t="n">
        <f aca="false">Table134[[#This Row],[Distance]]-G41</f>
        <v>-7.29</v>
      </c>
      <c r="I42" s="22" t="n">
        <v>41</v>
      </c>
      <c r="J42" s="25" t="n">
        <f aca="false">Table134[[#This Row],[Time]]-I41</f>
        <v>-95</v>
      </c>
      <c r="L42" s="1" t="s">
        <v>22</v>
      </c>
      <c r="M42" s="1" t="n">
        <v>-0.530059995160428</v>
      </c>
      <c r="N42" s="1" t="n">
        <v>-0.511109973279858</v>
      </c>
      <c r="O42" s="1" t="n">
        <v>-0.529476825553121</v>
      </c>
      <c r="P42" s="1" t="n">
        <v>-0.442582060837046</v>
      </c>
    </row>
    <row r="43" customFormat="false" ht="13.8" hidden="false" customHeight="false" outlineLevel="0" collapsed="false">
      <c r="A43" s="20" t="n">
        <v>23</v>
      </c>
      <c r="B43" s="21" t="n">
        <v>43507</v>
      </c>
      <c r="C43" s="22" t="n">
        <v>15969</v>
      </c>
      <c r="D43" s="22" t="n">
        <f aca="false">Table134[[#This Row],[Steps]]-C42</f>
        <v>12057</v>
      </c>
      <c r="E43" s="23" t="n">
        <v>618.6</v>
      </c>
      <c r="F43" s="23" t="n">
        <f aca="false">Table134[[#This Row],[Colories]]-E42</f>
        <v>460.4</v>
      </c>
      <c r="G43" s="6" t="n">
        <v>11.5</v>
      </c>
      <c r="H43" s="24" t="n">
        <f aca="false">Table134[[#This Row],[Distance]]-G42</f>
        <v>8.68</v>
      </c>
      <c r="I43" s="22" t="n">
        <v>145</v>
      </c>
      <c r="J43" s="25" t="n">
        <f aca="false">Table134[[#This Row],[Time]]-I42</f>
        <v>104</v>
      </c>
      <c r="L43" s="1" t="s">
        <v>24</v>
      </c>
      <c r="M43" s="1" t="n">
        <v>15790</v>
      </c>
      <c r="N43" s="1" t="n">
        <v>609</v>
      </c>
      <c r="O43" s="1" t="n">
        <v>11.37</v>
      </c>
      <c r="P43" s="1" t="n">
        <v>147</v>
      </c>
    </row>
    <row r="44" customFormat="false" ht="13.8" hidden="false" customHeight="false" outlineLevel="0" collapsed="false">
      <c r="A44" s="20" t="n">
        <v>24</v>
      </c>
      <c r="B44" s="21" t="n">
        <v>43508</v>
      </c>
      <c r="C44" s="22" t="n">
        <v>13332</v>
      </c>
      <c r="D44" s="22" t="n">
        <f aca="false">Table134[[#This Row],[Steps]]-C43</f>
        <v>-2637</v>
      </c>
      <c r="E44" s="23" t="n">
        <v>513.2</v>
      </c>
      <c r="F44" s="23" t="n">
        <f aca="false">Table134[[#This Row],[Colories]]-E43</f>
        <v>-105.4</v>
      </c>
      <c r="G44" s="6" t="n">
        <v>9.6</v>
      </c>
      <c r="H44" s="24" t="n">
        <f aca="false">Table134[[#This Row],[Distance]]-G43</f>
        <v>-1.9</v>
      </c>
      <c r="I44" s="22" t="n">
        <v>118</v>
      </c>
      <c r="J44" s="25" t="n">
        <f aca="false">Table134[[#This Row],[Time]]-I43</f>
        <v>-27</v>
      </c>
      <c r="L44" s="1" t="s">
        <v>26</v>
      </c>
      <c r="M44" s="1" t="n">
        <v>540</v>
      </c>
      <c r="N44" s="1" t="n">
        <v>22.2</v>
      </c>
      <c r="O44" s="1" t="n">
        <v>0.39</v>
      </c>
      <c r="P44" s="1" t="n">
        <v>5</v>
      </c>
    </row>
    <row r="45" customFormat="false" ht="13.8" hidden="false" customHeight="false" outlineLevel="0" collapsed="false">
      <c r="A45" s="20" t="n">
        <v>25</v>
      </c>
      <c r="B45" s="21" t="n">
        <v>43509</v>
      </c>
      <c r="C45" s="22" t="n">
        <v>6443</v>
      </c>
      <c r="D45" s="22" t="n">
        <f aca="false">Table134[[#This Row],[Steps]]-C44</f>
        <v>-6889</v>
      </c>
      <c r="E45" s="23" t="n">
        <v>251.3</v>
      </c>
      <c r="F45" s="23" t="n">
        <f aca="false">Table134[[#This Row],[Colories]]-E44</f>
        <v>-261.9</v>
      </c>
      <c r="G45" s="6" t="n">
        <v>4.64</v>
      </c>
      <c r="H45" s="24" t="n">
        <f aca="false">Table134[[#This Row],[Distance]]-G44</f>
        <v>-4.96</v>
      </c>
      <c r="I45" s="22" t="n">
        <v>59</v>
      </c>
      <c r="J45" s="25" t="n">
        <f aca="false">Table134[[#This Row],[Time]]-I44</f>
        <v>-59</v>
      </c>
      <c r="L45" s="1" t="s">
        <v>28</v>
      </c>
      <c r="M45" s="1" t="n">
        <v>16330</v>
      </c>
      <c r="N45" s="1" t="n">
        <v>631.2</v>
      </c>
      <c r="O45" s="1" t="n">
        <v>11.76</v>
      </c>
      <c r="P45" s="1" t="n">
        <v>152</v>
      </c>
    </row>
    <row r="46" customFormat="false" ht="13.8" hidden="false" customHeight="false" outlineLevel="0" collapsed="false">
      <c r="A46" s="20" t="n">
        <v>26</v>
      </c>
      <c r="B46" s="21" t="n">
        <v>43510</v>
      </c>
      <c r="C46" s="22" t="n">
        <v>12146</v>
      </c>
      <c r="D46" s="22" t="n">
        <f aca="false">Table134[[#This Row],[Steps]]-C45</f>
        <v>5703</v>
      </c>
      <c r="E46" s="23" t="n">
        <v>469.2</v>
      </c>
      <c r="F46" s="23" t="n">
        <f aca="false">Table134[[#This Row],[Colories]]-E45</f>
        <v>217.9</v>
      </c>
      <c r="G46" s="6" t="n">
        <v>8.75</v>
      </c>
      <c r="H46" s="24" t="n">
        <f aca="false">Table134[[#This Row],[Distance]]-G45</f>
        <v>4.11</v>
      </c>
      <c r="I46" s="22" t="n">
        <v>109</v>
      </c>
      <c r="J46" s="25" t="n">
        <f aca="false">Table134[[#This Row],[Time]]-I45</f>
        <v>50</v>
      </c>
      <c r="L46" s="1" t="s">
        <v>30</v>
      </c>
      <c r="M46" s="1" t="n">
        <v>298693</v>
      </c>
      <c r="N46" s="1" t="n">
        <v>11594.2</v>
      </c>
      <c r="O46" s="1" t="n">
        <v>215.09</v>
      </c>
      <c r="P46" s="1" t="n">
        <v>2734</v>
      </c>
    </row>
    <row r="47" customFormat="false" ht="13.8" hidden="false" customHeight="false" outlineLevel="0" collapsed="false">
      <c r="A47" s="20" t="n">
        <v>27</v>
      </c>
      <c r="B47" s="21" t="n">
        <v>43511</v>
      </c>
      <c r="C47" s="22" t="n">
        <v>16299</v>
      </c>
      <c r="D47" s="22" t="n">
        <f aca="false">Table134[[#This Row],[Steps]]-C46</f>
        <v>4153</v>
      </c>
      <c r="E47" s="23" t="n">
        <v>629.4</v>
      </c>
      <c r="F47" s="23" t="n">
        <f aca="false">Table134[[#This Row],[Colories]]-E46</f>
        <v>160.2</v>
      </c>
      <c r="G47" s="6" t="n">
        <v>11.74</v>
      </c>
      <c r="H47" s="24" t="n">
        <f aca="false">Table134[[#This Row],[Distance]]-G46</f>
        <v>2.99</v>
      </c>
      <c r="I47" s="22" t="n">
        <v>147</v>
      </c>
      <c r="J47" s="25" t="n">
        <f aca="false">Table134[[#This Row],[Time]]-I46</f>
        <v>38</v>
      </c>
      <c r="L47" s="1" t="s">
        <v>32</v>
      </c>
      <c r="M47" s="1" t="n">
        <v>28</v>
      </c>
      <c r="N47" s="1" t="n">
        <v>28</v>
      </c>
      <c r="O47" s="1" t="n">
        <v>28</v>
      </c>
      <c r="P47" s="1" t="n">
        <v>28</v>
      </c>
    </row>
    <row r="48" customFormat="false" ht="13.8" hidden="false" customHeight="false" outlineLevel="0" collapsed="false">
      <c r="A48" s="20" t="n">
        <v>28</v>
      </c>
      <c r="B48" s="21" t="n">
        <v>43512</v>
      </c>
      <c r="C48" s="22" t="n">
        <v>9470</v>
      </c>
      <c r="D48" s="22" t="n">
        <f aca="false">Table134[[#This Row],[Steps]]-C47</f>
        <v>-6829</v>
      </c>
      <c r="E48" s="23" t="n">
        <v>370.3</v>
      </c>
      <c r="F48" s="23" t="n">
        <f aca="false">Table134[[#This Row],[Colories]]-E47</f>
        <v>-259.1</v>
      </c>
      <c r="G48" s="6" t="n">
        <v>6.82</v>
      </c>
      <c r="H48" s="24" t="n">
        <f aca="false">Table134[[#This Row],[Distance]]-G47</f>
        <v>-4.92</v>
      </c>
      <c r="I48" s="22" t="n">
        <v>89</v>
      </c>
      <c r="J48" s="25" t="n">
        <f aca="false">Table134[[#This Row],[Time]]-I47</f>
        <v>-58</v>
      </c>
      <c r="L48" s="1" t="s">
        <v>34</v>
      </c>
      <c r="M48" s="1" t="n">
        <v>16330</v>
      </c>
      <c r="N48" s="1" t="n">
        <v>631.2</v>
      </c>
      <c r="O48" s="1" t="n">
        <v>11.76</v>
      </c>
      <c r="P48" s="1" t="n">
        <v>152</v>
      </c>
    </row>
    <row r="49" customFormat="false" ht="13.8" hidden="false" customHeight="false" outlineLevel="0" collapsed="false">
      <c r="A49" s="20" t="n">
        <v>29</v>
      </c>
      <c r="B49" s="21" t="n">
        <v>43513</v>
      </c>
      <c r="C49" s="22" t="n">
        <v>10376</v>
      </c>
      <c r="D49" s="22" t="n">
        <f aca="false">Table134[[#This Row],[Steps]]-C48</f>
        <v>906</v>
      </c>
      <c r="E49" s="23" t="n">
        <v>400.3</v>
      </c>
      <c r="F49" s="23" t="n">
        <f aca="false">Table134[[#This Row],[Colories]]-E48</f>
        <v>30</v>
      </c>
      <c r="G49" s="6" t="n">
        <v>7.47</v>
      </c>
      <c r="H49" s="24" t="n">
        <f aca="false">Table134[[#This Row],[Distance]]-G48</f>
        <v>0.65</v>
      </c>
      <c r="I49" s="22" t="n">
        <v>93</v>
      </c>
      <c r="J49" s="25" t="n">
        <f aca="false">Table134[[#This Row],[Time]]-I48</f>
        <v>4</v>
      </c>
      <c r="L49" s="1" t="s">
        <v>36</v>
      </c>
      <c r="M49" s="1" t="n">
        <v>540</v>
      </c>
      <c r="N49" s="1" t="n">
        <v>22.2</v>
      </c>
      <c r="O49" s="1" t="n">
        <v>0.39</v>
      </c>
      <c r="P49" s="1" t="n">
        <v>5</v>
      </c>
    </row>
    <row r="50" customFormat="false" ht="13.8" hidden="false" customHeight="false" outlineLevel="0" collapsed="false">
      <c r="A50" s="20" t="n">
        <v>30</v>
      </c>
      <c r="B50" s="21" t="n">
        <v>43514</v>
      </c>
      <c r="C50" s="22" t="n">
        <v>14329</v>
      </c>
      <c r="D50" s="22" t="n">
        <f aca="false">Table134[[#This Row],[Steps]]-C49</f>
        <v>3953</v>
      </c>
      <c r="E50" s="23" t="n">
        <v>557.9</v>
      </c>
      <c r="F50" s="23" t="n">
        <f aca="false">Table134[[#This Row],[Colories]]-E49</f>
        <v>157.6</v>
      </c>
      <c r="G50" s="6" t="n">
        <v>10.32</v>
      </c>
      <c r="H50" s="24" t="n">
        <f aca="false">Table134[[#This Row],[Distance]]-G49</f>
        <v>2.85</v>
      </c>
      <c r="I50" s="22" t="n">
        <v>133</v>
      </c>
      <c r="J50" s="25" t="n">
        <f aca="false">Table134[[#This Row],[Time]]-I49</f>
        <v>40</v>
      </c>
      <c r="L50" s="29" t="s">
        <v>158</v>
      </c>
      <c r="M50" s="29" t="n">
        <v>1536.13146650637</v>
      </c>
      <c r="N50" s="29" t="n">
        <v>59.601062754258</v>
      </c>
      <c r="O50" s="29" t="n">
        <v>1.10615852133782</v>
      </c>
      <c r="P50" s="29" t="n">
        <v>14.2108811143045</v>
      </c>
    </row>
    <row r="51" customFormat="false" ht="13.8" hidden="false" customHeight="false" outlineLevel="0" collapsed="false">
      <c r="A51" s="20" t="n">
        <v>31</v>
      </c>
      <c r="B51" s="21" t="n">
        <v>43515</v>
      </c>
      <c r="C51" s="22" t="n">
        <v>7808</v>
      </c>
      <c r="D51" s="22" t="n">
        <f aca="false">Table134[[#This Row],[Steps]]-C50</f>
        <v>-6521</v>
      </c>
      <c r="E51" s="23" t="n">
        <v>300</v>
      </c>
      <c r="F51" s="23" t="n">
        <f aca="false">Table134[[#This Row],[Colories]]-E50</f>
        <v>-257.9</v>
      </c>
      <c r="G51" s="6" t="n">
        <v>5.62</v>
      </c>
      <c r="H51" s="24" t="n">
        <f aca="false">Table134[[#This Row],[Distance]]-G50</f>
        <v>-4.7</v>
      </c>
      <c r="I51" s="22" t="n">
        <v>69</v>
      </c>
      <c r="J51" s="25" t="n">
        <f aca="false">Table134[[#This Row],[Time]]-I50</f>
        <v>-64</v>
      </c>
    </row>
    <row r="52" customFormat="false" ht="13.8" hidden="false" customHeight="false" outlineLevel="0" collapsed="false">
      <c r="A52" s="20" t="n">
        <v>1</v>
      </c>
      <c r="B52" s="21" t="n">
        <v>43516</v>
      </c>
      <c r="C52" s="22" t="n">
        <v>9024</v>
      </c>
      <c r="D52" s="22" t="n">
        <f aca="false">Table134[[#This Row],[Steps]]-C51</f>
        <v>1216</v>
      </c>
      <c r="E52" s="23" t="n">
        <v>346.8</v>
      </c>
      <c r="F52" s="23" t="n">
        <f aca="false">Table134[[#This Row],[Colories]]-E51</f>
        <v>46.8</v>
      </c>
      <c r="G52" s="6" t="n">
        <v>6.5</v>
      </c>
      <c r="H52" s="24" t="n">
        <f aca="false">Table134[[#This Row],[Distance]]-G51</f>
        <v>0.88</v>
      </c>
      <c r="I52" s="22" t="n">
        <v>80</v>
      </c>
      <c r="J52" s="25" t="n">
        <f aca="false">Table134[[#This Row],[Time]]-I51</f>
        <v>11</v>
      </c>
    </row>
    <row r="53" customFormat="false" ht="13.8" hidden="false" customHeight="false" outlineLevel="0" collapsed="false">
      <c r="A53" s="20" t="n">
        <v>2</v>
      </c>
      <c r="B53" s="21" t="n">
        <v>43517</v>
      </c>
      <c r="C53" s="22" t="n">
        <v>10447</v>
      </c>
      <c r="D53" s="22" t="n">
        <f aca="false">Table134[[#This Row],[Steps]]-C52</f>
        <v>1423</v>
      </c>
      <c r="E53" s="23" t="n">
        <v>401.9</v>
      </c>
      <c r="F53" s="23" t="n">
        <f aca="false">Table134[[#This Row],[Colories]]-E52</f>
        <v>55.1</v>
      </c>
      <c r="G53" s="6" t="n">
        <v>7.52</v>
      </c>
      <c r="H53" s="24" t="n">
        <f aca="false">Table134[[#This Row],[Distance]]-G52</f>
        <v>1.02</v>
      </c>
      <c r="I53" s="22" t="n">
        <v>92</v>
      </c>
      <c r="J53" s="25" t="n">
        <f aca="false">Table134[[#This Row],[Time]]-I52</f>
        <v>12</v>
      </c>
    </row>
    <row r="54" customFormat="false" ht="13.8" hidden="false" customHeight="false" outlineLevel="0" collapsed="false">
      <c r="A54" s="20" t="n">
        <v>3</v>
      </c>
      <c r="B54" s="21" t="n">
        <v>43518</v>
      </c>
      <c r="C54" s="22" t="n">
        <v>6072</v>
      </c>
      <c r="D54" s="22" t="n">
        <f aca="false">Table134[[#This Row],[Steps]]-C53</f>
        <v>-4375</v>
      </c>
      <c r="E54" s="23" t="n">
        <v>235.8</v>
      </c>
      <c r="F54" s="23" t="n">
        <f aca="false">Table134[[#This Row],[Colories]]-E53</f>
        <v>-166.1</v>
      </c>
      <c r="G54" s="6" t="n">
        <v>4.37</v>
      </c>
      <c r="H54" s="24" t="n">
        <f aca="false">Table134[[#This Row],[Distance]]-G53</f>
        <v>-3.15</v>
      </c>
      <c r="I54" s="22" t="n">
        <v>56</v>
      </c>
      <c r="J54" s="25" t="n">
        <f aca="false">Table134[[#This Row],[Time]]-I53</f>
        <v>-36</v>
      </c>
    </row>
    <row r="55" customFormat="false" ht="13.8" hidden="false" customHeight="false" outlineLevel="0" collapsed="false">
      <c r="A55" s="20" t="n">
        <v>4</v>
      </c>
      <c r="B55" s="21" t="n">
        <v>43519</v>
      </c>
      <c r="C55" s="22" t="n">
        <v>540</v>
      </c>
      <c r="D55" s="22" t="n">
        <f aca="false">Table134[[#This Row],[Steps]]-C54</f>
        <v>-5532</v>
      </c>
      <c r="E55" s="23" t="n">
        <v>22.2</v>
      </c>
      <c r="F55" s="23" t="n">
        <f aca="false">Table134[[#This Row],[Colories]]-E54</f>
        <v>-213.6</v>
      </c>
      <c r="G55" s="6" t="n">
        <v>0.39</v>
      </c>
      <c r="H55" s="24" t="n">
        <f aca="false">Table134[[#This Row],[Distance]]-G54</f>
        <v>-3.98</v>
      </c>
      <c r="I55" s="22" t="n">
        <v>5</v>
      </c>
      <c r="J55" s="25" t="n">
        <f aca="false">Table134[[#This Row],[Time]]-I54</f>
        <v>-51</v>
      </c>
    </row>
    <row r="56" customFormat="false" ht="13.8" hidden="false" customHeight="false" outlineLevel="0" collapsed="false">
      <c r="A56" s="20" t="n">
        <v>5</v>
      </c>
      <c r="B56" s="21" t="n">
        <v>43520</v>
      </c>
      <c r="C56" s="22" t="n">
        <v>8213</v>
      </c>
      <c r="D56" s="22" t="n">
        <f aca="false">Table134[[#This Row],[Steps]]-C55</f>
        <v>7673</v>
      </c>
      <c r="E56" s="23" t="n">
        <v>317.3</v>
      </c>
      <c r="F56" s="23" t="n">
        <f aca="false">Table134[[#This Row],[Colories]]-E55</f>
        <v>295.1</v>
      </c>
      <c r="G56" s="6" t="n">
        <v>5.91</v>
      </c>
      <c r="H56" s="24" t="n">
        <f aca="false">Table134[[#This Row],[Distance]]-G55</f>
        <v>5.52</v>
      </c>
      <c r="I56" s="22" t="n">
        <v>73</v>
      </c>
      <c r="J56" s="25" t="n">
        <f aca="false">Table134[[#This Row],[Time]]-I55</f>
        <v>68</v>
      </c>
    </row>
    <row r="57" customFormat="false" ht="13.8" hidden="false" customHeight="false" outlineLevel="0" collapsed="false">
      <c r="A57" s="20" t="n">
        <v>6</v>
      </c>
      <c r="B57" s="21" t="n">
        <v>43521</v>
      </c>
      <c r="C57" s="22" t="n">
        <v>11978</v>
      </c>
      <c r="D57" s="22" t="n">
        <f aca="false">Table134[[#This Row],[Steps]]-C56</f>
        <v>3765</v>
      </c>
      <c r="E57" s="23" t="n">
        <v>462.5</v>
      </c>
      <c r="F57" s="23" t="n">
        <f aca="false">Table134[[#This Row],[Colories]]-E56</f>
        <v>145.2</v>
      </c>
      <c r="G57" s="6" t="n">
        <v>8.62</v>
      </c>
      <c r="H57" s="24" t="n">
        <f aca="false">Table134[[#This Row],[Distance]]-G56</f>
        <v>2.71</v>
      </c>
      <c r="I57" s="22" t="n">
        <v>108</v>
      </c>
      <c r="J57" s="25" t="n">
        <f aca="false">Table134[[#This Row],[Time]]-I56</f>
        <v>35</v>
      </c>
    </row>
    <row r="58" customFormat="false" ht="13.8" hidden="false" customHeight="false" outlineLevel="0" collapsed="false">
      <c r="A58" s="20" t="n">
        <v>7</v>
      </c>
      <c r="B58" s="21" t="n">
        <v>43522</v>
      </c>
      <c r="C58" s="22" t="n">
        <v>7330</v>
      </c>
      <c r="D58" s="22" t="n">
        <f aca="false">Table134[[#This Row],[Steps]]-C57</f>
        <v>-4648</v>
      </c>
      <c r="E58" s="23" t="n">
        <v>281.4</v>
      </c>
      <c r="F58" s="23" t="n">
        <f aca="false">Table134[[#This Row],[Colories]]-E57</f>
        <v>-181.1</v>
      </c>
      <c r="G58" s="6" t="n">
        <v>5.28</v>
      </c>
      <c r="H58" s="24" t="n">
        <f aca="false">Table134[[#This Row],[Distance]]-G57</f>
        <v>-3.34</v>
      </c>
      <c r="I58" s="22" t="n">
        <v>64</v>
      </c>
      <c r="J58" s="25" t="n">
        <f aca="false">Table134[[#This Row],[Time]]-I57</f>
        <v>-44</v>
      </c>
    </row>
    <row r="59" customFormat="false" ht="13.8" hidden="false" customHeight="false" outlineLevel="0" collapsed="false">
      <c r="A59" s="20" t="n">
        <v>8</v>
      </c>
      <c r="B59" s="21" t="n">
        <v>43523</v>
      </c>
      <c r="C59" s="22" t="n">
        <v>16330</v>
      </c>
      <c r="D59" s="22" t="n">
        <f aca="false">Table134[[#This Row],[Steps]]-C58</f>
        <v>9000</v>
      </c>
      <c r="E59" s="23" t="n">
        <v>631.2</v>
      </c>
      <c r="F59" s="23" t="n">
        <f aca="false">Table134[[#This Row],[Colories]]-E58</f>
        <v>349.8</v>
      </c>
      <c r="G59" s="6" t="n">
        <v>11.76</v>
      </c>
      <c r="H59" s="24" t="n">
        <f aca="false">Table134[[#This Row],[Distance]]-G58</f>
        <v>6.48</v>
      </c>
      <c r="I59" s="22" t="n">
        <v>148</v>
      </c>
      <c r="J59" s="25" t="n">
        <f aca="false">Table134[[#This Row],[Time]]-I58</f>
        <v>84</v>
      </c>
    </row>
    <row r="60" customFormat="false" ht="13.8" hidden="false" customHeight="false" outlineLevel="0" collapsed="false">
      <c r="A60" s="20" t="n">
        <v>9</v>
      </c>
      <c r="B60" s="21" t="n">
        <v>43524</v>
      </c>
      <c r="C60" s="22" t="n">
        <v>14730</v>
      </c>
      <c r="D60" s="22" t="n">
        <f aca="false">Table134[[#This Row],[Steps]]-C59</f>
        <v>-1600</v>
      </c>
      <c r="E60" s="23" t="n">
        <v>575.3</v>
      </c>
      <c r="F60" s="23" t="n">
        <f aca="false">Table134[[#This Row],[Colories]]-E59</f>
        <v>-55.9000000000001</v>
      </c>
      <c r="G60" s="6" t="n">
        <v>10.61</v>
      </c>
      <c r="H60" s="24" t="n">
        <f aca="false">Table134[[#This Row],[Distance]]-G59</f>
        <v>-1.15</v>
      </c>
      <c r="I60" s="22" t="n">
        <v>139</v>
      </c>
      <c r="J60" s="25" t="n">
        <f aca="false">Table134[[#This Row],[Time]]-I59</f>
        <v>-9</v>
      </c>
      <c r="M60" s="1" t="s">
        <v>2</v>
      </c>
      <c r="N60" s="1" t="s">
        <v>179</v>
      </c>
      <c r="O60" s="1" t="s">
        <v>175</v>
      </c>
      <c r="P60" s="1" t="s">
        <v>177</v>
      </c>
    </row>
    <row r="61" customFormat="false" ht="13.8" hidden="false" customHeight="false" outlineLevel="0" collapsed="false">
      <c r="A61" s="20" t="n">
        <v>10</v>
      </c>
      <c r="B61" s="21" t="n">
        <v>43525</v>
      </c>
      <c r="C61" s="22" t="n">
        <v>11589</v>
      </c>
      <c r="D61" s="22" t="n">
        <f aca="false">Table134[[#This Row],[Steps]]-C60</f>
        <v>-3141</v>
      </c>
      <c r="E61" s="23" t="n">
        <v>453.1</v>
      </c>
      <c r="F61" s="23" t="n">
        <f aca="false">Table134[[#This Row],[Colories]]-E60</f>
        <v>-122.2</v>
      </c>
      <c r="G61" s="6" t="n">
        <v>8.34</v>
      </c>
      <c r="H61" s="24" t="n">
        <f aca="false">Table134[[#This Row],[Distance]]-G60</f>
        <v>-2.27</v>
      </c>
      <c r="I61" s="22" t="n">
        <v>109</v>
      </c>
      <c r="J61" s="25" t="n">
        <f aca="false">Table134[[#This Row],[Time]]-I60</f>
        <v>-30</v>
      </c>
      <c r="L61" s="1" t="s">
        <v>8</v>
      </c>
      <c r="M61" s="1" t="n">
        <f aca="false">AVERAGE($C$61:$C$91)</f>
        <v>11326.6451612903</v>
      </c>
      <c r="N61" s="1" t="n">
        <f aca="false">AVERAGE($E$61:$E$91)</f>
        <v>441.093548387097</v>
      </c>
      <c r="O61" s="1" t="n">
        <f aca="false">AVERAGE($G$61:$G$91)</f>
        <v>8.16161290322581</v>
      </c>
      <c r="P61" s="1" t="n">
        <f aca="false">AVERAGE($I$61:$I$91)</f>
        <v>104.741935483871</v>
      </c>
    </row>
    <row r="62" customFormat="false" ht="13.8" hidden="false" customHeight="false" outlineLevel="0" collapsed="false">
      <c r="A62" s="20" t="n">
        <v>11</v>
      </c>
      <c r="B62" s="21" t="n">
        <v>43526</v>
      </c>
      <c r="C62" s="22" t="n">
        <v>12702</v>
      </c>
      <c r="D62" s="22" t="n">
        <f aca="false">Table134[[#This Row],[Steps]]-C61</f>
        <v>1113</v>
      </c>
      <c r="E62" s="23" t="n">
        <v>506.3</v>
      </c>
      <c r="F62" s="23" t="n">
        <f aca="false">Table134[[#This Row],[Colories]]-E61</f>
        <v>53.2</v>
      </c>
      <c r="G62" s="6" t="n">
        <v>9.15</v>
      </c>
      <c r="H62" s="24" t="n">
        <f aca="false">Table134[[#This Row],[Distance]]-G61</f>
        <v>0.810000000000001</v>
      </c>
      <c r="I62" s="22" t="n">
        <v>127</v>
      </c>
      <c r="J62" s="25" t="n">
        <f aca="false">Table134[[#This Row],[Time]]-I61</f>
        <v>18</v>
      </c>
      <c r="L62" s="1" t="s">
        <v>10</v>
      </c>
      <c r="M62" s="1" t="n">
        <f aca="false">SQRT(VAR($C$61:$C$91)/COUNT($C$61:$C$91))</f>
        <v>1031.85830438055</v>
      </c>
      <c r="N62" s="1" t="n">
        <f aca="false">SQRT(VAR($E$61:$E$91)/COUNT($E$61:$E$91))</f>
        <v>40.0902798225077</v>
      </c>
      <c r="O62" s="1" t="n">
        <f aca="false">SQRT(VAR($G$61:$G$91)/COUNT($G$61:$G$91))</f>
        <v>0.742334315430331</v>
      </c>
      <c r="P62" s="1" t="n">
        <f aca="false">SQRT(VAR($I$61:$I$91)/COUNT($I$61:$I$91))</f>
        <v>9.52246554116406</v>
      </c>
    </row>
    <row r="63" customFormat="false" ht="13.8" hidden="false" customHeight="false" outlineLevel="0" collapsed="false">
      <c r="A63" s="20" t="n">
        <v>12</v>
      </c>
      <c r="B63" s="21" t="n">
        <v>43527</v>
      </c>
      <c r="C63" s="22" t="n">
        <v>9689</v>
      </c>
      <c r="D63" s="22" t="n">
        <f aca="false">Table134[[#This Row],[Steps]]-C62</f>
        <v>-3013</v>
      </c>
      <c r="E63" s="23" t="n">
        <v>381.3</v>
      </c>
      <c r="F63" s="23" t="n">
        <f aca="false">Table134[[#This Row],[Colories]]-E62</f>
        <v>-125</v>
      </c>
      <c r="G63" s="6" t="n">
        <v>6.98</v>
      </c>
      <c r="H63" s="24" t="n">
        <f aca="false">Table134[[#This Row],[Distance]]-G62</f>
        <v>-2.17</v>
      </c>
      <c r="I63" s="22" t="n">
        <v>93</v>
      </c>
      <c r="J63" s="25" t="n">
        <f aca="false">Table134[[#This Row],[Time]]-I62</f>
        <v>-34</v>
      </c>
      <c r="L63" s="1" t="s">
        <v>14</v>
      </c>
      <c r="M63" s="1" t="n">
        <f aca="false">MODE($C$61:$C$91)</f>
        <v>0</v>
      </c>
      <c r="N63" s="1" t="n">
        <f aca="false">MODE($E$61:$E$91)</f>
        <v>0</v>
      </c>
      <c r="O63" s="1" t="n">
        <f aca="false">MODE($G$61:$G$91)</f>
        <v>0</v>
      </c>
      <c r="P63" s="1" t="n">
        <f aca="false">MODE($I$61:$I$91)</f>
        <v>0</v>
      </c>
    </row>
    <row r="64" customFormat="false" ht="13.8" hidden="false" customHeight="false" outlineLevel="0" collapsed="false">
      <c r="A64" s="20" t="n">
        <v>13</v>
      </c>
      <c r="B64" s="21" t="n">
        <v>43528</v>
      </c>
      <c r="C64" s="22" t="n">
        <v>10003</v>
      </c>
      <c r="D64" s="22" t="n">
        <f aca="false">Table134[[#This Row],[Steps]]-C63</f>
        <v>314</v>
      </c>
      <c r="E64" s="23" t="n">
        <v>389.8</v>
      </c>
      <c r="F64" s="23" t="n">
        <f aca="false">Table134[[#This Row],[Colories]]-E63</f>
        <v>8.5</v>
      </c>
      <c r="G64" s="6" t="n">
        <v>7.2</v>
      </c>
      <c r="H64" s="24" t="n">
        <f aca="false">Table134[[#This Row],[Distance]]-G63</f>
        <v>0.22</v>
      </c>
      <c r="I64" s="22" t="n">
        <v>93</v>
      </c>
      <c r="J64" s="25" t="n">
        <f aca="false">Table134[[#This Row],[Time]]-I63</f>
        <v>0</v>
      </c>
      <c r="L64" s="1" t="s">
        <v>12</v>
      </c>
      <c r="M64" s="1" t="n">
        <f aca="false">MEDIAN($C$61:$C$91)</f>
        <v>11589</v>
      </c>
      <c r="N64" s="1" t="n">
        <f aca="false">MEDIAN($E$61:$E$91)</f>
        <v>453.1</v>
      </c>
      <c r="O64" s="1" t="n">
        <f aca="false">MEDIAN($G$61:$G$91)</f>
        <v>8.34</v>
      </c>
      <c r="P64" s="1" t="n">
        <f aca="false">MEDIAN($I$61:$I$91)</f>
        <v>109</v>
      </c>
    </row>
    <row r="65" customFormat="false" ht="13.8" hidden="false" customHeight="false" outlineLevel="0" collapsed="false">
      <c r="A65" s="20" t="n">
        <v>14</v>
      </c>
      <c r="B65" s="21" t="n">
        <v>43529</v>
      </c>
      <c r="C65" s="22" t="n">
        <v>19322</v>
      </c>
      <c r="D65" s="22" t="n">
        <f aca="false">Table134[[#This Row],[Steps]]-C64</f>
        <v>9319</v>
      </c>
      <c r="E65" s="23" t="n">
        <v>751</v>
      </c>
      <c r="F65" s="23" t="n">
        <f aca="false">Table134[[#This Row],[Colories]]-E64</f>
        <v>361.2</v>
      </c>
      <c r="G65" s="6" t="n">
        <v>13.91</v>
      </c>
      <c r="H65" s="24" t="n">
        <f aca="false">Table134[[#This Row],[Distance]]-G64</f>
        <v>6.71</v>
      </c>
      <c r="I65" s="22" t="n">
        <v>178</v>
      </c>
      <c r="J65" s="25" t="n">
        <f aca="false">Table134[[#This Row],[Time]]-I64</f>
        <v>85</v>
      </c>
      <c r="L65" s="1" t="s">
        <v>180</v>
      </c>
      <c r="M65" s="1" t="n">
        <f aca="false">QUARTILE($C$61:$C$91, 1)</f>
        <v>7346</v>
      </c>
      <c r="N65" s="1" t="n">
        <f aca="false">QUARTILE($E$61:$E$91, 1)</f>
        <v>288.8</v>
      </c>
      <c r="O65" s="1" t="n">
        <f aca="false">QUARTILE($G$61:$G$91, 1)</f>
        <v>5.29</v>
      </c>
      <c r="P65" s="1" t="n">
        <f aca="false">QUARTILE($I$61:$I$91, 1)</f>
        <v>71.5</v>
      </c>
    </row>
    <row r="66" customFormat="false" ht="13.8" hidden="false" customHeight="false" outlineLevel="0" collapsed="false">
      <c r="A66" s="20" t="n">
        <v>15</v>
      </c>
      <c r="B66" s="21" t="n">
        <v>43530</v>
      </c>
      <c r="C66" s="22" t="n">
        <v>16101</v>
      </c>
      <c r="D66" s="22" t="n">
        <f aca="false">Table134[[#This Row],[Steps]]-C65</f>
        <v>-3221</v>
      </c>
      <c r="E66" s="23" t="n">
        <v>617.4</v>
      </c>
      <c r="F66" s="23" t="n">
        <f aca="false">Table134[[#This Row],[Colories]]-E65</f>
        <v>-133.6</v>
      </c>
      <c r="G66" s="6" t="n">
        <v>11.59</v>
      </c>
      <c r="H66" s="24" t="n">
        <f aca="false">Table134[[#This Row],[Distance]]-G65</f>
        <v>-2.32</v>
      </c>
      <c r="I66" s="22" t="n">
        <v>139</v>
      </c>
      <c r="J66" s="25" t="n">
        <f aca="false">Table134[[#This Row],[Time]]-I65</f>
        <v>-39</v>
      </c>
      <c r="L66" s="1" t="s">
        <v>181</v>
      </c>
      <c r="M66" s="1" t="n">
        <f aca="false">QUARTILE($C$61:$C$91, 3)</f>
        <v>15176</v>
      </c>
      <c r="N66" s="1" t="n">
        <f aca="false">QUARTILE($E$61:$E$91, 3)</f>
        <v>588.05</v>
      </c>
      <c r="O66" s="1" t="n">
        <f aca="false">QUARTILE($G$61:$G$91, 3)</f>
        <v>10.925</v>
      </c>
      <c r="P66" s="1" t="n">
        <f aca="false">QUARTILE($I$61:$I$91, 3)</f>
        <v>137.5</v>
      </c>
    </row>
    <row r="67" customFormat="false" ht="13.8" hidden="false" customHeight="false" outlineLevel="0" collapsed="false">
      <c r="A67" s="20" t="n">
        <v>16</v>
      </c>
      <c r="B67" s="21" t="n">
        <v>43531</v>
      </c>
      <c r="C67" s="22" t="n">
        <v>15197</v>
      </c>
      <c r="D67" s="22" t="n">
        <f aca="false">Table134[[#This Row],[Steps]]-C66</f>
        <v>-904</v>
      </c>
      <c r="E67" s="23" t="n">
        <v>580.9</v>
      </c>
      <c r="F67" s="23" t="n">
        <f aca="false">Table134[[#This Row],[Colories]]-E66</f>
        <v>-36.5</v>
      </c>
      <c r="G67" s="6" t="n">
        <v>10.94</v>
      </c>
      <c r="H67" s="24" t="n">
        <f aca="false">Table134[[#This Row],[Distance]]-G66</f>
        <v>-0.65</v>
      </c>
      <c r="I67" s="22" t="n">
        <v>129</v>
      </c>
      <c r="J67" s="25" t="n">
        <f aca="false">Table134[[#This Row],[Time]]-I66</f>
        <v>-10</v>
      </c>
      <c r="L67" s="1" t="s">
        <v>182</v>
      </c>
      <c r="M67" s="1" t="n">
        <f aca="false">VAR($C$61:$C$91)</f>
        <v>33006678.3698925</v>
      </c>
      <c r="N67" s="1" t="n">
        <f aca="false">VAR($E$61:$E$91)</f>
        <v>49824.1466236559</v>
      </c>
      <c r="O67" s="1" t="n">
        <f aca="false">VAR($G$61:$G$91)</f>
        <v>17.082867311828</v>
      </c>
      <c r="P67" s="1" t="n">
        <f aca="false">VAR($I$61:$I$91)</f>
        <v>2810.99784946237</v>
      </c>
    </row>
    <row r="68" customFormat="false" ht="13.8" hidden="false" customHeight="false" outlineLevel="0" collapsed="false">
      <c r="A68" s="20" t="n">
        <v>17</v>
      </c>
      <c r="B68" s="21" t="n">
        <v>43532</v>
      </c>
      <c r="C68" s="22" t="n">
        <v>7019</v>
      </c>
      <c r="D68" s="22" t="n">
        <f aca="false">Table134[[#This Row],[Steps]]-C67</f>
        <v>-8178</v>
      </c>
      <c r="E68" s="23" t="n">
        <v>275.4</v>
      </c>
      <c r="F68" s="23" t="n">
        <f aca="false">Table134[[#This Row],[Colories]]-E67</f>
        <v>-305.5</v>
      </c>
      <c r="G68" s="6" t="n">
        <v>5.05</v>
      </c>
      <c r="H68" s="24" t="n">
        <f aca="false">Table134[[#This Row],[Distance]]-G67</f>
        <v>-5.89</v>
      </c>
      <c r="I68" s="22" t="n">
        <v>67</v>
      </c>
      <c r="J68" s="25" t="n">
        <f aca="false">Table134[[#This Row],[Time]]-I67</f>
        <v>-62</v>
      </c>
      <c r="L68" s="1" t="s">
        <v>16</v>
      </c>
      <c r="M68" s="1" t="n">
        <f aca="false">STDEV($C$61:$C$91)</f>
        <v>5745.14389462026</v>
      </c>
      <c r="N68" s="1" t="n">
        <f aca="false">STDEV($E$61:$E$91)</f>
        <v>223.213231291642</v>
      </c>
      <c r="O68" s="1" t="n">
        <f aca="false">STDEV($G$61:$G$91)</f>
        <v>4.13314254675882</v>
      </c>
      <c r="P68" s="1" t="n">
        <f aca="false">STDEV($I$61:$I$91)</f>
        <v>53.0188442863702</v>
      </c>
    </row>
    <row r="69" customFormat="false" ht="13.8" hidden="false" customHeight="false" outlineLevel="0" collapsed="false">
      <c r="A69" s="20" t="n">
        <v>18</v>
      </c>
      <c r="B69" s="21" t="n">
        <v>43533</v>
      </c>
      <c r="C69" s="22" t="n">
        <v>7526</v>
      </c>
      <c r="D69" s="22" t="n">
        <f aca="false">Table134[[#This Row],[Steps]]-C68</f>
        <v>507</v>
      </c>
      <c r="E69" s="23" t="n">
        <v>299.9</v>
      </c>
      <c r="F69" s="23" t="n">
        <f aca="false">Table134[[#This Row],[Colories]]-E68</f>
        <v>24.5</v>
      </c>
      <c r="G69" s="6" t="n">
        <v>5.42</v>
      </c>
      <c r="H69" s="24" t="n">
        <f aca="false">Table134[[#This Row],[Distance]]-G68</f>
        <v>0.37</v>
      </c>
      <c r="I69" s="22" t="n">
        <v>76</v>
      </c>
      <c r="J69" s="25" t="n">
        <f aca="false">Table134[[#This Row],[Time]]-I68</f>
        <v>9</v>
      </c>
      <c r="L69" s="1" t="s">
        <v>20</v>
      </c>
      <c r="M69" s="1" t="n">
        <f aca="false">KURT($C$61:$C$91)</f>
        <v>-0.253729642272648</v>
      </c>
      <c r="N69" s="1" t="n">
        <f aca="false">KURT($E$61:$E$91)</f>
        <v>-0.20600742406616</v>
      </c>
      <c r="O69" s="1" t="n">
        <f aca="false">KURT($G$61:$G$91)</f>
        <v>-0.263362431191985</v>
      </c>
      <c r="P69" s="1" t="n">
        <f aca="false">KURT($I$61:$I$91)</f>
        <v>-0.0261802348253797</v>
      </c>
    </row>
    <row r="70" customFormat="false" ht="13.8" hidden="false" customHeight="false" outlineLevel="0" collapsed="false">
      <c r="A70" s="20" t="n">
        <v>19</v>
      </c>
      <c r="B70" s="21" t="n">
        <v>43534</v>
      </c>
      <c r="C70" s="22" t="n">
        <v>3753</v>
      </c>
      <c r="D70" s="22" t="n">
        <f aca="false">Table134[[#This Row],[Steps]]-C69</f>
        <v>-3773</v>
      </c>
      <c r="E70" s="23" t="n">
        <v>146.2</v>
      </c>
      <c r="F70" s="23" t="n">
        <f aca="false">Table134[[#This Row],[Colories]]-E69</f>
        <v>-153.7</v>
      </c>
      <c r="G70" s="6" t="n">
        <v>2.7</v>
      </c>
      <c r="H70" s="24" t="n">
        <f aca="false">Table134[[#This Row],[Distance]]-G69</f>
        <v>-2.72</v>
      </c>
      <c r="I70" s="22" t="n">
        <v>35</v>
      </c>
      <c r="J70" s="25" t="n">
        <f aca="false">Table134[[#This Row],[Time]]-I69</f>
        <v>-41</v>
      </c>
      <c r="L70" s="1" t="s">
        <v>22</v>
      </c>
      <c r="M70" s="1" t="n">
        <f aca="false">SKEW($C$61:$C$91)</f>
        <v>-0.227487736383804</v>
      </c>
      <c r="N70" s="1" t="n">
        <f aca="false">SKEW($E$61:$E$91)</f>
        <v>-0.220872825722618</v>
      </c>
      <c r="O70" s="1" t="n">
        <f aca="false">SKEW($G$61:$G$91)</f>
        <v>-0.224918624894647</v>
      </c>
      <c r="P70" s="1" t="n">
        <f aca="false">SKEW($I$61:$I$91)</f>
        <v>-0.165382918889792</v>
      </c>
    </row>
    <row r="71" customFormat="false" ht="13.8" hidden="false" customHeight="false" outlineLevel="0" collapsed="false">
      <c r="A71" s="20" t="n">
        <v>20</v>
      </c>
      <c r="B71" s="21" t="n">
        <v>43535</v>
      </c>
      <c r="C71" s="22" t="n">
        <v>10977</v>
      </c>
      <c r="D71" s="22" t="n">
        <f aca="false">Table134[[#This Row],[Steps]]-C70</f>
        <v>7224</v>
      </c>
      <c r="E71" s="23" t="n">
        <v>423.4</v>
      </c>
      <c r="F71" s="23" t="n">
        <f aca="false">Table134[[#This Row],[Colories]]-E70</f>
        <v>277.2</v>
      </c>
      <c r="G71" s="6" t="n">
        <v>7.9</v>
      </c>
      <c r="H71" s="24" t="n">
        <f aca="false">Table134[[#This Row],[Distance]]-G70</f>
        <v>5.2</v>
      </c>
      <c r="I71" s="22" t="n">
        <v>98</v>
      </c>
      <c r="J71" s="25" t="n">
        <f aca="false">Table134[[#This Row],[Time]]-I70</f>
        <v>63</v>
      </c>
      <c r="L71" s="1" t="s">
        <v>24</v>
      </c>
      <c r="M71" s="1" t="n">
        <f aca="false">MAX($C$61:$C$91)-MIN($C$61:$C$91)</f>
        <v>22060</v>
      </c>
      <c r="N71" s="1" t="n">
        <f aca="false">MAX($E$61:$E$91)-MIN($E$61:$E$91)</f>
        <v>857.3</v>
      </c>
      <c r="O71" s="1" t="n">
        <f aca="false">MAX($G$61:$G$91)-MIN($G$61:$G$91)</f>
        <v>15.88</v>
      </c>
      <c r="P71" s="1" t="n">
        <f aca="false">MAX($I$61:$I$91)-MIN($I$61:$I$91)</f>
        <v>211</v>
      </c>
    </row>
    <row r="72" customFormat="false" ht="13.8" hidden="false" customHeight="false" outlineLevel="0" collapsed="false">
      <c r="A72" s="20" t="n">
        <v>21</v>
      </c>
      <c r="B72" s="21" t="n">
        <v>43536</v>
      </c>
      <c r="C72" s="22" t="n">
        <v>13373</v>
      </c>
      <c r="D72" s="22" t="n">
        <f aca="false">Table134[[#This Row],[Steps]]-C71</f>
        <v>2396</v>
      </c>
      <c r="E72" s="23" t="n">
        <v>512.1</v>
      </c>
      <c r="F72" s="23" t="n">
        <f aca="false">Table134[[#This Row],[Colories]]-E71</f>
        <v>88.7000000000001</v>
      </c>
      <c r="G72" s="6" t="n">
        <v>9.63</v>
      </c>
      <c r="H72" s="24" t="n">
        <f aca="false">Table134[[#This Row],[Distance]]-G71</f>
        <v>1.73</v>
      </c>
      <c r="I72" s="6" t="n">
        <v>115</v>
      </c>
      <c r="J72" s="25" t="n">
        <f aca="false">Table134[[#This Row],[Time]]-I71</f>
        <v>17</v>
      </c>
      <c r="L72" s="1" t="s">
        <v>26</v>
      </c>
      <c r="M72" s="1" t="n">
        <f aca="false">MIN($C$61:$C$91)</f>
        <v>0</v>
      </c>
      <c r="N72" s="1" t="n">
        <f aca="false">MIN($E$61:$E$91)</f>
        <v>0</v>
      </c>
      <c r="O72" s="1" t="n">
        <f aca="false">MIN($G$61:$G$91)</f>
        <v>0</v>
      </c>
      <c r="P72" s="1" t="n">
        <f aca="false">MIN($I$61:$I$91)</f>
        <v>0</v>
      </c>
    </row>
    <row r="73" customFormat="false" ht="13.8" hidden="false" customHeight="false" outlineLevel="0" collapsed="false">
      <c r="A73" s="20" t="n">
        <v>22</v>
      </c>
      <c r="B73" s="21" t="n">
        <v>43537</v>
      </c>
      <c r="C73" s="22" t="n">
        <v>9852</v>
      </c>
      <c r="D73" s="22" t="n">
        <f aca="false">Table134[[#This Row],[Steps]]-C72</f>
        <v>-3521</v>
      </c>
      <c r="E73" s="23" t="n">
        <v>381.5</v>
      </c>
      <c r="F73" s="23" t="n">
        <f aca="false">Table134[[#This Row],[Colories]]-E72</f>
        <v>-130.6</v>
      </c>
      <c r="G73" s="6" t="n">
        <v>7.09</v>
      </c>
      <c r="H73" s="24" t="n">
        <f aca="false">Table134[[#This Row],[Distance]]-G72</f>
        <v>-2.54</v>
      </c>
      <c r="I73" s="6" t="n">
        <v>90</v>
      </c>
      <c r="J73" s="25" t="n">
        <f aca="false">Table134[[#This Row],[Time]]-I72</f>
        <v>-25</v>
      </c>
      <c r="L73" s="1" t="s">
        <v>28</v>
      </c>
      <c r="M73" s="1" t="n">
        <f aca="false">MAX($C$61:$C$91)</f>
        <v>22060</v>
      </c>
      <c r="N73" s="1" t="n">
        <f aca="false">MAX($E$61:$E$91)</f>
        <v>857.3</v>
      </c>
      <c r="O73" s="1" t="n">
        <f aca="false">MAX($G$61:$G$91)</f>
        <v>15.88</v>
      </c>
      <c r="P73" s="1" t="n">
        <f aca="false">MAX($I$61:$I$91)</f>
        <v>211</v>
      </c>
    </row>
    <row r="74" customFormat="false" ht="13.8" hidden="false" customHeight="false" outlineLevel="0" collapsed="false">
      <c r="A74" s="20" t="n">
        <v>23</v>
      </c>
      <c r="B74" s="21" t="n">
        <v>43538</v>
      </c>
      <c r="C74" s="22" t="n">
        <v>22060</v>
      </c>
      <c r="D74" s="22" t="n">
        <f aca="false">Table134[[#This Row],[Steps]]-C73</f>
        <v>12208</v>
      </c>
      <c r="E74" s="23" t="n">
        <v>857.3</v>
      </c>
      <c r="F74" s="23" t="n">
        <f aca="false">Table134[[#This Row],[Colories]]-E73</f>
        <v>475.8</v>
      </c>
      <c r="G74" s="6" t="n">
        <v>15.88</v>
      </c>
      <c r="H74" s="24" t="n">
        <f aca="false">Table134[[#This Row],[Distance]]-G73</f>
        <v>8.79</v>
      </c>
      <c r="I74" s="6" t="n">
        <v>204</v>
      </c>
      <c r="J74" s="25" t="n">
        <f aca="false">Table134[[#This Row],[Time]]-I73</f>
        <v>114</v>
      </c>
      <c r="L74" s="1" t="s">
        <v>30</v>
      </c>
      <c r="M74" s="1" t="n">
        <f aca="false">SUM($C$61:$C$91)</f>
        <v>351126</v>
      </c>
      <c r="N74" s="1" t="n">
        <f aca="false">SUM($E$61:$E$91)</f>
        <v>13673.9</v>
      </c>
      <c r="O74" s="1" t="n">
        <f aca="false">SUM($G$61:$G$91)</f>
        <v>253.01</v>
      </c>
      <c r="P74" s="1" t="n">
        <f aca="false">SUM($I$61:$I$91)</f>
        <v>3247</v>
      </c>
    </row>
    <row r="75" customFormat="false" ht="13.8" hidden="false" customHeight="false" outlineLevel="0" collapsed="false">
      <c r="A75" s="20" t="n">
        <v>24</v>
      </c>
      <c r="B75" s="21" t="n">
        <v>43539</v>
      </c>
      <c r="C75" s="22" t="n">
        <v>12911</v>
      </c>
      <c r="D75" s="22" t="n">
        <f aca="false">Table134[[#This Row],[Steps]]-C74</f>
        <v>-9149</v>
      </c>
      <c r="E75" s="23" t="n">
        <v>501.6</v>
      </c>
      <c r="F75" s="23" t="n">
        <f aca="false">Table134[[#This Row],[Colories]]-E74</f>
        <v>-355.7</v>
      </c>
      <c r="G75" s="6" t="n">
        <v>9.3</v>
      </c>
      <c r="H75" s="24" t="n">
        <f aca="false">Table134[[#This Row],[Distance]]-G74</f>
        <v>-6.58</v>
      </c>
      <c r="I75" s="6" t="n">
        <v>120</v>
      </c>
      <c r="J75" s="25" t="n">
        <f aca="false">Table134[[#This Row],[Time]]-I74</f>
        <v>-84</v>
      </c>
      <c r="L75" s="1" t="s">
        <v>32</v>
      </c>
      <c r="M75" s="1" t="n">
        <f aca="false">COUNT($C$61:$C$91)</f>
        <v>31</v>
      </c>
      <c r="N75" s="1" t="n">
        <f aca="false">COUNT($E$61:$E$91)</f>
        <v>31</v>
      </c>
      <c r="O75" s="1" t="n">
        <f aca="false">COUNT($G$61:$G$91)</f>
        <v>31</v>
      </c>
      <c r="P75" s="1" t="n">
        <f aca="false">COUNT($I$61:$I$91)</f>
        <v>31</v>
      </c>
    </row>
    <row r="76" customFormat="false" ht="13.8" hidden="false" customHeight="false" outlineLevel="0" collapsed="false">
      <c r="A76" s="20" t="n">
        <v>25</v>
      </c>
      <c r="B76" s="21" t="n">
        <v>43540</v>
      </c>
      <c r="C76" s="22" t="n">
        <v>6337</v>
      </c>
      <c r="D76" s="22" t="n">
        <f aca="false">Table134[[#This Row],[Steps]]-C75</f>
        <v>-6574</v>
      </c>
      <c r="E76" s="23" t="n">
        <v>244.9</v>
      </c>
      <c r="F76" s="23" t="n">
        <f aca="false">Table134[[#This Row],[Colories]]-E75</f>
        <v>-256.7</v>
      </c>
      <c r="G76" s="6" t="n">
        <v>4.56</v>
      </c>
      <c r="H76" s="24" t="n">
        <f aca="false">Table134[[#This Row],[Distance]]-G75</f>
        <v>-4.74</v>
      </c>
      <c r="I76" s="6" t="n">
        <v>57</v>
      </c>
      <c r="J76" s="25" t="n">
        <f aca="false">Table134[[#This Row],[Time]]-I75</f>
        <v>-63</v>
      </c>
    </row>
    <row r="77" customFormat="false" ht="13.8" hidden="false" customHeight="false" outlineLevel="0" collapsed="false">
      <c r="A77" s="20" t="n">
        <v>26</v>
      </c>
      <c r="B77" s="21" t="n">
        <v>43541</v>
      </c>
      <c r="C77" s="22" t="n">
        <v>11587</v>
      </c>
      <c r="D77" s="22" t="n">
        <f aca="false">Table134[[#This Row],[Steps]]-C76</f>
        <v>5250</v>
      </c>
      <c r="E77" s="23" t="n">
        <v>449.8</v>
      </c>
      <c r="F77" s="23" t="n">
        <f aca="false">Table134[[#This Row],[Colories]]-E76</f>
        <v>204.9</v>
      </c>
      <c r="G77" s="6" t="n">
        <v>8.34</v>
      </c>
      <c r="H77" s="24" t="n">
        <f aca="false">Table134[[#This Row],[Distance]]-G76</f>
        <v>3.78</v>
      </c>
      <c r="I77" s="6" t="n">
        <v>106</v>
      </c>
      <c r="J77" s="25" t="n">
        <f aca="false">Table134[[#This Row],[Time]]-I76</f>
        <v>49</v>
      </c>
    </row>
    <row r="78" customFormat="false" ht="13.8" hidden="false" customHeight="false" outlineLevel="0" collapsed="false">
      <c r="A78" s="20" t="n">
        <v>27</v>
      </c>
      <c r="B78" s="21" t="n">
        <v>43542</v>
      </c>
      <c r="C78" s="22" t="n">
        <v>15155</v>
      </c>
      <c r="D78" s="22" t="n">
        <f aca="false">Table134[[#This Row],[Steps]]-C77</f>
        <v>3568</v>
      </c>
      <c r="E78" s="23" t="n">
        <v>595.2</v>
      </c>
      <c r="F78" s="23" t="n">
        <f aca="false">Table134[[#This Row],[Colories]]-E77</f>
        <v>145.4</v>
      </c>
      <c r="G78" s="6" t="n">
        <v>10.91</v>
      </c>
      <c r="H78" s="24" t="n">
        <f aca="false">Table134[[#This Row],[Distance]]-G77</f>
        <v>2.57</v>
      </c>
      <c r="I78" s="6" t="n">
        <v>146</v>
      </c>
      <c r="J78" s="25" t="n">
        <f aca="false">Table134[[#This Row],[Time]]-I77</f>
        <v>40</v>
      </c>
    </row>
    <row r="79" customFormat="false" ht="13.8" hidden="false" customHeight="false" outlineLevel="0" collapsed="false">
      <c r="A79" s="20" t="n">
        <v>28</v>
      </c>
      <c r="B79" s="21" t="n">
        <v>43543</v>
      </c>
      <c r="C79" s="22" t="n">
        <v>18807</v>
      </c>
      <c r="D79" s="22" t="n">
        <f aca="false">Table134[[#This Row],[Steps]]-C78</f>
        <v>3652</v>
      </c>
      <c r="E79" s="23" t="n">
        <v>724.8</v>
      </c>
      <c r="F79" s="23" t="n">
        <f aca="false">Table134[[#This Row],[Colories]]-E78</f>
        <v>129.6</v>
      </c>
      <c r="G79" s="6" t="n">
        <v>13.54</v>
      </c>
      <c r="H79" s="24" t="n">
        <f aca="false">Table134[[#This Row],[Distance]]-G78</f>
        <v>2.63</v>
      </c>
      <c r="I79" s="6" t="n">
        <v>168</v>
      </c>
      <c r="J79" s="25" t="n">
        <f aca="false">Table134[[#This Row],[Time]]-I78</f>
        <v>22</v>
      </c>
    </row>
    <row r="80" customFormat="false" ht="13.8" hidden="false" customHeight="false" outlineLevel="0" collapsed="false">
      <c r="A80" s="20" t="n">
        <v>29</v>
      </c>
      <c r="B80" s="21" t="n">
        <v>43544</v>
      </c>
      <c r="C80" s="22" t="n">
        <v>9156</v>
      </c>
      <c r="D80" s="22" t="n">
        <f aca="false">Table134[[#This Row],[Steps]]-C79</f>
        <v>-9651</v>
      </c>
      <c r="E80" s="23" t="n">
        <v>354.2</v>
      </c>
      <c r="F80" s="23" t="n">
        <f aca="false">Table134[[#This Row],[Colories]]-E79</f>
        <v>-370.6</v>
      </c>
      <c r="G80" s="6" t="n">
        <v>6.59</v>
      </c>
      <c r="H80" s="24" t="n">
        <f aca="false">Table134[[#This Row],[Distance]]-G79</f>
        <v>-6.95</v>
      </c>
      <c r="I80" s="22" t="n">
        <v>83</v>
      </c>
      <c r="J80" s="25" t="n">
        <f aca="false">Table134[[#This Row],[Time]]-I79</f>
        <v>-85</v>
      </c>
    </row>
    <row r="81" customFormat="false" ht="13.8" hidden="false" customHeight="false" outlineLevel="0" collapsed="false">
      <c r="A81" s="20" t="n">
        <v>30</v>
      </c>
      <c r="B81" s="21" t="n">
        <v>43545</v>
      </c>
      <c r="C81" s="22" t="n">
        <v>16259</v>
      </c>
      <c r="D81" s="22" t="n">
        <f aca="false">Table134[[#This Row],[Steps]]-C80</f>
        <v>7103</v>
      </c>
      <c r="E81" s="23" t="n">
        <v>631.9</v>
      </c>
      <c r="F81" s="23" t="n">
        <f aca="false">Table134[[#This Row],[Colories]]-E80</f>
        <v>277.7</v>
      </c>
      <c r="G81" s="6" t="n">
        <v>11.71</v>
      </c>
      <c r="H81" s="24" t="n">
        <f aca="false">Table134[[#This Row],[Distance]]-G80</f>
        <v>5.12</v>
      </c>
      <c r="I81" s="22" t="n">
        <v>149</v>
      </c>
      <c r="J81" s="25" t="n">
        <f aca="false">Table134[[#This Row],[Time]]-I80</f>
        <v>66</v>
      </c>
    </row>
    <row r="82" customFormat="false" ht="13.8" hidden="false" customHeight="false" outlineLevel="0" collapsed="false">
      <c r="A82" s="20" t="n">
        <v>1</v>
      </c>
      <c r="B82" s="21" t="n">
        <v>43546</v>
      </c>
      <c r="C82" s="22" t="n">
        <v>14576</v>
      </c>
      <c r="D82" s="22" t="n">
        <f aca="false">Table134[[#This Row],[Steps]]-C81</f>
        <v>-1683</v>
      </c>
      <c r="E82" s="23" t="n">
        <v>572.4</v>
      </c>
      <c r="F82" s="23" t="n">
        <f aca="false">Table134[[#This Row],[Colories]]-E81</f>
        <v>-59.5</v>
      </c>
      <c r="G82" s="6" t="n">
        <v>10.62</v>
      </c>
      <c r="H82" s="24" t="n">
        <f aca="false">Table134[[#This Row],[Distance]]-G81</f>
        <v>-1.09</v>
      </c>
      <c r="I82" s="22" t="n">
        <v>136</v>
      </c>
      <c r="J82" s="25" t="n">
        <f aca="false">Table134[[#This Row],[Time]]-I81</f>
        <v>-13</v>
      </c>
    </row>
    <row r="83" customFormat="false" ht="13.8" hidden="false" customHeight="false" outlineLevel="0" collapsed="false">
      <c r="A83" s="20" t="n">
        <v>2</v>
      </c>
      <c r="B83" s="21" t="n">
        <v>43547</v>
      </c>
      <c r="C83" s="22" t="n">
        <v>21405</v>
      </c>
      <c r="D83" s="22" t="n">
        <f aca="false">Table134[[#This Row],[Steps]]-C82</f>
        <v>6829</v>
      </c>
      <c r="E83" s="23" t="n">
        <v>846.7</v>
      </c>
      <c r="F83" s="23" t="n">
        <f aca="false">Table134[[#This Row],[Colories]]-E82</f>
        <v>274.3</v>
      </c>
      <c r="G83" s="6" t="n">
        <v>15.41</v>
      </c>
      <c r="H83" s="24" t="n">
        <f aca="false">Table134[[#This Row],[Distance]]-G82</f>
        <v>4.79</v>
      </c>
      <c r="I83" s="22" t="n">
        <v>211</v>
      </c>
      <c r="J83" s="25" t="n">
        <f aca="false">Table134[[#This Row],[Time]]-I82</f>
        <v>75</v>
      </c>
    </row>
    <row r="84" customFormat="false" ht="13.8" hidden="false" customHeight="false" outlineLevel="0" collapsed="false">
      <c r="A84" s="20" t="n">
        <v>3</v>
      </c>
      <c r="B84" s="21" t="n">
        <v>43548</v>
      </c>
      <c r="C84" s="22" t="n">
        <v>6006</v>
      </c>
      <c r="D84" s="22" t="n">
        <f aca="false">Table134[[#This Row],[Steps]]-C83</f>
        <v>-15399</v>
      </c>
      <c r="E84" s="23" t="n">
        <v>241.8</v>
      </c>
      <c r="F84" s="23" t="n">
        <f aca="false">Table134[[#This Row],[Colories]]-E83</f>
        <v>-604.9</v>
      </c>
      <c r="G84" s="6" t="n">
        <v>4.32</v>
      </c>
      <c r="H84" s="24" t="n">
        <f aca="false">Table134[[#This Row],[Distance]]-G83</f>
        <v>-11.09</v>
      </c>
      <c r="I84" s="22" t="n">
        <v>62</v>
      </c>
      <c r="J84" s="25" t="n">
        <f aca="false">Table134[[#This Row],[Time]]-I83</f>
        <v>-149</v>
      </c>
    </row>
    <row r="85" customFormat="false" ht="13.8" hidden="false" customHeight="false" outlineLevel="0" collapsed="false">
      <c r="A85" s="20" t="n">
        <v>4</v>
      </c>
      <c r="B85" s="21" t="n">
        <v>43549</v>
      </c>
      <c r="C85" s="22" t="n">
        <v>12707</v>
      </c>
      <c r="D85" s="22" t="n">
        <f aca="false">Table134[[#This Row],[Steps]]-C84</f>
        <v>6701</v>
      </c>
      <c r="E85" s="23" t="n">
        <v>501.5</v>
      </c>
      <c r="F85" s="23" t="n">
        <f aca="false">Table134[[#This Row],[Colories]]-E84</f>
        <v>259.7</v>
      </c>
      <c r="G85" s="6" t="n">
        <v>9.15</v>
      </c>
      <c r="H85" s="24" t="n">
        <f aca="false">Table134[[#This Row],[Distance]]-G84</f>
        <v>4.83</v>
      </c>
      <c r="I85" s="22" t="n">
        <v>122</v>
      </c>
      <c r="J85" s="25" t="n">
        <f aca="false">Table134[[#This Row],[Time]]-I84</f>
        <v>60</v>
      </c>
    </row>
    <row r="86" customFormat="false" ht="13.8" hidden="false" customHeight="false" outlineLevel="0" collapsed="false">
      <c r="A86" s="20" t="n">
        <v>5</v>
      </c>
      <c r="B86" s="21" t="n">
        <v>43550</v>
      </c>
      <c r="C86" s="22" t="n">
        <v>15905</v>
      </c>
      <c r="D86" s="22" t="n">
        <f aca="false">Table134[[#This Row],[Steps]]-C85</f>
        <v>3198</v>
      </c>
      <c r="E86" s="23" t="n">
        <v>613.1</v>
      </c>
      <c r="F86" s="23" t="n">
        <f aca="false">Table134[[#This Row],[Colories]]-E85</f>
        <v>111.6</v>
      </c>
      <c r="G86" s="6" t="n">
        <v>11.45</v>
      </c>
      <c r="H86" s="24" t="n">
        <f aca="false">Table134[[#This Row],[Distance]]-G85</f>
        <v>2.3</v>
      </c>
      <c r="I86" s="22" t="n">
        <v>142</v>
      </c>
      <c r="J86" s="25" t="n">
        <f aca="false">Table134[[#This Row],[Time]]-I85</f>
        <v>20</v>
      </c>
    </row>
    <row r="87" customFormat="false" ht="13.8" hidden="false" customHeight="false" outlineLevel="0" collapsed="false">
      <c r="A87" s="20" t="n">
        <v>6</v>
      </c>
      <c r="B87" s="21" t="n">
        <v>43551</v>
      </c>
      <c r="C87" s="22" t="n">
        <v>7166</v>
      </c>
      <c r="D87" s="22" t="n">
        <f aca="false">Table134[[#This Row],[Steps]]-C86</f>
        <v>-8739</v>
      </c>
      <c r="E87" s="23" t="n">
        <v>277.7</v>
      </c>
      <c r="F87" s="23" t="n">
        <f aca="false">Table134[[#This Row],[Colories]]-E86</f>
        <v>-335.4</v>
      </c>
      <c r="G87" s="6" t="n">
        <v>5.16</v>
      </c>
      <c r="H87" s="24" t="n">
        <f aca="false">Table134[[#This Row],[Distance]]-G86</f>
        <v>-6.29</v>
      </c>
      <c r="I87" s="22" t="n">
        <v>65</v>
      </c>
      <c r="J87" s="25" t="n">
        <f aca="false">Table134[[#This Row],[Time]]-I86</f>
        <v>-77</v>
      </c>
    </row>
    <row r="88" customFormat="false" ht="13.8" hidden="false" customHeight="false" outlineLevel="0" collapsed="false">
      <c r="A88" s="20" t="n">
        <v>7</v>
      </c>
      <c r="B88" s="21" t="n">
        <v>43552</v>
      </c>
      <c r="C88" s="22" t="n">
        <v>12831</v>
      </c>
      <c r="D88" s="22" t="n">
        <f aca="false">Table134[[#This Row],[Steps]]-C87</f>
        <v>5665</v>
      </c>
      <c r="E88" s="23" t="n">
        <v>497.6</v>
      </c>
      <c r="F88" s="23" t="n">
        <f aca="false">Table134[[#This Row],[Colories]]-E87</f>
        <v>219.9</v>
      </c>
      <c r="G88" s="6" t="n">
        <v>9.24</v>
      </c>
      <c r="H88" s="24" t="n">
        <f aca="false">Table134[[#This Row],[Distance]]-G87</f>
        <v>4.08</v>
      </c>
      <c r="I88" s="22" t="n">
        <v>117</v>
      </c>
      <c r="J88" s="25" t="n">
        <f aca="false">Table134[[#This Row],[Time]]-I87</f>
        <v>52</v>
      </c>
    </row>
    <row r="89" customFormat="false" ht="13.8" hidden="false" customHeight="false" outlineLevel="0" collapsed="false">
      <c r="A89" s="20" t="n">
        <v>8</v>
      </c>
      <c r="B89" s="21" t="n">
        <v>43553</v>
      </c>
      <c r="C89" s="22" t="n">
        <v>1155</v>
      </c>
      <c r="D89" s="22" t="n">
        <f aca="false">Table134[[#This Row],[Steps]]-C88</f>
        <v>-11676</v>
      </c>
      <c r="E89" s="23" t="n">
        <v>45.1</v>
      </c>
      <c r="F89" s="23" t="n">
        <f aca="false">Table134[[#This Row],[Colories]]-E88</f>
        <v>-452.5</v>
      </c>
      <c r="G89" s="6" t="n">
        <v>0.93</v>
      </c>
      <c r="H89" s="24" t="n">
        <f aca="false">Table134[[#This Row],[Distance]]-G88</f>
        <v>-8.31</v>
      </c>
      <c r="I89" s="22" t="n">
        <v>10</v>
      </c>
      <c r="J89" s="25" t="n">
        <f aca="false">Table134[[#This Row],[Time]]-I88</f>
        <v>-107</v>
      </c>
    </row>
    <row r="90" customFormat="false" ht="13.8" hidden="false" customHeight="false" outlineLevel="0" collapsed="false">
      <c r="A90" s="20" t="n">
        <v>9</v>
      </c>
      <c r="B90" s="21" t="n">
        <v>43554</v>
      </c>
      <c r="C90" s="22" t="n">
        <v>0</v>
      </c>
      <c r="D90" s="22" t="n">
        <f aca="false">Table134[[#This Row],[Steps]]-C89</f>
        <v>-1155</v>
      </c>
      <c r="E90" s="23" t="n">
        <v>0</v>
      </c>
      <c r="F90" s="23" t="n">
        <f aca="false">Table134[[#This Row],[Colories]]-E89</f>
        <v>-45.1</v>
      </c>
      <c r="G90" s="6" t="n">
        <v>0</v>
      </c>
      <c r="H90" s="24" t="n">
        <f aca="false">Table134[[#This Row],[Distance]]-G89</f>
        <v>-0.93</v>
      </c>
      <c r="I90" s="22" t="n">
        <v>0</v>
      </c>
      <c r="J90" s="25" t="n">
        <f aca="false">Table134[[#This Row],[Time]]-I89</f>
        <v>-10</v>
      </c>
    </row>
    <row r="91" customFormat="false" ht="13.8" hidden="false" customHeight="false" outlineLevel="0" collapsed="false">
      <c r="A91" s="20" t="n">
        <v>10</v>
      </c>
      <c r="B91" s="21" t="n">
        <v>43555</v>
      </c>
      <c r="C91" s="22" t="n">
        <v>0</v>
      </c>
      <c r="D91" s="22" t="n">
        <f aca="false">Table134[[#This Row],[Steps]]-C90</f>
        <v>0</v>
      </c>
      <c r="E91" s="23" t="n">
        <v>0</v>
      </c>
      <c r="F91" s="23" t="n">
        <f aca="false">Table134[[#This Row],[Colories]]-E90</f>
        <v>0</v>
      </c>
      <c r="G91" s="6" t="n">
        <v>0</v>
      </c>
      <c r="H91" s="24" t="n">
        <f aca="false">Table134[[#This Row],[Distance]]-G90</f>
        <v>0</v>
      </c>
      <c r="I91" s="22" t="n">
        <v>0</v>
      </c>
      <c r="J91" s="25" t="n">
        <f aca="false">Table134[[#This Row],[Time]]-I90</f>
        <v>0</v>
      </c>
    </row>
    <row r="92" customFormat="false" ht="13.8" hidden="false" customHeight="false" outlineLevel="0" collapsed="false">
      <c r="A92" s="20" t="n">
        <v>11</v>
      </c>
      <c r="B92" s="21" t="n">
        <v>43556</v>
      </c>
      <c r="C92" s="22" t="n">
        <v>0</v>
      </c>
      <c r="D92" s="22" t="n">
        <f aca="false">Table134[[#This Row],[Steps]]-C91</f>
        <v>0</v>
      </c>
      <c r="E92" s="23" t="n">
        <v>0</v>
      </c>
      <c r="F92" s="23" t="n">
        <f aca="false">Table134[[#This Row],[Colories]]-E91</f>
        <v>0</v>
      </c>
      <c r="G92" s="6" t="n">
        <v>0</v>
      </c>
      <c r="H92" s="24" t="n">
        <f aca="false">Table134[[#This Row],[Distance]]-G91</f>
        <v>0</v>
      </c>
      <c r="I92" s="22" t="n">
        <v>0</v>
      </c>
      <c r="J92" s="25" t="n">
        <f aca="false">Table134[[#This Row],[Time]]-I91</f>
        <v>0</v>
      </c>
      <c r="M92" s="1" t="s">
        <v>2</v>
      </c>
      <c r="N92" s="1" t="s">
        <v>179</v>
      </c>
      <c r="O92" s="1" t="s">
        <v>175</v>
      </c>
      <c r="P92" s="1" t="s">
        <v>177</v>
      </c>
    </row>
    <row r="93" customFormat="false" ht="13.8" hidden="false" customHeight="false" outlineLevel="0" collapsed="false">
      <c r="A93" s="20" t="n">
        <v>12</v>
      </c>
      <c r="B93" s="21" t="n">
        <v>43557</v>
      </c>
      <c r="C93" s="22" t="n">
        <v>4809</v>
      </c>
      <c r="D93" s="22" t="n">
        <f aca="false">Table134[[#This Row],[Steps]]-C92</f>
        <v>4809</v>
      </c>
      <c r="E93" s="23" t="n">
        <v>193.3</v>
      </c>
      <c r="F93" s="23" t="n">
        <f aca="false">Table134[[#This Row],[Colories]]-E92</f>
        <v>193.3</v>
      </c>
      <c r="G93" s="6" t="n">
        <v>3.46</v>
      </c>
      <c r="H93" s="24" t="n">
        <f aca="false">Table134[[#This Row],[Distance]]-G92</f>
        <v>3.46</v>
      </c>
      <c r="I93" s="22" t="n">
        <v>49</v>
      </c>
      <c r="J93" s="25" t="n">
        <f aca="false">Table134[[#This Row],[Time]]-I92</f>
        <v>49</v>
      </c>
      <c r="L93" s="1" t="s">
        <v>8</v>
      </c>
      <c r="M93" s="1" t="n">
        <f aca="false">AVERAGE($C$92:$C$121)</f>
        <v>10432.9333333333</v>
      </c>
      <c r="N93" s="1" t="n">
        <f aca="false">AVERAGE($E$92:$E$121)</f>
        <v>397.166666666667</v>
      </c>
      <c r="O93" s="1" t="n">
        <f aca="false">AVERAGE($G$92:$G$121)</f>
        <v>7.51133333333333</v>
      </c>
      <c r="P93" s="1" t="n">
        <f aca="false">AVERAGE($I$92:$I$121)</f>
        <v>97.3666666666667</v>
      </c>
    </row>
    <row r="94" customFormat="false" ht="13.8" hidden="false" customHeight="false" outlineLevel="0" collapsed="false">
      <c r="A94" s="20" t="n">
        <v>13</v>
      </c>
      <c r="B94" s="21" t="n">
        <v>43558</v>
      </c>
      <c r="C94" s="22" t="n">
        <v>10470</v>
      </c>
      <c r="D94" s="22" t="n">
        <f aca="false">Table134[[#This Row],[Steps]]-C93</f>
        <v>5661</v>
      </c>
      <c r="E94" s="23" t="n">
        <v>411.7</v>
      </c>
      <c r="F94" s="23" t="n">
        <f aca="false">Table134[[#This Row],[Colories]]-E93</f>
        <v>218.4</v>
      </c>
      <c r="G94" s="6" t="n">
        <v>7.54</v>
      </c>
      <c r="H94" s="24" t="n">
        <f aca="false">Table134[[#This Row],[Distance]]-G93</f>
        <v>4.08</v>
      </c>
      <c r="I94" s="22" t="n">
        <v>101</v>
      </c>
      <c r="J94" s="25" t="n">
        <f aca="false">Table134[[#This Row],[Time]]-I93</f>
        <v>52</v>
      </c>
      <c r="L94" s="1" t="s">
        <v>10</v>
      </c>
      <c r="M94" s="1" t="n">
        <f aca="false">SQRT(VAR($C$92:$C$121)/COUNT($C$92:$C$121))</f>
        <v>1043.96140538753</v>
      </c>
      <c r="N94" s="1" t="n">
        <f aca="false">SQRT(VAR($E$92:$E$121)/COUNT($E$92:$E$121))</f>
        <v>40.9021909688667</v>
      </c>
      <c r="O94" s="1" t="n">
        <f aca="false">SQRT(VAR($G$92:$G$121)/COUNT($G$92:$G$121))</f>
        <v>0.751567516461938</v>
      </c>
      <c r="P94" s="1" t="n">
        <f aca="false">SQRT(VAR($I$92:$I$121)/COUNT($I$92:$I$121))</f>
        <v>9.63261740170671</v>
      </c>
    </row>
    <row r="95" customFormat="false" ht="13.8" hidden="false" customHeight="false" outlineLevel="0" collapsed="false">
      <c r="A95" s="20" t="n">
        <v>14</v>
      </c>
      <c r="B95" s="21" t="n">
        <v>43559</v>
      </c>
      <c r="C95" s="22" t="n">
        <v>6679</v>
      </c>
      <c r="D95" s="22" t="n">
        <f aca="false">Table134[[#This Row],[Steps]]-C94</f>
        <v>-3791</v>
      </c>
      <c r="E95" s="23" t="n">
        <v>256.8</v>
      </c>
      <c r="F95" s="23" t="n">
        <f aca="false">Table134[[#This Row],[Colories]]-E94</f>
        <v>-154.9</v>
      </c>
      <c r="G95" s="6" t="n">
        <v>4.81</v>
      </c>
      <c r="H95" s="24" t="n">
        <f aca="false">Table134[[#This Row],[Distance]]-G94</f>
        <v>-2.73</v>
      </c>
      <c r="I95" s="22" t="n">
        <v>59</v>
      </c>
      <c r="J95" s="25" t="n">
        <f aca="false">Table134[[#This Row],[Time]]-I94</f>
        <v>-42</v>
      </c>
      <c r="L95" s="1" t="s">
        <v>14</v>
      </c>
      <c r="M95" s="1" t="n">
        <f aca="false">MODE($C$92:$C$121)</f>
        <v>0</v>
      </c>
      <c r="N95" s="1" t="n">
        <f aca="false">MODE($E$92:$E$121)</f>
        <v>0</v>
      </c>
      <c r="O95" s="1" t="n">
        <f aca="false">MODE($G$92:$G$121)</f>
        <v>0</v>
      </c>
      <c r="P95" s="1" t="n">
        <f aca="false">MODE($I$92:$I$121)</f>
        <v>0</v>
      </c>
    </row>
    <row r="96" customFormat="false" ht="13.8" hidden="false" customHeight="false" outlineLevel="0" collapsed="false">
      <c r="A96" s="20" t="n">
        <v>15</v>
      </c>
      <c r="B96" s="21" t="n">
        <v>43560</v>
      </c>
      <c r="C96" s="22" t="n">
        <v>6541</v>
      </c>
      <c r="D96" s="22" t="n">
        <f aca="false">Table134[[#This Row],[Steps]]-C95</f>
        <v>-138</v>
      </c>
      <c r="E96" s="23" t="n">
        <v>253.2</v>
      </c>
      <c r="F96" s="23" t="n">
        <f aca="false">Table134[[#This Row],[Colories]]-E95</f>
        <v>-3.60000000000002</v>
      </c>
      <c r="G96" s="6" t="n">
        <v>4.71</v>
      </c>
      <c r="H96" s="24" t="n">
        <f aca="false">Table134[[#This Row],[Distance]]-G95</f>
        <v>-0.0999999999999996</v>
      </c>
      <c r="I96" s="22" t="n">
        <v>59</v>
      </c>
      <c r="J96" s="25" t="n">
        <f aca="false">Table134[[#This Row],[Time]]-I95</f>
        <v>0</v>
      </c>
      <c r="L96" s="1" t="s">
        <v>12</v>
      </c>
      <c r="M96" s="1" t="n">
        <f aca="false">MEDIAN($C$92:$C$121)</f>
        <v>10844</v>
      </c>
      <c r="N96" s="1" t="n">
        <f aca="false">MEDIAN($E$92:$E$121)</f>
        <v>397</v>
      </c>
      <c r="O96" s="1" t="n">
        <f aca="false">MEDIAN($G$92:$G$121)</f>
        <v>7.81</v>
      </c>
      <c r="P96" s="1" t="n">
        <f aca="false">MEDIAN($I$92:$I$121)</f>
        <v>101</v>
      </c>
    </row>
    <row r="97" customFormat="false" ht="13.8" hidden="false" customHeight="false" outlineLevel="0" collapsed="false">
      <c r="A97" s="20" t="n">
        <v>16</v>
      </c>
      <c r="B97" s="21" t="n">
        <v>43561</v>
      </c>
      <c r="C97" s="22" t="n">
        <v>7284</v>
      </c>
      <c r="D97" s="22" t="n">
        <f aca="false">Table134[[#This Row],[Steps]]-C96</f>
        <v>743</v>
      </c>
      <c r="E97" s="23" t="n">
        <v>294.1</v>
      </c>
      <c r="F97" s="23" t="n">
        <f aca="false">Table134[[#This Row],[Colories]]-E96</f>
        <v>40.9</v>
      </c>
      <c r="G97" s="6" t="n">
        <v>5.24</v>
      </c>
      <c r="H97" s="24" t="n">
        <f aca="false">Table134[[#This Row],[Distance]]-G96</f>
        <v>0.53</v>
      </c>
      <c r="I97" s="22" t="n">
        <v>75</v>
      </c>
      <c r="J97" s="25" t="n">
        <f aca="false">Table134[[#This Row],[Time]]-I96</f>
        <v>16</v>
      </c>
      <c r="L97" s="1" t="s">
        <v>180</v>
      </c>
      <c r="M97" s="1" t="n">
        <f aca="false">QUARTILE($C$92:$C$121, 1)</f>
        <v>6686</v>
      </c>
      <c r="N97" s="1" t="n">
        <f aca="false">QUARTILE($E$92:$E$121, 1)</f>
        <v>254.1</v>
      </c>
      <c r="O97" s="1" t="n">
        <f aca="false">QUARTILE($G$92:$G$121, 1)</f>
        <v>4.815</v>
      </c>
      <c r="P97" s="1" t="n">
        <f aca="false">QUARTILE($I$92:$I$121, 1)</f>
        <v>60.25</v>
      </c>
    </row>
    <row r="98" customFormat="false" ht="13.8" hidden="false" customHeight="false" outlineLevel="0" collapsed="false">
      <c r="A98" s="20" t="n">
        <v>17</v>
      </c>
      <c r="B98" s="21" t="n">
        <v>43562</v>
      </c>
      <c r="C98" s="22" t="n">
        <v>3697</v>
      </c>
      <c r="D98" s="22" t="n">
        <f aca="false">Table134[[#This Row],[Steps]]-C97</f>
        <v>-3587</v>
      </c>
      <c r="E98" s="23" t="n">
        <v>146.1</v>
      </c>
      <c r="F98" s="23" t="n">
        <f aca="false">Table134[[#This Row],[Colories]]-E97</f>
        <v>-148</v>
      </c>
      <c r="G98" s="6" t="n">
        <v>2.66</v>
      </c>
      <c r="H98" s="24" t="n">
        <f aca="false">Table134[[#This Row],[Distance]]-G97</f>
        <v>-2.58</v>
      </c>
      <c r="I98" s="22" t="n">
        <v>36</v>
      </c>
      <c r="J98" s="25" t="n">
        <f aca="false">Table134[[#This Row],[Time]]-I97</f>
        <v>-39</v>
      </c>
      <c r="L98" s="1" t="s">
        <v>181</v>
      </c>
      <c r="M98" s="1" t="n">
        <f aca="false">QUARTILE($C$92:$C$121, 3)</f>
        <v>14199.5</v>
      </c>
      <c r="N98" s="1" t="n">
        <f aca="false">QUARTILE($E$92:$E$121, 3)</f>
        <v>560.8</v>
      </c>
      <c r="O98" s="1" t="n">
        <f aca="false">QUARTILE($G$92:$G$121, 3)</f>
        <v>10.2225</v>
      </c>
      <c r="P98" s="1" t="n">
        <f aca="false">QUARTILE($I$92:$I$121, 3)</f>
        <v>131</v>
      </c>
    </row>
    <row r="99" customFormat="false" ht="13.8" hidden="false" customHeight="false" outlineLevel="0" collapsed="false">
      <c r="A99" s="20" t="n">
        <v>18</v>
      </c>
      <c r="B99" s="21" t="n">
        <v>43563</v>
      </c>
      <c r="C99" s="22" t="n">
        <v>14919</v>
      </c>
      <c r="D99" s="22" t="n">
        <f aca="false">Table134[[#This Row],[Steps]]-C98</f>
        <v>11222</v>
      </c>
      <c r="E99" s="23" t="n">
        <v>573.8</v>
      </c>
      <c r="F99" s="23" t="n">
        <f aca="false">Table134[[#This Row],[Colories]]-E98</f>
        <v>427.7</v>
      </c>
      <c r="G99" s="6" t="n">
        <v>10.74</v>
      </c>
      <c r="H99" s="24" t="n">
        <f aca="false">Table134[[#This Row],[Distance]]-G98</f>
        <v>8.08</v>
      </c>
      <c r="I99" s="22" t="n">
        <v>132</v>
      </c>
      <c r="J99" s="25" t="n">
        <f aca="false">Table134[[#This Row],[Time]]-I98</f>
        <v>96</v>
      </c>
      <c r="L99" s="1" t="s">
        <v>182</v>
      </c>
      <c r="M99" s="1" t="n">
        <f aca="false">VAR($C$92:$C$121)</f>
        <v>32695662.4781609</v>
      </c>
      <c r="N99" s="1" t="n">
        <f aca="false">VAR($E$92:$E$121)</f>
        <v>50189.6767816092</v>
      </c>
      <c r="O99" s="1" t="n">
        <f aca="false">VAR($G$92:$G$121)</f>
        <v>16.945611954023</v>
      </c>
      <c r="P99" s="1" t="n">
        <f aca="false">VAR($I$92:$I$121)</f>
        <v>2783.61954022989</v>
      </c>
    </row>
    <row r="100" customFormat="false" ht="13.8" hidden="false" customHeight="false" outlineLevel="0" collapsed="false">
      <c r="A100" s="20" t="n">
        <v>19</v>
      </c>
      <c r="B100" s="21" t="n">
        <v>43564</v>
      </c>
      <c r="C100" s="22" t="n">
        <v>22595</v>
      </c>
      <c r="D100" s="22" t="n">
        <f aca="false">Table134[[#This Row],[Steps]]-C99</f>
        <v>7676</v>
      </c>
      <c r="E100" s="23" t="n">
        <v>882.9</v>
      </c>
      <c r="F100" s="23" t="n">
        <f aca="false">Table134[[#This Row],[Colories]]-E99</f>
        <v>309.1</v>
      </c>
      <c r="G100" s="6" t="n">
        <v>16.27</v>
      </c>
      <c r="H100" s="24" t="n">
        <f aca="false">Table134[[#This Row],[Distance]]-G99</f>
        <v>5.53</v>
      </c>
      <c r="I100" s="22" t="n">
        <v>212</v>
      </c>
      <c r="J100" s="25" t="n">
        <f aca="false">Table134[[#This Row],[Time]]-I99</f>
        <v>80</v>
      </c>
      <c r="L100" s="1" t="s">
        <v>16</v>
      </c>
      <c r="M100" s="1" t="n">
        <f aca="false">STDEV($C$92:$C$121)</f>
        <v>5718.01210895543</v>
      </c>
      <c r="N100" s="1" t="n">
        <f aca="false">STDEV($E$92:$E$121)</f>
        <v>224.030526450324</v>
      </c>
      <c r="O100" s="1" t="n">
        <f aca="false">STDEV($G$92:$G$121)</f>
        <v>4.11650482254339</v>
      </c>
      <c r="P100" s="1" t="n">
        <f aca="false">STDEV($I$92:$I$121)</f>
        <v>52.7600183873157</v>
      </c>
    </row>
    <row r="101" customFormat="false" ht="13.8" hidden="false" customHeight="false" outlineLevel="0" collapsed="false">
      <c r="A101" s="20" t="n">
        <v>20</v>
      </c>
      <c r="B101" s="21" t="n">
        <v>43565</v>
      </c>
      <c r="C101" s="22" t="n">
        <v>11432</v>
      </c>
      <c r="D101" s="22" t="n">
        <f aca="false">Table134[[#This Row],[Steps]]-C100</f>
        <v>-11163</v>
      </c>
      <c r="E101" s="23" t="n">
        <v>447.6</v>
      </c>
      <c r="F101" s="23" t="n">
        <f aca="false">Table134[[#This Row],[Colories]]-E100</f>
        <v>-435.3</v>
      </c>
      <c r="G101" s="6" t="n">
        <v>8.23</v>
      </c>
      <c r="H101" s="24" t="n">
        <f aca="false">Table134[[#This Row],[Distance]]-G100</f>
        <v>-8.04</v>
      </c>
      <c r="I101" s="22" t="n">
        <v>107</v>
      </c>
      <c r="J101" s="25" t="n">
        <f aca="false">Table134[[#This Row],[Time]]-I100</f>
        <v>-105</v>
      </c>
      <c r="L101" s="1" t="s">
        <v>20</v>
      </c>
      <c r="M101" s="1" t="n">
        <f aca="false">KURT($C$92:$C$121)</f>
        <v>-0.123558312654787</v>
      </c>
      <c r="N101" s="1" t="n">
        <f aca="false">KURT($E$92:$E$121)</f>
        <v>-0.170266510854353</v>
      </c>
      <c r="O101" s="1" t="n">
        <f aca="false">KURT($G$92:$G$121)</f>
        <v>-0.123247140978549</v>
      </c>
      <c r="P101" s="1" t="n">
        <f aca="false">KURT($I$92:$I$121)</f>
        <v>-0.158028568659811</v>
      </c>
    </row>
    <row r="102" customFormat="false" ht="13.8" hidden="false" customHeight="false" outlineLevel="0" collapsed="false">
      <c r="A102" s="20" t="n">
        <v>21</v>
      </c>
      <c r="B102" s="21" t="n">
        <v>43566</v>
      </c>
      <c r="C102" s="22" t="n">
        <v>17769</v>
      </c>
      <c r="D102" s="22" t="n">
        <f aca="false">Table134[[#This Row],[Steps]]-C101</f>
        <v>6337</v>
      </c>
      <c r="E102" s="23" t="n">
        <v>689.1</v>
      </c>
      <c r="F102" s="23" t="n">
        <f aca="false">Table134[[#This Row],[Colories]]-E101</f>
        <v>241.5</v>
      </c>
      <c r="G102" s="6" t="n">
        <v>12.79</v>
      </c>
      <c r="H102" s="24" t="n">
        <f aca="false">Table134[[#This Row],[Distance]]-G101</f>
        <v>4.56</v>
      </c>
      <c r="I102" s="22" t="n">
        <v>164</v>
      </c>
      <c r="J102" s="25" t="n">
        <f aca="false">Table134[[#This Row],[Time]]-I101</f>
        <v>57</v>
      </c>
      <c r="L102" s="1" t="s">
        <v>22</v>
      </c>
      <c r="M102" s="1" t="n">
        <f aca="false">SKEW($C$92:$C$121)</f>
        <v>0.212048136843016</v>
      </c>
      <c r="N102" s="1" t="n">
        <f aca="false">SKEW($E$92:$E$121)</f>
        <v>0.308025843051542</v>
      </c>
      <c r="O102" s="1" t="n">
        <f aca="false">SKEW($G$92:$G$121)</f>
        <v>0.211622592349981</v>
      </c>
      <c r="P102" s="1" t="n">
        <f aca="false">SKEW($I$92:$I$121)</f>
        <v>0.184296615348193</v>
      </c>
    </row>
    <row r="103" customFormat="false" ht="13.8" hidden="false" customHeight="false" outlineLevel="0" collapsed="false">
      <c r="A103" s="20" t="n">
        <v>22</v>
      </c>
      <c r="B103" s="21" t="n">
        <v>43567</v>
      </c>
      <c r="C103" s="22" t="n">
        <v>8357</v>
      </c>
      <c r="D103" s="22" t="n">
        <f aca="false">Table134[[#This Row],[Steps]]-C102</f>
        <v>-9412</v>
      </c>
      <c r="E103" s="23" t="n">
        <v>325.4</v>
      </c>
      <c r="F103" s="23" t="n">
        <f aca="false">Table134[[#This Row],[Colories]]-E102</f>
        <v>-363.7</v>
      </c>
      <c r="G103" s="6" t="n">
        <v>6.02</v>
      </c>
      <c r="H103" s="24" t="n">
        <f aca="false">Table134[[#This Row],[Distance]]-G102</f>
        <v>-6.77</v>
      </c>
      <c r="I103" s="22" t="n">
        <v>78</v>
      </c>
      <c r="J103" s="25" t="n">
        <f aca="false">Table134[[#This Row],[Time]]-I102</f>
        <v>-86</v>
      </c>
      <c r="L103" s="1" t="s">
        <v>24</v>
      </c>
      <c r="M103" s="1" t="n">
        <f aca="false">MAX($C$92:$C$121)-MIN($C$92:$C$121)</f>
        <v>22595</v>
      </c>
      <c r="N103" s="1" t="n">
        <f aca="false">MAX($E$92:$E$121)-MIN($E$92:$E$121)</f>
        <v>882.9</v>
      </c>
      <c r="O103" s="1" t="n">
        <f aca="false">MAX($G$92:$G$121)-MIN($G$92:$G$121)</f>
        <v>16.27</v>
      </c>
      <c r="P103" s="1" t="n">
        <f aca="false">MAX($I$92:$I$121)-MIN($I$92:$I$121)</f>
        <v>212</v>
      </c>
    </row>
    <row r="104" customFormat="false" ht="13.8" hidden="false" customHeight="false" outlineLevel="0" collapsed="false">
      <c r="A104" s="20" t="n">
        <v>23</v>
      </c>
      <c r="B104" s="21" t="n">
        <v>43568</v>
      </c>
      <c r="C104" s="22" t="n">
        <v>5191</v>
      </c>
      <c r="D104" s="22" t="n">
        <f aca="false">Table134[[#This Row],[Steps]]-C103</f>
        <v>-3166</v>
      </c>
      <c r="E104" s="23" t="n">
        <v>203.5</v>
      </c>
      <c r="F104" s="23" t="n">
        <f aca="false">Table134[[#This Row],[Colories]]-E103</f>
        <v>-121.9</v>
      </c>
      <c r="G104" s="6" t="n">
        <v>3.74</v>
      </c>
      <c r="H104" s="24" t="n">
        <f aca="false">Table134[[#This Row],[Distance]]-G103</f>
        <v>-2.28</v>
      </c>
      <c r="I104" s="22" t="n">
        <v>49</v>
      </c>
      <c r="J104" s="25" t="n">
        <f aca="false">Table134[[#This Row],[Time]]-I103</f>
        <v>-29</v>
      </c>
      <c r="L104" s="1" t="s">
        <v>26</v>
      </c>
      <c r="M104" s="1" t="n">
        <f aca="false">MIN($C$92:$C$121)</f>
        <v>0</v>
      </c>
      <c r="N104" s="1" t="n">
        <f aca="false">MIN($E$92:$E$121)</f>
        <v>0</v>
      </c>
      <c r="O104" s="1" t="n">
        <f aca="false">MIN($G$92:$G$121)</f>
        <v>0</v>
      </c>
      <c r="P104" s="1" t="n">
        <f aca="false">MIN($I$92:$I$121)</f>
        <v>0</v>
      </c>
    </row>
    <row r="105" customFormat="false" ht="13.8" hidden="false" customHeight="false" outlineLevel="0" collapsed="false">
      <c r="A105" s="20" t="n">
        <v>24</v>
      </c>
      <c r="B105" s="21" t="n">
        <v>43569</v>
      </c>
      <c r="C105" s="22" t="n">
        <v>11382</v>
      </c>
      <c r="D105" s="22" t="n">
        <f aca="false">Table134[[#This Row],[Steps]]-C104</f>
        <v>6191</v>
      </c>
      <c r="E105" s="23" t="n">
        <v>447.5</v>
      </c>
      <c r="F105" s="23" t="n">
        <f aca="false">Table134[[#This Row],[Colories]]-E104</f>
        <v>244</v>
      </c>
      <c r="G105" s="6" t="n">
        <v>8.2</v>
      </c>
      <c r="H105" s="24" t="n">
        <f aca="false">Table134[[#This Row],[Distance]]-G104</f>
        <v>4.46</v>
      </c>
      <c r="I105" s="22" t="n">
        <v>109</v>
      </c>
      <c r="J105" s="25" t="n">
        <f aca="false">Table134[[#This Row],[Time]]-I104</f>
        <v>60</v>
      </c>
      <c r="L105" s="1" t="s">
        <v>28</v>
      </c>
      <c r="M105" s="1" t="n">
        <f aca="false">MAX($C$92:$C$121)</f>
        <v>22595</v>
      </c>
      <c r="N105" s="1" t="n">
        <f aca="false">MAX($E$92:$E$121)</f>
        <v>882.9</v>
      </c>
      <c r="O105" s="1" t="n">
        <f aca="false">MAX($G$92:$G$121)</f>
        <v>16.27</v>
      </c>
      <c r="P105" s="1" t="n">
        <f aca="false">MAX($I$92:$I$121)</f>
        <v>212</v>
      </c>
    </row>
    <row r="106" customFormat="false" ht="13.8" hidden="false" customHeight="false" outlineLevel="0" collapsed="false">
      <c r="A106" s="20" t="n">
        <v>25</v>
      </c>
      <c r="B106" s="21" t="n">
        <v>43570</v>
      </c>
      <c r="C106" s="22" t="n">
        <v>11218</v>
      </c>
      <c r="D106" s="22" t="n">
        <f aca="false">Table134[[#This Row],[Steps]]-C105</f>
        <v>-164</v>
      </c>
      <c r="E106" s="23" t="n">
        <v>434.9</v>
      </c>
      <c r="F106" s="23" t="n">
        <f aca="false">Table134[[#This Row],[Colories]]-E105</f>
        <v>-12.6</v>
      </c>
      <c r="G106" s="6" t="n">
        <v>8.08</v>
      </c>
      <c r="H106" s="24" t="n">
        <f aca="false">Table134[[#This Row],[Distance]]-G105</f>
        <v>-0.119999999999999</v>
      </c>
      <c r="I106" s="22" t="n">
        <v>101</v>
      </c>
      <c r="J106" s="25" t="n">
        <f aca="false">Table134[[#This Row],[Time]]-I105</f>
        <v>-8</v>
      </c>
      <c r="L106" s="1" t="s">
        <v>30</v>
      </c>
      <c r="M106" s="1" t="n">
        <f aca="false">SUM($C$92:$C$121)</f>
        <v>312988</v>
      </c>
      <c r="N106" s="1" t="n">
        <f aca="false">SUM($E$92:$E$121)</f>
        <v>11915</v>
      </c>
      <c r="O106" s="1" t="n">
        <f aca="false">SUM($G$92:$G$121)</f>
        <v>225.34</v>
      </c>
      <c r="P106" s="1" t="n">
        <f aca="false">SUM($I$92:$I$121)</f>
        <v>2921</v>
      </c>
    </row>
    <row r="107" customFormat="false" ht="13.8" hidden="false" customHeight="false" outlineLevel="0" collapsed="false">
      <c r="A107" s="20" t="n">
        <v>26</v>
      </c>
      <c r="B107" s="21" t="n">
        <v>43571</v>
      </c>
      <c r="C107" s="22" t="n">
        <v>13295</v>
      </c>
      <c r="D107" s="22" t="n">
        <f aca="false">Table134[[#This Row],[Steps]]-C106</f>
        <v>2077</v>
      </c>
      <c r="E107" s="23" t="n">
        <v>523.9</v>
      </c>
      <c r="F107" s="23" t="n">
        <f aca="false">Table134[[#This Row],[Colories]]-E106</f>
        <v>89</v>
      </c>
      <c r="G107" s="6" t="n">
        <v>9.57</v>
      </c>
      <c r="H107" s="24" t="n">
        <f aca="false">Table134[[#This Row],[Distance]]-G106</f>
        <v>1.49</v>
      </c>
      <c r="I107" s="22" t="n">
        <v>128</v>
      </c>
      <c r="J107" s="25" t="n">
        <f aca="false">Table134[[#This Row],[Time]]-I106</f>
        <v>27</v>
      </c>
      <c r="L107" s="1" t="s">
        <v>32</v>
      </c>
      <c r="M107" s="1" t="n">
        <f aca="false">COUNT($C$92:$C$121)</f>
        <v>30</v>
      </c>
      <c r="N107" s="1" t="n">
        <f aca="false">COUNT($E$92:$E$121)</f>
        <v>30</v>
      </c>
      <c r="O107" s="1" t="n">
        <f aca="false">COUNT($G$92:$G$121)</f>
        <v>30</v>
      </c>
      <c r="P107" s="1" t="n">
        <f aca="false">COUNT($I$92:$I$121)</f>
        <v>30</v>
      </c>
    </row>
    <row r="108" customFormat="false" ht="13.8" hidden="false" customHeight="false" outlineLevel="0" collapsed="false">
      <c r="A108" s="20" t="n">
        <v>27</v>
      </c>
      <c r="B108" s="21" t="n">
        <v>43572</v>
      </c>
      <c r="C108" s="22" t="n">
        <v>12398</v>
      </c>
      <c r="D108" s="22" t="n">
        <f aca="false">Table134[[#This Row],[Steps]]-C107</f>
        <v>-897</v>
      </c>
      <c r="E108" s="23" t="n">
        <v>483.8</v>
      </c>
      <c r="F108" s="23" t="n">
        <f aca="false">Table134[[#This Row],[Colories]]-E107</f>
        <v>-40.1</v>
      </c>
      <c r="G108" s="6" t="n">
        <v>8.93</v>
      </c>
      <c r="H108" s="24" t="n">
        <f aca="false">Table134[[#This Row],[Distance]]-G107</f>
        <v>-0.640000000000001</v>
      </c>
      <c r="I108" s="22" t="n">
        <v>116</v>
      </c>
      <c r="J108" s="25" t="n">
        <f aca="false">Table134[[#This Row],[Time]]-I107</f>
        <v>-12</v>
      </c>
    </row>
    <row r="109" customFormat="false" ht="13.8" hidden="false" customHeight="false" outlineLevel="0" collapsed="false">
      <c r="A109" s="20" t="n">
        <v>28</v>
      </c>
      <c r="B109" s="21" t="n">
        <v>43573</v>
      </c>
      <c r="C109" s="22" t="n">
        <v>18184</v>
      </c>
      <c r="D109" s="22" t="n">
        <f aca="false">Table134[[#This Row],[Steps]]-C108</f>
        <v>5786</v>
      </c>
      <c r="E109" s="23" t="n">
        <v>706.3</v>
      </c>
      <c r="F109" s="23" t="n">
        <f aca="false">Table134[[#This Row],[Colories]]-E108</f>
        <v>222.5</v>
      </c>
      <c r="G109" s="6" t="n">
        <v>13.09</v>
      </c>
      <c r="H109" s="24" t="n">
        <f aca="false">Table134[[#This Row],[Distance]]-G108</f>
        <v>4.16</v>
      </c>
      <c r="I109" s="22" t="n">
        <v>168</v>
      </c>
      <c r="J109" s="25" t="n">
        <f aca="false">Table134[[#This Row],[Time]]-I108</f>
        <v>52</v>
      </c>
    </row>
    <row r="110" customFormat="false" ht="13.8" hidden="false" customHeight="false" outlineLevel="0" collapsed="false">
      <c r="A110" s="20" t="n">
        <v>29</v>
      </c>
      <c r="B110" s="21" t="n">
        <v>43574</v>
      </c>
      <c r="C110" s="22" t="n">
        <v>22186</v>
      </c>
      <c r="D110" s="22" t="n">
        <f aca="false">Table134[[#This Row],[Steps]]-C109</f>
        <v>4002</v>
      </c>
      <c r="E110" s="23" t="n">
        <v>857.8</v>
      </c>
      <c r="F110" s="23" t="n">
        <f aca="false">Table134[[#This Row],[Colories]]-E109</f>
        <v>151.5</v>
      </c>
      <c r="G110" s="6" t="n">
        <v>15.97</v>
      </c>
      <c r="H110" s="24" t="n">
        <f aca="false">Table134[[#This Row],[Distance]]-G109</f>
        <v>2.88</v>
      </c>
      <c r="I110" s="22" t="n">
        <v>201</v>
      </c>
      <c r="J110" s="25" t="n">
        <f aca="false">Table134[[#This Row],[Time]]-I109</f>
        <v>33</v>
      </c>
    </row>
    <row r="111" customFormat="false" ht="13.8" hidden="false" customHeight="false" outlineLevel="0" collapsed="false">
      <c r="A111" s="20" t="n">
        <v>30</v>
      </c>
      <c r="B111" s="21" t="n">
        <v>43575</v>
      </c>
      <c r="C111" s="22" t="n">
        <v>12685</v>
      </c>
      <c r="D111" s="22" t="n">
        <f aca="false">Table134[[#This Row],[Steps]]-C110</f>
        <v>-9501</v>
      </c>
      <c r="E111" s="23" t="n">
        <v>207.1</v>
      </c>
      <c r="F111" s="23" t="n">
        <f aca="false">Table134[[#This Row],[Colories]]-E110</f>
        <v>-650.7</v>
      </c>
      <c r="G111" s="6" t="n">
        <v>9.13</v>
      </c>
      <c r="H111" s="24" t="n">
        <f aca="false">Table134[[#This Row],[Distance]]-G110</f>
        <v>-6.84</v>
      </c>
      <c r="I111" s="22" t="n">
        <v>128</v>
      </c>
      <c r="J111" s="25" t="n">
        <f aca="false">Table134[[#This Row],[Time]]-I110</f>
        <v>-73</v>
      </c>
    </row>
    <row r="112" customFormat="false" ht="13.8" hidden="false" customHeight="false" outlineLevel="0" collapsed="false">
      <c r="A112" s="20" t="n">
        <v>31</v>
      </c>
      <c r="B112" s="21" t="n">
        <v>43576</v>
      </c>
      <c r="C112" s="22" t="n">
        <v>2668</v>
      </c>
      <c r="D112" s="22" t="n">
        <f aca="false">Table134[[#This Row],[Steps]]-C111</f>
        <v>-10017</v>
      </c>
      <c r="E112" s="23" t="n">
        <v>107.2</v>
      </c>
      <c r="F112" s="23" t="n">
        <f aca="false">Table134[[#This Row],[Colories]]-E111</f>
        <v>-99.9</v>
      </c>
      <c r="G112" s="6" t="n">
        <v>1.92</v>
      </c>
      <c r="H112" s="24" t="n">
        <f aca="false">Table134[[#This Row],[Distance]]-G111</f>
        <v>-7.21</v>
      </c>
      <c r="I112" s="22" t="n">
        <v>27</v>
      </c>
      <c r="J112" s="25" t="n">
        <f aca="false">Table134[[#This Row],[Time]]-I111</f>
        <v>-101</v>
      </c>
    </row>
    <row r="113" customFormat="false" ht="13.8" hidden="false" customHeight="false" outlineLevel="0" collapsed="false">
      <c r="A113" s="20" t="n">
        <v>1</v>
      </c>
      <c r="B113" s="21" t="n">
        <v>43577</v>
      </c>
      <c r="C113" s="22" t="n">
        <v>7921</v>
      </c>
      <c r="D113" s="22" t="n">
        <f aca="false">Table134[[#This Row],[Steps]]-C112</f>
        <v>5253</v>
      </c>
      <c r="E113" s="23" t="n">
        <v>305.3</v>
      </c>
      <c r="F113" s="23" t="n">
        <f aca="false">Table134[[#This Row],[Colories]]-E112</f>
        <v>198.1</v>
      </c>
      <c r="G113" s="6" t="n">
        <v>5.7</v>
      </c>
      <c r="H113" s="24" t="n">
        <f aca="false">Table134[[#This Row],[Distance]]-G112</f>
        <v>3.78</v>
      </c>
      <c r="I113" s="22" t="n">
        <v>70</v>
      </c>
      <c r="J113" s="25" t="n">
        <f aca="false">Table134[[#This Row],[Time]]-I112</f>
        <v>43</v>
      </c>
    </row>
    <row r="114" customFormat="false" ht="13.8" hidden="false" customHeight="false" outlineLevel="0" collapsed="false">
      <c r="A114" s="20" t="n">
        <v>2</v>
      </c>
      <c r="B114" s="21" t="n">
        <v>43578</v>
      </c>
      <c r="C114" s="22" t="n">
        <v>14864</v>
      </c>
      <c r="D114" s="22" t="n">
        <f aca="false">Table134[[#This Row],[Steps]]-C113</f>
        <v>6943</v>
      </c>
      <c r="E114" s="23" t="n">
        <v>577.9</v>
      </c>
      <c r="F114" s="23" t="n">
        <f aca="false">Table134[[#This Row],[Colories]]-E113</f>
        <v>272.6</v>
      </c>
      <c r="G114" s="6" t="n">
        <v>10.7</v>
      </c>
      <c r="H114" s="24" t="n">
        <f aca="false">Table134[[#This Row],[Distance]]-G113</f>
        <v>5</v>
      </c>
      <c r="I114" s="22" t="n">
        <v>137</v>
      </c>
      <c r="J114" s="25" t="n">
        <f aca="false">Table134[[#This Row],[Time]]-I113</f>
        <v>67</v>
      </c>
    </row>
    <row r="115" customFormat="false" ht="13.8" hidden="false" customHeight="false" outlineLevel="0" collapsed="false">
      <c r="A115" s="20" t="n">
        <v>3</v>
      </c>
      <c r="B115" s="21" t="n">
        <v>43579</v>
      </c>
      <c r="C115" s="22" t="n">
        <v>9897</v>
      </c>
      <c r="D115" s="22" t="n">
        <f aca="false">Table134[[#This Row],[Steps]]-C114</f>
        <v>-4967</v>
      </c>
      <c r="E115" s="23" t="n">
        <v>382.3</v>
      </c>
      <c r="F115" s="23" t="n">
        <f aca="false">Table134[[#This Row],[Colories]]-E114</f>
        <v>-195.6</v>
      </c>
      <c r="G115" s="6" t="n">
        <v>7.13</v>
      </c>
      <c r="H115" s="24" t="n">
        <f aca="false">Table134[[#This Row],[Distance]]-G114</f>
        <v>-3.57</v>
      </c>
      <c r="I115" s="22" t="n">
        <v>88</v>
      </c>
      <c r="J115" s="25" t="n">
        <f aca="false">Table134[[#This Row],[Time]]-I114</f>
        <v>-49</v>
      </c>
    </row>
    <row r="116" customFormat="false" ht="13.8" hidden="false" customHeight="false" outlineLevel="0" collapsed="false">
      <c r="A116" s="20" t="n">
        <v>4</v>
      </c>
      <c r="B116" s="21" t="n">
        <v>43580</v>
      </c>
      <c r="C116" s="22" t="n">
        <v>14933</v>
      </c>
      <c r="D116" s="22" t="n">
        <f aca="false">Table134[[#This Row],[Steps]]-C115</f>
        <v>5036</v>
      </c>
      <c r="E116" s="23" t="n">
        <v>575.7</v>
      </c>
      <c r="F116" s="23" t="n">
        <f aca="false">Table134[[#This Row],[Colories]]-E115</f>
        <v>193.4</v>
      </c>
      <c r="G116" s="6" t="n">
        <v>10.75</v>
      </c>
      <c r="H116" s="24" t="n">
        <f aca="false">Table134[[#This Row],[Distance]]-G115</f>
        <v>3.62</v>
      </c>
      <c r="I116" s="22" t="n">
        <v>134</v>
      </c>
      <c r="J116" s="25" t="n">
        <f aca="false">Table134[[#This Row],[Time]]-I115</f>
        <v>46</v>
      </c>
    </row>
    <row r="117" customFormat="false" ht="13.8" hidden="false" customHeight="false" outlineLevel="0" collapsed="false">
      <c r="A117" s="20" t="n">
        <v>5</v>
      </c>
      <c r="B117" s="21" t="n">
        <v>43581</v>
      </c>
      <c r="C117" s="22" t="n">
        <v>8543</v>
      </c>
      <c r="D117" s="22" t="n">
        <f aca="false">Table134[[#This Row],[Steps]]-C116</f>
        <v>-6390</v>
      </c>
      <c r="E117" s="23" t="n">
        <v>329.5</v>
      </c>
      <c r="F117" s="23" t="n">
        <f aca="false">Table134[[#This Row],[Colories]]-E116</f>
        <v>-246.2</v>
      </c>
      <c r="G117" s="6" t="n">
        <v>6.15</v>
      </c>
      <c r="H117" s="24" t="n">
        <f aca="false">Table134[[#This Row],[Distance]]-G116</f>
        <v>-4.6</v>
      </c>
      <c r="I117" s="22" t="n">
        <v>76</v>
      </c>
      <c r="J117" s="25" t="n">
        <f aca="false">Table134[[#This Row],[Time]]-I116</f>
        <v>-58</v>
      </c>
    </row>
    <row r="118" customFormat="false" ht="13.8" hidden="false" customHeight="false" outlineLevel="0" collapsed="false">
      <c r="A118" s="20" t="n">
        <v>6</v>
      </c>
      <c r="B118" s="21" t="n">
        <v>43582</v>
      </c>
      <c r="C118" s="22" t="n">
        <v>14501</v>
      </c>
      <c r="D118" s="22" t="n">
        <f aca="false">Table134[[#This Row],[Steps]]-C117</f>
        <v>5958</v>
      </c>
      <c r="E118" s="23" t="n">
        <v>573.1</v>
      </c>
      <c r="F118" s="23" t="n">
        <f aca="false">Table134[[#This Row],[Colories]]-E117</f>
        <v>243.6</v>
      </c>
      <c r="G118" s="6" t="n">
        <v>10.44</v>
      </c>
      <c r="H118" s="24" t="n">
        <f aca="false">Table134[[#This Row],[Distance]]-G117</f>
        <v>4.29</v>
      </c>
      <c r="I118" s="22" t="n">
        <v>143</v>
      </c>
      <c r="J118" s="25" t="n">
        <f aca="false">Table134[[#This Row],[Time]]-I117</f>
        <v>67</v>
      </c>
    </row>
    <row r="119" customFormat="false" ht="13.8" hidden="false" customHeight="false" outlineLevel="0" collapsed="false">
      <c r="A119" s="20" t="n">
        <v>7</v>
      </c>
      <c r="B119" s="21" t="n">
        <v>43583</v>
      </c>
      <c r="C119" s="22" t="n">
        <v>0</v>
      </c>
      <c r="D119" s="22" t="n">
        <f aca="false">Table134[[#This Row],[Steps]]-C118</f>
        <v>-14501</v>
      </c>
      <c r="E119" s="23" t="n">
        <v>0</v>
      </c>
      <c r="F119" s="23" t="n">
        <f aca="false">Table134[[#This Row],[Colories]]-E118</f>
        <v>-573.1</v>
      </c>
      <c r="G119" s="6" t="n">
        <v>0</v>
      </c>
      <c r="H119" s="24" t="n">
        <f aca="false">Table134[[#This Row],[Distance]]-G118</f>
        <v>-10.44</v>
      </c>
      <c r="I119" s="22" t="n">
        <v>0</v>
      </c>
      <c r="J119" s="25" t="n">
        <f aca="false">Table134[[#This Row],[Time]]-I118</f>
        <v>-143</v>
      </c>
    </row>
    <row r="120" customFormat="false" ht="13.8" hidden="false" customHeight="false" outlineLevel="0" collapsed="false">
      <c r="A120" s="20" t="n">
        <v>8</v>
      </c>
      <c r="B120" s="21" t="n">
        <v>43584</v>
      </c>
      <c r="C120" s="22" t="n">
        <v>6707</v>
      </c>
      <c r="D120" s="22" t="n">
        <f aca="false">Table134[[#This Row],[Steps]]-C119</f>
        <v>6707</v>
      </c>
      <c r="E120" s="23" t="n">
        <v>262.6</v>
      </c>
      <c r="F120" s="23" t="n">
        <f aca="false">Table134[[#This Row],[Colories]]-E119</f>
        <v>262.6</v>
      </c>
      <c r="G120" s="6" t="n">
        <v>4.83</v>
      </c>
      <c r="H120" s="24" t="n">
        <f aca="false">Table134[[#This Row],[Distance]]-G119</f>
        <v>4.83</v>
      </c>
      <c r="I120" s="22" t="n">
        <v>64</v>
      </c>
      <c r="J120" s="25" t="n">
        <f aca="false">Table134[[#This Row],[Time]]-I119</f>
        <v>64</v>
      </c>
    </row>
    <row r="121" customFormat="false" ht="13.8" hidden="false" customHeight="false" outlineLevel="0" collapsed="false">
      <c r="A121" s="20" t="n">
        <v>9</v>
      </c>
      <c r="B121" s="21" t="n">
        <v>43585</v>
      </c>
      <c r="C121" s="22" t="n">
        <v>11863</v>
      </c>
      <c r="D121" s="22" t="n">
        <f aca="false">Table134[[#This Row],[Steps]]-C120</f>
        <v>5156</v>
      </c>
      <c r="E121" s="23" t="n">
        <v>462.6</v>
      </c>
      <c r="F121" s="23" t="n">
        <f aca="false">Table134[[#This Row],[Colories]]-E120</f>
        <v>200</v>
      </c>
      <c r="G121" s="6" t="n">
        <v>8.54</v>
      </c>
      <c r="H121" s="24" t="n">
        <f aca="false">Table134[[#This Row],[Distance]]-G120</f>
        <v>3.71</v>
      </c>
      <c r="I121" s="22" t="n">
        <v>110</v>
      </c>
      <c r="J121" s="25" t="n">
        <f aca="false">Table134[[#This Row],[Time]]-I120</f>
        <v>46</v>
      </c>
    </row>
    <row r="122" customFormat="false" ht="13.8" hidden="false" customHeight="false" outlineLevel="0" collapsed="false">
      <c r="A122" s="20" t="n">
        <v>10</v>
      </c>
      <c r="B122" s="21" t="n">
        <v>43586</v>
      </c>
      <c r="C122" s="22" t="n">
        <v>22400</v>
      </c>
      <c r="D122" s="22" t="n">
        <f aca="false">Table134[[#This Row],[Steps]]-C121</f>
        <v>10537</v>
      </c>
      <c r="E122" s="23" t="n">
        <v>903.3</v>
      </c>
      <c r="F122" s="23" t="n">
        <f aca="false">Table134[[#This Row],[Colories]]-E121</f>
        <v>440.7</v>
      </c>
      <c r="G122" s="6" t="n">
        <v>16.13</v>
      </c>
      <c r="H122" s="24" t="n">
        <f aca="false">Table134[[#This Row],[Distance]]-G121</f>
        <v>7.59</v>
      </c>
      <c r="I122" s="22" t="n">
        <v>232</v>
      </c>
      <c r="J122" s="25" t="n">
        <f aca="false">Table134[[#This Row],[Time]]-I121</f>
        <v>122</v>
      </c>
      <c r="M122" s="1" t="s">
        <v>2</v>
      </c>
      <c r="N122" s="1" t="s">
        <v>179</v>
      </c>
      <c r="O122" s="1" t="s">
        <v>175</v>
      </c>
      <c r="P122" s="1" t="s">
        <v>177</v>
      </c>
    </row>
    <row r="123" customFormat="false" ht="13.8" hidden="false" customHeight="false" outlineLevel="0" collapsed="false">
      <c r="A123" s="20" t="n">
        <v>11</v>
      </c>
      <c r="B123" s="21" t="n">
        <v>43587</v>
      </c>
      <c r="C123" s="22" t="n">
        <v>8219</v>
      </c>
      <c r="D123" s="22" t="n">
        <f aca="false">Table134[[#This Row],[Steps]]-C122</f>
        <v>-14181</v>
      </c>
      <c r="E123" s="23" t="n">
        <v>318.7</v>
      </c>
      <c r="F123" s="23" t="n">
        <f aca="false">Table134[[#This Row],[Colories]]-E122</f>
        <v>-584.6</v>
      </c>
      <c r="G123" s="6" t="n">
        <v>5.92</v>
      </c>
      <c r="H123" s="24" t="n">
        <f aca="false">Table134[[#This Row],[Distance]]-G122</f>
        <v>-10.21</v>
      </c>
      <c r="I123" s="22" t="n">
        <v>73</v>
      </c>
      <c r="J123" s="25" t="n">
        <f aca="false">Table134[[#This Row],[Time]]-I122</f>
        <v>-159</v>
      </c>
      <c r="L123" s="1" t="s">
        <v>8</v>
      </c>
      <c r="M123" s="1" t="n">
        <f aca="false">AVERAGE($C$122:$C$152)</f>
        <v>12989.8709677419</v>
      </c>
      <c r="N123" s="1" t="n">
        <f aca="false">AVERAGE($E$122:$E$152)</f>
        <v>534.61935483871</v>
      </c>
      <c r="O123" s="1" t="n">
        <f aca="false">AVERAGE($G$122:$G$152)</f>
        <v>9.35645161290323</v>
      </c>
      <c r="P123" s="1" t="n">
        <f aca="false">AVERAGE($I$122:$I$152)</f>
        <v>129.129032258065</v>
      </c>
    </row>
    <row r="124" customFormat="false" ht="13.8" hidden="false" customHeight="false" outlineLevel="0" collapsed="false">
      <c r="A124" s="20" t="n">
        <v>12</v>
      </c>
      <c r="B124" s="21" t="n">
        <v>43588</v>
      </c>
      <c r="C124" s="22" t="n">
        <v>11979</v>
      </c>
      <c r="D124" s="22" t="n">
        <f aca="false">Table134[[#This Row],[Steps]]-C123</f>
        <v>3760</v>
      </c>
      <c r="E124" s="23" t="n">
        <v>473.6</v>
      </c>
      <c r="F124" s="23" t="n">
        <f aca="false">Table134[[#This Row],[Colories]]-E123</f>
        <v>154.9</v>
      </c>
      <c r="G124" s="6" t="n">
        <v>8.62</v>
      </c>
      <c r="H124" s="24" t="n">
        <f aca="false">Table134[[#This Row],[Distance]]-G123</f>
        <v>2.7</v>
      </c>
      <c r="I124" s="22" t="n">
        <v>116</v>
      </c>
      <c r="J124" s="25" t="n">
        <f aca="false">Table134[[#This Row],[Time]]-I123</f>
        <v>43</v>
      </c>
      <c r="L124" s="1" t="s">
        <v>10</v>
      </c>
      <c r="M124" s="1" t="n">
        <f aca="false">SQRT(VAR($C$122:$C$152)/COUNT($C$122:$C$152))</f>
        <v>1084.8277369241</v>
      </c>
      <c r="N124" s="1" t="n">
        <f aca="false">SQRT(VAR($E$122:$E$152)/COUNT($E$122:$E$152))</f>
        <v>44.8960101729373</v>
      </c>
      <c r="O124" s="1" t="n">
        <f aca="false">SQRT(VAR($G$122:$G$152)/COUNT($G$122:$G$152))</f>
        <v>0.780625135262552</v>
      </c>
      <c r="P124" s="1" t="n">
        <f aca="false">SQRT(VAR($I$122:$I$152)/COUNT($I$122:$I$152))</f>
        <v>11.0917718157107</v>
      </c>
    </row>
    <row r="125" customFormat="false" ht="13.8" hidden="false" customHeight="false" outlineLevel="0" collapsed="false">
      <c r="A125" s="20" t="n">
        <v>13</v>
      </c>
      <c r="B125" s="21" t="n">
        <v>43589</v>
      </c>
      <c r="C125" s="22" t="n">
        <v>12536</v>
      </c>
      <c r="D125" s="22" t="n">
        <f aca="false">Table134[[#This Row],[Steps]]-C124</f>
        <v>557</v>
      </c>
      <c r="E125" s="23" t="n">
        <v>498.4</v>
      </c>
      <c r="F125" s="23" t="n">
        <f aca="false">Table134[[#This Row],[Colories]]-E124</f>
        <v>24.8</v>
      </c>
      <c r="G125" s="6" t="n">
        <v>9.03</v>
      </c>
      <c r="H125" s="24" t="n">
        <f aca="false">Table134[[#This Row],[Distance]]-G124</f>
        <v>0.41</v>
      </c>
      <c r="I125" s="22" t="n">
        <v>125</v>
      </c>
      <c r="J125" s="25" t="n">
        <f aca="false">Table134[[#This Row],[Time]]-I124</f>
        <v>9</v>
      </c>
      <c r="L125" s="1" t="s">
        <v>14</v>
      </c>
      <c r="M125" s="1" t="e">
        <f aca="false">MODE($C$122:$C$152)</f>
        <v>#VALUE!</v>
      </c>
      <c r="N125" s="1" t="e">
        <f aca="false">MODE($E$122:$E$152)</f>
        <v>#VALUE!</v>
      </c>
      <c r="O125" s="1" t="e">
        <f aca="false">MODE($G$122:$G$152)</f>
        <v>#VALUE!</v>
      </c>
      <c r="P125" s="1" t="n">
        <f aca="false">MODE($I$122:$I$152)</f>
        <v>73</v>
      </c>
    </row>
    <row r="126" customFormat="false" ht="13.8" hidden="false" customHeight="false" outlineLevel="0" collapsed="false">
      <c r="A126" s="20" t="n">
        <v>14</v>
      </c>
      <c r="B126" s="21" t="n">
        <v>43590</v>
      </c>
      <c r="C126" s="22" t="n">
        <v>15693</v>
      </c>
      <c r="D126" s="22" t="n">
        <f aca="false">Table134[[#This Row],[Steps]]-C125</f>
        <v>3157</v>
      </c>
      <c r="E126" s="23" t="n">
        <v>618.3</v>
      </c>
      <c r="F126" s="23" t="n">
        <f aca="false">Table134[[#This Row],[Colories]]-E125</f>
        <v>119.9</v>
      </c>
      <c r="G126" s="6" t="n">
        <v>11.3</v>
      </c>
      <c r="H126" s="24" t="n">
        <f aca="false">Table134[[#This Row],[Distance]]-G125</f>
        <v>2.27</v>
      </c>
      <c r="I126" s="22" t="n">
        <v>153</v>
      </c>
      <c r="J126" s="25" t="n">
        <f aca="false">Table134[[#This Row],[Time]]-I125</f>
        <v>28</v>
      </c>
      <c r="L126" s="1" t="s">
        <v>12</v>
      </c>
      <c r="M126" s="1" t="n">
        <f aca="false">MEDIAN($C$122:$C$152)</f>
        <v>11927</v>
      </c>
      <c r="N126" s="1" t="n">
        <f aca="false">MEDIAN($E$122:$E$152)</f>
        <v>473.6</v>
      </c>
      <c r="O126" s="1" t="n">
        <f aca="false">MEDIAN($G$122:$G$152)</f>
        <v>8.59</v>
      </c>
      <c r="P126" s="1" t="n">
        <f aca="false">MEDIAN($I$122:$I$152)</f>
        <v>115</v>
      </c>
    </row>
    <row r="127" customFormat="false" ht="13.8" hidden="false" customHeight="false" outlineLevel="0" collapsed="false">
      <c r="A127" s="20" t="n">
        <v>15</v>
      </c>
      <c r="B127" s="21" t="n">
        <v>43591</v>
      </c>
      <c r="C127" s="22" t="n">
        <v>3255</v>
      </c>
      <c r="D127" s="22" t="n">
        <f aca="false">Table134[[#This Row],[Steps]]-C126</f>
        <v>-12438</v>
      </c>
      <c r="E127" s="23" t="n">
        <v>130.9</v>
      </c>
      <c r="F127" s="23" t="n">
        <f aca="false">Table134[[#This Row],[Colories]]-E126</f>
        <v>-487.4</v>
      </c>
      <c r="G127" s="6" t="n">
        <v>2.34</v>
      </c>
      <c r="H127" s="24" t="n">
        <f aca="false">Table134[[#This Row],[Distance]]-G126</f>
        <v>-8.96</v>
      </c>
      <c r="I127" s="22" t="n">
        <v>33</v>
      </c>
      <c r="J127" s="25" t="n">
        <f aca="false">Table134[[#This Row],[Time]]-I126</f>
        <v>-120</v>
      </c>
      <c r="L127" s="1" t="s">
        <v>180</v>
      </c>
      <c r="M127" s="1" t="n">
        <f aca="false">QUARTILE($C$122:$C$152, 1)</f>
        <v>9305.5</v>
      </c>
      <c r="N127" s="1" t="n">
        <f aca="false">QUARTILE($E$122:$E$152, 1)</f>
        <v>403.4</v>
      </c>
      <c r="O127" s="1" t="n">
        <f aca="false">QUARTILE($G$122:$G$152, 1)</f>
        <v>6.7</v>
      </c>
      <c r="P127" s="1" t="n">
        <f aca="false">QUARTILE($I$122:$I$152, 1)</f>
        <v>94.5</v>
      </c>
    </row>
    <row r="128" customFormat="false" ht="13.8" hidden="false" customHeight="false" outlineLevel="0" collapsed="false">
      <c r="A128" s="20" t="n">
        <v>16</v>
      </c>
      <c r="B128" s="21" t="n">
        <v>43592</v>
      </c>
      <c r="C128" s="22" t="n">
        <v>11927</v>
      </c>
      <c r="D128" s="22" t="n">
        <f aca="false">Table134[[#This Row],[Steps]]-C127</f>
        <v>8672</v>
      </c>
      <c r="E128" s="23" t="n">
        <v>458.6</v>
      </c>
      <c r="F128" s="23" t="n">
        <f aca="false">Table134[[#This Row],[Colories]]-E127</f>
        <v>327.7</v>
      </c>
      <c r="G128" s="6" t="n">
        <v>8.59</v>
      </c>
      <c r="H128" s="24" t="n">
        <f aca="false">Table134[[#This Row],[Distance]]-G127</f>
        <v>6.25</v>
      </c>
      <c r="I128" s="22" t="n">
        <v>105</v>
      </c>
      <c r="J128" s="25" t="n">
        <f aca="false">Table134[[#This Row],[Time]]-I127</f>
        <v>72</v>
      </c>
      <c r="L128" s="1" t="s">
        <v>181</v>
      </c>
      <c r="M128" s="1" t="n">
        <f aca="false">QUARTILE($C$122:$C$152, 3)</f>
        <v>15551</v>
      </c>
      <c r="N128" s="1" t="n">
        <f aca="false">QUARTILE($E$122:$E$152, 3)</f>
        <v>629.05</v>
      </c>
      <c r="O128" s="1" t="n">
        <f aca="false">QUARTILE($G$122:$G$152, 3)</f>
        <v>11.195</v>
      </c>
      <c r="P128" s="1" t="n">
        <f aca="false">QUARTILE($I$122:$I$152, 3)</f>
        <v>147.5</v>
      </c>
    </row>
    <row r="129" customFormat="false" ht="13.8" hidden="false" customHeight="false" outlineLevel="0" collapsed="false">
      <c r="A129" s="20" t="n">
        <v>17</v>
      </c>
      <c r="B129" s="21" t="n">
        <v>43593</v>
      </c>
      <c r="C129" s="22" t="n">
        <v>12098</v>
      </c>
      <c r="D129" s="22" t="n">
        <f aca="false">Table134[[#This Row],[Steps]]-C128</f>
        <v>171</v>
      </c>
      <c r="E129" s="23" t="n">
        <v>466.2</v>
      </c>
      <c r="F129" s="23" t="n">
        <f aca="false">Table134[[#This Row],[Colories]]-E128</f>
        <v>7.59999999999997</v>
      </c>
      <c r="G129" s="6" t="n">
        <v>8.71</v>
      </c>
      <c r="H129" s="24" t="n">
        <f aca="false">Table134[[#This Row],[Distance]]-G128</f>
        <v>0.120000000000001</v>
      </c>
      <c r="I129" s="22" t="n">
        <v>108</v>
      </c>
      <c r="J129" s="25" t="n">
        <f aca="false">Table134[[#This Row],[Time]]-I128</f>
        <v>3</v>
      </c>
      <c r="L129" s="1" t="s">
        <v>182</v>
      </c>
      <c r="M129" s="1" t="n">
        <f aca="false">VAR($C$122:$C$152)</f>
        <v>36482387.7827957</v>
      </c>
      <c r="N129" s="1" t="n">
        <f aca="false">VAR($E$122:$E$152)</f>
        <v>62485.2036129032</v>
      </c>
      <c r="O129" s="1" t="n">
        <f aca="false">VAR($G$122:$G$152)</f>
        <v>18.890643655914</v>
      </c>
      <c r="P129" s="1" t="n">
        <f aca="false">VAR($I$122:$I$152)</f>
        <v>3813.84946236559</v>
      </c>
    </row>
    <row r="130" customFormat="false" ht="13.8" hidden="false" customHeight="false" outlineLevel="0" collapsed="false">
      <c r="A130" s="20" t="n">
        <v>18</v>
      </c>
      <c r="B130" s="21" t="n">
        <v>43594</v>
      </c>
      <c r="C130" s="22" t="n">
        <v>14400</v>
      </c>
      <c r="D130" s="22" t="n">
        <f aca="false">Table134[[#This Row],[Steps]]-C129</f>
        <v>2302</v>
      </c>
      <c r="E130" s="23" t="n">
        <v>592.1</v>
      </c>
      <c r="F130" s="23" t="n">
        <f aca="false">Table134[[#This Row],[Colories]]-E129</f>
        <v>125.9</v>
      </c>
      <c r="G130" s="6" t="n">
        <v>10.37</v>
      </c>
      <c r="H130" s="24" t="n">
        <f aca="false">Table134[[#This Row],[Distance]]-G129</f>
        <v>1.66</v>
      </c>
      <c r="I130" s="22" t="n">
        <v>138</v>
      </c>
      <c r="J130" s="25" t="n">
        <f aca="false">Table134[[#This Row],[Time]]-I129</f>
        <v>30</v>
      </c>
      <c r="L130" s="1" t="s">
        <v>16</v>
      </c>
      <c r="M130" s="1" t="n">
        <f aca="false">STDEV($C$122:$C$152)</f>
        <v>6040.06521345554</v>
      </c>
      <c r="N130" s="1" t="n">
        <f aca="false">STDEV($E$122:$E$152)</f>
        <v>249.970405474135</v>
      </c>
      <c r="O130" s="1" t="n">
        <f aca="false">STDEV($G$122:$G$152)</f>
        <v>4.3463368088442</v>
      </c>
      <c r="P130" s="1" t="n">
        <f aca="false">STDEV($I$122:$I$152)</f>
        <v>61.7563718361562</v>
      </c>
    </row>
    <row r="131" customFormat="false" ht="13.8" hidden="false" customHeight="false" outlineLevel="0" collapsed="false">
      <c r="A131" s="20" t="n">
        <v>19</v>
      </c>
      <c r="B131" s="21" t="n">
        <v>43595</v>
      </c>
      <c r="C131" s="22" t="n">
        <v>14817</v>
      </c>
      <c r="D131" s="22" t="n">
        <f aca="false">Table134[[#This Row],[Steps]]-C130</f>
        <v>417</v>
      </c>
      <c r="E131" s="23" t="n">
        <v>613.9</v>
      </c>
      <c r="F131" s="23" t="n">
        <f aca="false">Table134[[#This Row],[Colories]]-E130</f>
        <v>21.8</v>
      </c>
      <c r="G131" s="6" t="n">
        <v>10.67</v>
      </c>
      <c r="H131" s="24" t="n">
        <f aca="false">Table134[[#This Row],[Distance]]-G130</f>
        <v>0.300000000000001</v>
      </c>
      <c r="I131" s="22" t="n">
        <v>143</v>
      </c>
      <c r="J131" s="25" t="n">
        <f aca="false">Table134[[#This Row],[Time]]-I130</f>
        <v>5</v>
      </c>
      <c r="L131" s="1" t="s">
        <v>20</v>
      </c>
      <c r="M131" s="1" t="n">
        <f aca="false">KURT($C$122:$C$152)</f>
        <v>2.36434216145188</v>
      </c>
      <c r="N131" s="1" t="n">
        <f aca="false">KURT($E$122:$E$152)</f>
        <v>2.93781968613182</v>
      </c>
      <c r="O131" s="1" t="n">
        <f aca="false">KURT($G$122:$G$152)</f>
        <v>2.37333961872238</v>
      </c>
      <c r="P131" s="1" t="n">
        <f aca="false">KURT($I$122:$I$152)</f>
        <v>3.18327502071965</v>
      </c>
    </row>
    <row r="132" customFormat="false" ht="13.8" hidden="false" customHeight="false" outlineLevel="0" collapsed="false">
      <c r="A132" s="20" t="n">
        <v>20</v>
      </c>
      <c r="B132" s="21" t="n">
        <v>43596</v>
      </c>
      <c r="C132" s="22" t="n">
        <v>6337</v>
      </c>
      <c r="D132" s="22" t="n">
        <f aca="false">Table134[[#This Row],[Steps]]-C131</f>
        <v>-8480</v>
      </c>
      <c r="E132" s="23" t="n">
        <v>280.6</v>
      </c>
      <c r="F132" s="23" t="n">
        <f aca="false">Table134[[#This Row],[Colories]]-E131</f>
        <v>-333.3</v>
      </c>
      <c r="G132" s="6" t="n">
        <v>4.56</v>
      </c>
      <c r="H132" s="24" t="n">
        <f aca="false">Table134[[#This Row],[Distance]]-G131</f>
        <v>-6.11</v>
      </c>
      <c r="I132" s="22" t="n">
        <v>73</v>
      </c>
      <c r="J132" s="25" t="n">
        <f aca="false">Table134[[#This Row],[Time]]-I131</f>
        <v>-70</v>
      </c>
      <c r="L132" s="1" t="s">
        <v>22</v>
      </c>
      <c r="M132" s="1" t="n">
        <f aca="false">SKEW($C$122:$C$152)</f>
        <v>1.05425784774959</v>
      </c>
      <c r="N132" s="1" t="n">
        <f aca="false">SKEW($E$122:$E$152)</f>
        <v>1.18656953254263</v>
      </c>
      <c r="O132" s="1" t="n">
        <f aca="false">SKEW($G$122:$G$152)</f>
        <v>1.05460043698252</v>
      </c>
      <c r="P132" s="1" t="n">
        <f aca="false">SKEW($I$122:$I$152)</f>
        <v>1.28599096561238</v>
      </c>
    </row>
    <row r="133" customFormat="false" ht="13.8" hidden="false" customHeight="false" outlineLevel="0" collapsed="false">
      <c r="A133" s="20" t="n">
        <v>21</v>
      </c>
      <c r="B133" s="21" t="n">
        <v>43597</v>
      </c>
      <c r="C133" s="22" t="n">
        <v>8238</v>
      </c>
      <c r="D133" s="22" t="n">
        <f aca="false">Table134[[#This Row],[Steps]]-C132</f>
        <v>1901</v>
      </c>
      <c r="E133" s="23" t="n">
        <v>369.4</v>
      </c>
      <c r="F133" s="23" t="n">
        <f aca="false">Table134[[#This Row],[Colories]]-E132</f>
        <v>88.8</v>
      </c>
      <c r="G133" s="6" t="n">
        <v>6.04</v>
      </c>
      <c r="H133" s="24" t="n">
        <f aca="false">Table134[[#This Row],[Distance]]-G132</f>
        <v>1.48</v>
      </c>
      <c r="I133" s="22" t="n">
        <v>95</v>
      </c>
      <c r="J133" s="25" t="n">
        <f aca="false">Table134[[#This Row],[Time]]-I132</f>
        <v>22</v>
      </c>
      <c r="L133" s="1" t="s">
        <v>24</v>
      </c>
      <c r="M133" s="1" t="n">
        <f aca="false">MAX($C$122:$C$152)-MIN($C$122:$C$152)</f>
        <v>30273</v>
      </c>
      <c r="N133" s="1" t="n">
        <f aca="false">MAX($E$122:$E$152)-MIN($E$122:$E$152)</f>
        <v>1280.3</v>
      </c>
      <c r="O133" s="1" t="n">
        <f aca="false">MAX($G$122:$G$152)-MIN($G$122:$G$152)</f>
        <v>21.8</v>
      </c>
      <c r="P133" s="1" t="n">
        <f aca="false">MAX($I$122:$I$152)-MIN($I$122:$I$152)</f>
        <v>318</v>
      </c>
    </row>
    <row r="134" customFormat="false" ht="13.8" hidden="false" customHeight="false" outlineLevel="0" collapsed="false">
      <c r="A134" s="20" t="n">
        <v>22</v>
      </c>
      <c r="B134" s="21" t="n">
        <v>43598</v>
      </c>
      <c r="C134" s="22" t="n">
        <v>9716</v>
      </c>
      <c r="D134" s="22" t="n">
        <f aca="false">Table134[[#This Row],[Steps]]-C133</f>
        <v>1478</v>
      </c>
      <c r="E134" s="23" t="n">
        <v>400.7</v>
      </c>
      <c r="F134" s="23" t="n">
        <f aca="false">Table134[[#This Row],[Colories]]-E133</f>
        <v>31.3</v>
      </c>
      <c r="G134" s="6" t="n">
        <v>7</v>
      </c>
      <c r="H134" s="24" t="n">
        <f aca="false">Table134[[#This Row],[Distance]]-G133</f>
        <v>0.96</v>
      </c>
      <c r="I134" s="22" t="n">
        <v>94</v>
      </c>
      <c r="J134" s="25" t="n">
        <f aca="false">Table134[[#This Row],[Time]]-I133</f>
        <v>-1</v>
      </c>
      <c r="L134" s="1" t="s">
        <v>26</v>
      </c>
      <c r="M134" s="1" t="n">
        <f aca="false">MIN($C$122:$C$152)</f>
        <v>1851</v>
      </c>
      <c r="N134" s="1" t="n">
        <f aca="false">MIN($E$122:$E$152)</f>
        <v>76</v>
      </c>
      <c r="O134" s="1" t="n">
        <f aca="false">MIN($G$122:$G$152)</f>
        <v>1.33</v>
      </c>
      <c r="P134" s="1" t="n">
        <f aca="false">MIN($I$122:$I$152)</f>
        <v>17</v>
      </c>
    </row>
    <row r="135" customFormat="false" ht="13.8" hidden="false" customHeight="false" outlineLevel="0" collapsed="false">
      <c r="A135" s="20" t="n">
        <v>23</v>
      </c>
      <c r="B135" s="21" t="n">
        <v>43599</v>
      </c>
      <c r="C135" s="22" t="n">
        <v>22810</v>
      </c>
      <c r="D135" s="22" t="n">
        <f aca="false">Table134[[#This Row],[Steps]]-C134</f>
        <v>13094</v>
      </c>
      <c r="E135" s="23" t="n">
        <v>939.7</v>
      </c>
      <c r="F135" s="23" t="n">
        <f aca="false">Table134[[#This Row],[Colories]]-E134</f>
        <v>539</v>
      </c>
      <c r="G135" s="6" t="n">
        <v>16.42</v>
      </c>
      <c r="H135" s="24" t="n">
        <f aca="false">Table134[[#This Row],[Distance]]-G134</f>
        <v>9.42</v>
      </c>
      <c r="I135" s="22" t="n">
        <v>222</v>
      </c>
      <c r="J135" s="25" t="n">
        <f aca="false">Table134[[#This Row],[Time]]-I134</f>
        <v>128</v>
      </c>
      <c r="L135" s="1" t="s">
        <v>28</v>
      </c>
      <c r="M135" s="1" t="n">
        <f aca="false">MAX($C$122:$C$152)</f>
        <v>32124</v>
      </c>
      <c r="N135" s="1" t="n">
        <f aca="false">MAX($E$122:$E$152)</f>
        <v>1356.3</v>
      </c>
      <c r="O135" s="1" t="n">
        <f aca="false">MAX($G$122:$G$152)</f>
        <v>23.13</v>
      </c>
      <c r="P135" s="1" t="n">
        <f aca="false">MAX($I$122:$I$152)</f>
        <v>335</v>
      </c>
    </row>
    <row r="136" customFormat="false" ht="13.8" hidden="false" customHeight="false" outlineLevel="0" collapsed="false">
      <c r="A136" s="20" t="n">
        <v>24</v>
      </c>
      <c r="B136" s="21" t="n">
        <v>43600</v>
      </c>
      <c r="C136" s="22" t="n">
        <v>11467</v>
      </c>
      <c r="D136" s="22" t="n">
        <f aca="false">Table134[[#This Row],[Steps]]-C135</f>
        <v>-11343</v>
      </c>
      <c r="E136" s="23" t="n">
        <v>471.9</v>
      </c>
      <c r="F136" s="23" t="n">
        <f aca="false">Table134[[#This Row],[Colories]]-E135</f>
        <v>-467.8</v>
      </c>
      <c r="G136" s="6" t="n">
        <v>8.26</v>
      </c>
      <c r="H136" s="24" t="n">
        <f aca="false">Table134[[#This Row],[Distance]]-G135</f>
        <v>-8.16</v>
      </c>
      <c r="I136" s="22" t="n">
        <v>111</v>
      </c>
      <c r="J136" s="25" t="n">
        <f aca="false">Table134[[#This Row],[Time]]-I135</f>
        <v>-111</v>
      </c>
      <c r="L136" s="1" t="s">
        <v>30</v>
      </c>
      <c r="M136" s="1" t="n">
        <f aca="false">SUM($C$122:$C$152)</f>
        <v>402686</v>
      </c>
      <c r="N136" s="1" t="n">
        <f aca="false">SUM($E$122:$E$152)</f>
        <v>16573.2</v>
      </c>
      <c r="O136" s="1" t="n">
        <f aca="false">SUM($G$122:$G$152)</f>
        <v>290.05</v>
      </c>
      <c r="P136" s="1" t="n">
        <f aca="false">SUM($I$122:$I$152)</f>
        <v>4003</v>
      </c>
    </row>
    <row r="137" customFormat="false" ht="13.8" hidden="false" customHeight="false" outlineLevel="0" collapsed="false">
      <c r="A137" s="20" t="n">
        <v>25</v>
      </c>
      <c r="B137" s="21" t="n">
        <v>43601</v>
      </c>
      <c r="C137" s="22" t="n">
        <v>17912</v>
      </c>
      <c r="D137" s="22" t="n">
        <f aca="false">Table134[[#This Row],[Steps]]-C136</f>
        <v>6445</v>
      </c>
      <c r="E137" s="23" t="n">
        <v>737.3</v>
      </c>
      <c r="F137" s="23" t="n">
        <f aca="false">Table134[[#This Row],[Colories]]-E136</f>
        <v>265.4</v>
      </c>
      <c r="G137" s="6" t="n">
        <v>12.9</v>
      </c>
      <c r="H137" s="24" t="n">
        <f aca="false">Table134[[#This Row],[Distance]]-G136</f>
        <v>4.64</v>
      </c>
      <c r="I137" s="22" t="n">
        <v>193</v>
      </c>
      <c r="J137" s="25" t="n">
        <f aca="false">Table134[[#This Row],[Time]]-I136</f>
        <v>82</v>
      </c>
      <c r="L137" s="1" t="s">
        <v>32</v>
      </c>
      <c r="M137" s="1" t="n">
        <f aca="false">COUNT($C$122:$C$152)</f>
        <v>31</v>
      </c>
      <c r="N137" s="1" t="n">
        <f aca="false">COUNT($E$122:$E$152)</f>
        <v>31</v>
      </c>
      <c r="O137" s="1" t="n">
        <f aca="false">COUNT($G$122:$G$152)</f>
        <v>31</v>
      </c>
      <c r="P137" s="1" t="n">
        <f aca="false">COUNT($I$122:$I$152)</f>
        <v>31</v>
      </c>
    </row>
    <row r="138" customFormat="false" ht="13.8" hidden="false" customHeight="false" outlineLevel="0" collapsed="false">
      <c r="A138" s="20" t="n">
        <v>26</v>
      </c>
      <c r="B138" s="21" t="n">
        <v>43602</v>
      </c>
      <c r="C138" s="22" t="n">
        <v>8893</v>
      </c>
      <c r="D138" s="22" t="n">
        <f aca="false">Table134[[#This Row],[Steps]]-C137</f>
        <v>-9019</v>
      </c>
      <c r="E138" s="23" t="n">
        <v>363.6</v>
      </c>
      <c r="F138" s="23" t="n">
        <f aca="false">Table134[[#This Row],[Colories]]-E137</f>
        <v>-373.7</v>
      </c>
      <c r="G138" s="6" t="n">
        <v>6.4</v>
      </c>
      <c r="H138" s="24" t="n">
        <f aca="false">Table134[[#This Row],[Distance]]-G137</f>
        <v>-6.5</v>
      </c>
      <c r="I138" s="22" t="n">
        <v>84</v>
      </c>
      <c r="J138" s="25" t="n">
        <f aca="false">Table134[[#This Row],[Time]]-I137</f>
        <v>-109</v>
      </c>
    </row>
    <row r="139" customFormat="false" ht="13.8" hidden="false" customHeight="false" outlineLevel="0" collapsed="false">
      <c r="A139" s="20" t="n">
        <v>27</v>
      </c>
      <c r="B139" s="21" t="n">
        <v>43603</v>
      </c>
      <c r="C139" s="22" t="n">
        <v>32124</v>
      </c>
      <c r="D139" s="22" t="n">
        <f aca="false">Table134[[#This Row],[Steps]]-C138</f>
        <v>23231</v>
      </c>
      <c r="E139" s="23" t="n">
        <v>1356.3</v>
      </c>
      <c r="F139" s="23" t="n">
        <f aca="false">Table134[[#This Row],[Colories]]-E138</f>
        <v>992.7</v>
      </c>
      <c r="G139" s="6" t="n">
        <v>23.13</v>
      </c>
      <c r="H139" s="24" t="n">
        <f aca="false">Table134[[#This Row],[Distance]]-G138</f>
        <v>16.73</v>
      </c>
      <c r="I139" s="22" t="n">
        <v>335</v>
      </c>
      <c r="J139" s="25" t="n">
        <f aca="false">Table134[[#This Row],[Time]]-I138</f>
        <v>251</v>
      </c>
    </row>
    <row r="140" customFormat="false" ht="13.8" hidden="false" customHeight="false" outlineLevel="0" collapsed="false">
      <c r="A140" s="20" t="n">
        <v>28</v>
      </c>
      <c r="B140" s="21" t="n">
        <v>43604</v>
      </c>
      <c r="C140" s="22" t="n">
        <v>1851</v>
      </c>
      <c r="D140" s="22" t="n">
        <f aca="false">Table134[[#This Row],[Steps]]-C139</f>
        <v>-30273</v>
      </c>
      <c r="E140" s="23" t="n">
        <v>76</v>
      </c>
      <c r="F140" s="23" t="n">
        <f aca="false">Table134[[#This Row],[Colories]]-E139</f>
        <v>-1280.3</v>
      </c>
      <c r="G140" s="6" t="n">
        <v>1.33</v>
      </c>
      <c r="H140" s="24" t="n">
        <f aca="false">Table134[[#This Row],[Distance]]-G139</f>
        <v>-21.8</v>
      </c>
      <c r="I140" s="22" t="n">
        <v>17</v>
      </c>
      <c r="J140" s="25" t="n">
        <f aca="false">Table134[[#This Row],[Time]]-I139</f>
        <v>-318</v>
      </c>
    </row>
    <row r="141" customFormat="false" ht="13.8" hidden="false" customHeight="false" outlineLevel="0" collapsed="false">
      <c r="A141" s="20" t="n">
        <v>29</v>
      </c>
      <c r="B141" s="21" t="n">
        <v>43605</v>
      </c>
      <c r="C141" s="22" t="n">
        <v>10245</v>
      </c>
      <c r="D141" s="22" t="n">
        <f aca="false">Table134[[#This Row],[Steps]]-C140</f>
        <v>8394</v>
      </c>
      <c r="E141" s="23" t="n">
        <v>414.3</v>
      </c>
      <c r="F141" s="23" t="n">
        <f aca="false">Table134[[#This Row],[Colories]]-E140</f>
        <v>338.3</v>
      </c>
      <c r="G141" s="6" t="n">
        <v>7.38</v>
      </c>
      <c r="H141" s="24" t="n">
        <f aca="false">Table134[[#This Row],[Distance]]-G140</f>
        <v>6.05</v>
      </c>
      <c r="I141" s="22" t="n">
        <v>93</v>
      </c>
      <c r="J141" s="25" t="n">
        <f aca="false">Table134[[#This Row],[Time]]-I140</f>
        <v>76</v>
      </c>
    </row>
    <row r="142" customFormat="false" ht="13.8" hidden="false" customHeight="false" outlineLevel="0" collapsed="false">
      <c r="A142" s="20" t="n">
        <v>30</v>
      </c>
      <c r="B142" s="21" t="n">
        <v>43606</v>
      </c>
      <c r="C142" s="22" t="n">
        <v>21542</v>
      </c>
      <c r="D142" s="22" t="n">
        <f aca="false">Table134[[#This Row],[Steps]]-C141</f>
        <v>11297</v>
      </c>
      <c r="E142" s="23" t="n">
        <v>890.9</v>
      </c>
      <c r="F142" s="23" t="n">
        <f aca="false">Table134[[#This Row],[Colories]]-E141</f>
        <v>476.6</v>
      </c>
      <c r="G142" s="6" t="n">
        <v>15.51</v>
      </c>
      <c r="H142" s="24" t="n">
        <f aca="false">Table134[[#This Row],[Distance]]-G141</f>
        <v>8.13</v>
      </c>
      <c r="I142" s="22" t="n">
        <v>212</v>
      </c>
      <c r="J142" s="25" t="n">
        <f aca="false">Table134[[#This Row],[Time]]-I141</f>
        <v>119</v>
      </c>
    </row>
    <row r="143" customFormat="false" ht="13.8" hidden="false" customHeight="false" outlineLevel="0" collapsed="false">
      <c r="A143" s="20" t="n">
        <v>1</v>
      </c>
      <c r="B143" s="21" t="n">
        <v>43607</v>
      </c>
      <c r="C143" s="22" t="n">
        <v>9273</v>
      </c>
      <c r="D143" s="22" t="n">
        <f aca="false">Table134[[#This Row],[Steps]]-C142</f>
        <v>-12269</v>
      </c>
      <c r="E143" s="23" t="n">
        <v>381.5</v>
      </c>
      <c r="F143" s="23" t="n">
        <f aca="false">Table134[[#This Row],[Colories]]-E142</f>
        <v>-509.4</v>
      </c>
      <c r="G143" s="6" t="n">
        <v>6.68</v>
      </c>
      <c r="H143" s="24" t="n">
        <f aca="false">Table134[[#This Row],[Distance]]-G142</f>
        <v>-8.83</v>
      </c>
      <c r="I143" s="22" t="n">
        <v>90</v>
      </c>
      <c r="J143" s="25" t="n">
        <f aca="false">Table134[[#This Row],[Time]]-I142</f>
        <v>-122</v>
      </c>
    </row>
    <row r="144" customFormat="false" ht="13.8" hidden="false" customHeight="false" outlineLevel="0" collapsed="false">
      <c r="A144" s="20" t="n">
        <v>2</v>
      </c>
      <c r="B144" s="21" t="n">
        <v>43608</v>
      </c>
      <c r="C144" s="22" t="n">
        <v>10435</v>
      </c>
      <c r="D144" s="22" t="n">
        <f aca="false">Table134[[#This Row],[Steps]]-C143</f>
        <v>1162</v>
      </c>
      <c r="E144" s="23" t="n">
        <v>427.5</v>
      </c>
      <c r="F144" s="23" t="n">
        <f aca="false">Table134[[#This Row],[Colories]]-E143</f>
        <v>46</v>
      </c>
      <c r="G144" s="6" t="n">
        <v>7.51</v>
      </c>
      <c r="H144" s="24" t="n">
        <f aca="false">Table134[[#This Row],[Distance]]-G143</f>
        <v>0.83</v>
      </c>
      <c r="I144" s="22" t="n">
        <v>99</v>
      </c>
      <c r="J144" s="25" t="n">
        <f aca="false">Table134[[#This Row],[Time]]-I143</f>
        <v>9</v>
      </c>
    </row>
    <row r="145" customFormat="false" ht="13.8" hidden="false" customHeight="false" outlineLevel="0" collapsed="false">
      <c r="A145" s="20" t="n">
        <v>3</v>
      </c>
      <c r="B145" s="21" t="n">
        <v>43609</v>
      </c>
      <c r="C145" s="22" t="n">
        <v>9035</v>
      </c>
      <c r="D145" s="22" t="n">
        <f aca="false">Table134[[#This Row],[Steps]]-C144</f>
        <v>-1400</v>
      </c>
      <c r="E145" s="23" t="n">
        <v>406.1</v>
      </c>
      <c r="F145" s="23" t="n">
        <f aca="false">Table134[[#This Row],[Colories]]-E144</f>
        <v>-21.4</v>
      </c>
      <c r="G145" s="6" t="n">
        <v>6.51</v>
      </c>
      <c r="H145" s="24" t="n">
        <f aca="false">Table134[[#This Row],[Distance]]-G144</f>
        <v>-1</v>
      </c>
      <c r="I145" s="22" t="n">
        <v>107</v>
      </c>
      <c r="J145" s="25" t="n">
        <f aca="false">Table134[[#This Row],[Time]]-I144</f>
        <v>8</v>
      </c>
    </row>
    <row r="146" customFormat="false" ht="13.8" hidden="false" customHeight="false" outlineLevel="0" collapsed="false">
      <c r="A146" s="20" t="n">
        <v>4</v>
      </c>
      <c r="B146" s="21" t="n">
        <v>43610</v>
      </c>
      <c r="C146" s="22" t="n">
        <v>9338</v>
      </c>
      <c r="D146" s="22" t="n">
        <f aca="false">Table134[[#This Row],[Steps]]-C145</f>
        <v>303</v>
      </c>
      <c r="E146" s="23" t="n">
        <v>415.9</v>
      </c>
      <c r="F146" s="23" t="n">
        <f aca="false">Table134[[#This Row],[Colories]]-E145</f>
        <v>9.79999999999996</v>
      </c>
      <c r="G146" s="6" t="n">
        <v>6.72</v>
      </c>
      <c r="H146" s="24" t="n">
        <f aca="false">Table134[[#This Row],[Distance]]-G145</f>
        <v>0.21</v>
      </c>
      <c r="I146" s="22" t="n">
        <v>109</v>
      </c>
      <c r="J146" s="25" t="n">
        <f aca="false">Table134[[#This Row],[Time]]-I145</f>
        <v>2</v>
      </c>
    </row>
    <row r="147" customFormat="false" ht="13.8" hidden="false" customHeight="false" outlineLevel="0" collapsed="false">
      <c r="A147" s="20" t="n">
        <v>5</v>
      </c>
      <c r="B147" s="21" t="n">
        <v>43611</v>
      </c>
      <c r="C147" s="22" t="n">
        <v>11301</v>
      </c>
      <c r="D147" s="22" t="n">
        <f aca="false">Table134[[#This Row],[Steps]]-C146</f>
        <v>1963</v>
      </c>
      <c r="E147" s="23" t="n">
        <v>489</v>
      </c>
      <c r="F147" s="23" t="n">
        <f aca="false">Table134[[#This Row],[Colories]]-E146</f>
        <v>73.1</v>
      </c>
      <c r="G147" s="6" t="n">
        <v>8.14</v>
      </c>
      <c r="H147" s="24" t="n">
        <f aca="false">Table134[[#This Row],[Distance]]-G146</f>
        <v>1.42</v>
      </c>
      <c r="I147" s="22" t="n">
        <v>124</v>
      </c>
      <c r="J147" s="25" t="n">
        <f aca="false">Table134[[#This Row],[Time]]-I146</f>
        <v>15</v>
      </c>
    </row>
    <row r="148" customFormat="false" ht="13.8" hidden="false" customHeight="false" outlineLevel="0" collapsed="false">
      <c r="A148" s="20" t="n">
        <v>6</v>
      </c>
      <c r="B148" s="21" t="n">
        <v>43612</v>
      </c>
      <c r="C148" s="22" t="n">
        <v>11923</v>
      </c>
      <c r="D148" s="22" t="n">
        <f aca="false">Table134[[#This Row],[Steps]]-C147</f>
        <v>622</v>
      </c>
      <c r="E148" s="23" t="n">
        <v>491.5</v>
      </c>
      <c r="F148" s="23" t="n">
        <f aca="false">Table134[[#This Row],[Colories]]-E147</f>
        <v>2.5</v>
      </c>
      <c r="G148" s="6" t="n">
        <v>8.58</v>
      </c>
      <c r="H148" s="24" t="n">
        <f aca="false">Table134[[#This Row],[Distance]]-G147</f>
        <v>0.44</v>
      </c>
      <c r="I148" s="22" t="n">
        <v>115</v>
      </c>
      <c r="J148" s="25" t="n">
        <f aca="false">Table134[[#This Row],[Time]]-I147</f>
        <v>-9</v>
      </c>
    </row>
    <row r="149" customFormat="false" ht="13.8" hidden="false" customHeight="false" outlineLevel="0" collapsed="false">
      <c r="A149" s="20" t="n">
        <v>7</v>
      </c>
      <c r="B149" s="21" t="n">
        <v>43613</v>
      </c>
      <c r="C149" s="22" t="n">
        <v>15409</v>
      </c>
      <c r="D149" s="22" t="n">
        <f aca="false">Table134[[#This Row],[Steps]]-C148</f>
        <v>3486</v>
      </c>
      <c r="E149" s="23" t="n">
        <v>631.9</v>
      </c>
      <c r="F149" s="23" t="n">
        <f aca="false">Table134[[#This Row],[Colories]]-E148</f>
        <v>140.4</v>
      </c>
      <c r="G149" s="6" t="n">
        <v>11.09</v>
      </c>
      <c r="H149" s="24" t="n">
        <f aca="false">Table134[[#This Row],[Distance]]-G148</f>
        <v>2.51</v>
      </c>
      <c r="I149" s="22" t="n">
        <v>147</v>
      </c>
      <c r="J149" s="25" t="n">
        <f aca="false">Table134[[#This Row],[Time]]-I148</f>
        <v>32</v>
      </c>
    </row>
    <row r="150" customFormat="false" ht="13.8" hidden="false" customHeight="false" outlineLevel="0" collapsed="false">
      <c r="A150" s="20" t="n">
        <v>8</v>
      </c>
      <c r="B150" s="21" t="n">
        <v>43614</v>
      </c>
      <c r="C150" s="22" t="n">
        <v>15780</v>
      </c>
      <c r="D150" s="22" t="n">
        <f aca="false">Table134[[#This Row],[Steps]]-C149</f>
        <v>371</v>
      </c>
      <c r="E150" s="23" t="n">
        <v>643.4</v>
      </c>
      <c r="F150" s="23" t="n">
        <f aca="false">Table134[[#This Row],[Colories]]-E149</f>
        <v>11.5</v>
      </c>
      <c r="G150" s="6" t="n">
        <v>11.36</v>
      </c>
      <c r="H150" s="24" t="n">
        <f aca="false">Table134[[#This Row],[Distance]]-G149</f>
        <v>0.27</v>
      </c>
      <c r="I150" s="22" t="n">
        <v>147</v>
      </c>
      <c r="J150" s="25" t="n">
        <f aca="false">Table134[[#This Row],[Time]]-I149</f>
        <v>0</v>
      </c>
    </row>
    <row r="151" customFormat="false" ht="13.8" hidden="false" customHeight="false" outlineLevel="0" collapsed="false">
      <c r="A151" s="20" t="n">
        <v>9</v>
      </c>
      <c r="B151" s="21" t="n">
        <v>43615</v>
      </c>
      <c r="C151" s="22" t="n">
        <v>15188</v>
      </c>
      <c r="D151" s="22" t="n">
        <f aca="false">Table134[[#This Row],[Steps]]-C150</f>
        <v>-592</v>
      </c>
      <c r="E151" s="23" t="n">
        <v>626.2</v>
      </c>
      <c r="F151" s="23" t="n">
        <f aca="false">Table134[[#This Row],[Colories]]-E150</f>
        <v>-17.1999999999999</v>
      </c>
      <c r="G151" s="6" t="n">
        <v>10.94</v>
      </c>
      <c r="H151" s="24" t="n">
        <f aca="false">Table134[[#This Row],[Distance]]-G150</f>
        <v>-0.42</v>
      </c>
      <c r="I151" s="22" t="n">
        <v>148</v>
      </c>
      <c r="J151" s="25" t="n">
        <f aca="false">Table134[[#This Row],[Time]]-I150</f>
        <v>1</v>
      </c>
    </row>
    <row r="152" customFormat="false" ht="13.8" hidden="false" customHeight="false" outlineLevel="0" collapsed="false">
      <c r="A152" s="20" t="n">
        <v>10</v>
      </c>
      <c r="B152" s="21" t="n">
        <v>43616</v>
      </c>
      <c r="C152" s="22" t="n">
        <v>16545</v>
      </c>
      <c r="D152" s="22" t="n">
        <f aca="false">Table134[[#This Row],[Steps]]-C151</f>
        <v>1357</v>
      </c>
      <c r="E152" s="23" t="n">
        <v>685.5</v>
      </c>
      <c r="F152" s="23" t="n">
        <f aca="false">Table134[[#This Row],[Colories]]-E151</f>
        <v>59.3</v>
      </c>
      <c r="G152" s="6" t="n">
        <v>11.91</v>
      </c>
      <c r="H152" s="24" t="n">
        <f aca="false">Table134[[#This Row],[Distance]]-G151</f>
        <v>0.970000000000001</v>
      </c>
      <c r="I152" s="22" t="n">
        <v>162</v>
      </c>
      <c r="J152" s="25" t="n">
        <f aca="false">Table134[[#This Row],[Time]]-I151</f>
        <v>14</v>
      </c>
    </row>
    <row r="153" customFormat="false" ht="13.8" hidden="false" customHeight="false" outlineLevel="0" collapsed="false">
      <c r="A153" s="20" t="n">
        <v>11</v>
      </c>
      <c r="B153" s="21" t="n">
        <v>43617</v>
      </c>
      <c r="C153" s="22" t="n">
        <v>6123</v>
      </c>
      <c r="D153" s="22" t="n">
        <f aca="false">Table134[[#This Row],[Steps]]-C152</f>
        <v>-10422</v>
      </c>
      <c r="E153" s="23" t="n">
        <v>251.5</v>
      </c>
      <c r="F153" s="23" t="n">
        <f aca="false">Table134[[#This Row],[Colories]]-E152</f>
        <v>-434</v>
      </c>
      <c r="G153" s="6" t="n">
        <v>4.41</v>
      </c>
      <c r="H153" s="24" t="n">
        <f aca="false">Table134[[#This Row],[Distance]]-G152</f>
        <v>-7.5</v>
      </c>
      <c r="I153" s="22" t="n">
        <v>59</v>
      </c>
      <c r="J153" s="25" t="n">
        <f aca="false">Table134[[#This Row],[Time]]-I152</f>
        <v>-103</v>
      </c>
      <c r="M153" s="1" t="s">
        <v>2</v>
      </c>
      <c r="N153" s="1" t="s">
        <v>179</v>
      </c>
      <c r="O153" s="1" t="s">
        <v>175</v>
      </c>
      <c r="P153" s="1" t="s">
        <v>177</v>
      </c>
    </row>
    <row r="154" customFormat="false" ht="13.8" hidden="false" customHeight="false" outlineLevel="0" collapsed="false">
      <c r="A154" s="20" t="n">
        <v>12</v>
      </c>
      <c r="B154" s="21" t="n">
        <v>43618</v>
      </c>
      <c r="C154" s="22" t="n">
        <v>6616</v>
      </c>
      <c r="D154" s="22" t="n">
        <f aca="false">Table134[[#This Row],[Steps]]-C153</f>
        <v>493</v>
      </c>
      <c r="E154" s="23" t="n">
        <v>278</v>
      </c>
      <c r="F154" s="23" t="n">
        <f aca="false">Table134[[#This Row],[Colories]]-E153</f>
        <v>26.5</v>
      </c>
      <c r="G154" s="6" t="n">
        <v>4.76</v>
      </c>
      <c r="H154" s="24" t="n">
        <f aca="false">Table134[[#This Row],[Distance]]-G153</f>
        <v>0.35</v>
      </c>
      <c r="I154" s="22" t="n">
        <v>68</v>
      </c>
      <c r="J154" s="25" t="n">
        <f aca="false">Table134[[#This Row],[Time]]-I153</f>
        <v>9</v>
      </c>
      <c r="L154" s="1" t="s">
        <v>8</v>
      </c>
      <c r="M154" s="1" t="n">
        <f aca="false">AVERAGE($C$153:$C$182)</f>
        <v>11234.4</v>
      </c>
      <c r="N154" s="1" t="n">
        <f aca="false">AVERAGE($E$153:$E$182)</f>
        <v>467.75</v>
      </c>
      <c r="O154" s="1" t="n">
        <f aca="false">AVERAGE($G$153:$G$182)</f>
        <v>8.08866666666667</v>
      </c>
      <c r="P154" s="1" t="n">
        <f aca="false">AVERAGE($I$153:$I$182)</f>
        <v>111.566666666667</v>
      </c>
    </row>
    <row r="155" customFormat="false" ht="13.8" hidden="false" customHeight="false" outlineLevel="0" collapsed="false">
      <c r="A155" s="20" t="n">
        <v>13</v>
      </c>
      <c r="B155" s="21" t="n">
        <v>43619</v>
      </c>
      <c r="C155" s="22" t="n">
        <v>12459</v>
      </c>
      <c r="D155" s="22" t="n">
        <f aca="false">Table134[[#This Row],[Steps]]-C154</f>
        <v>5843</v>
      </c>
      <c r="E155" s="23" t="n">
        <v>513.3</v>
      </c>
      <c r="F155" s="23" t="n">
        <f aca="false">Table134[[#This Row],[Colories]]-E154</f>
        <v>235.3</v>
      </c>
      <c r="G155" s="6" t="n">
        <v>8.97</v>
      </c>
      <c r="H155" s="24" t="n">
        <f aca="false">Table134[[#This Row],[Distance]]-G154</f>
        <v>4.21</v>
      </c>
      <c r="I155" s="22" t="n">
        <v>121</v>
      </c>
      <c r="J155" s="25" t="n">
        <f aca="false">Table134[[#This Row],[Time]]-I154</f>
        <v>53</v>
      </c>
      <c r="L155" s="1" t="s">
        <v>10</v>
      </c>
      <c r="M155" s="1" t="n">
        <f aca="false">SQRT(VAR($C$153:$C$182)/COUNT($C$153:$C$182))</f>
        <v>843.683201153162</v>
      </c>
      <c r="N155" s="1" t="n">
        <f aca="false">SQRT(VAR($E$153:$E$182)/COUNT($E$153:$E$182))</f>
        <v>34.8041676557118</v>
      </c>
      <c r="O155" s="1" t="n">
        <f aca="false">SQRT(VAR($G$153:$G$182)/COUNT($G$153:$G$182))</f>
        <v>0.607459706498429</v>
      </c>
      <c r="P155" s="1" t="n">
        <f aca="false">SQRT(VAR($I$153:$I$182)/COUNT($I$153:$I$182))</f>
        <v>8.40179008475887</v>
      </c>
    </row>
    <row r="156" customFormat="false" ht="13.8" hidden="false" customHeight="false" outlineLevel="0" collapsed="false">
      <c r="A156" s="20" t="n">
        <v>14</v>
      </c>
      <c r="B156" s="21" t="n">
        <v>43620</v>
      </c>
      <c r="C156" s="22" t="n">
        <v>13936</v>
      </c>
      <c r="D156" s="22" t="n">
        <f aca="false">Table134[[#This Row],[Steps]]-C155</f>
        <v>1477</v>
      </c>
      <c r="E156" s="23" t="n">
        <v>573.2</v>
      </c>
      <c r="F156" s="23" t="n">
        <f aca="false">Table134[[#This Row],[Colories]]-E155</f>
        <v>59.9000000000001</v>
      </c>
      <c r="G156" s="6" t="n">
        <v>10.03</v>
      </c>
      <c r="H156" s="24" t="n">
        <f aca="false">Table134[[#This Row],[Distance]]-G155</f>
        <v>1.06</v>
      </c>
      <c r="I156" s="22" t="n">
        <v>134</v>
      </c>
      <c r="J156" s="25" t="n">
        <f aca="false">Table134[[#This Row],[Time]]-I155</f>
        <v>13</v>
      </c>
      <c r="L156" s="1" t="s">
        <v>14</v>
      </c>
      <c r="M156" s="1" t="e">
        <f aca="false">MODE($C$153:$C$182)</f>
        <v>#VALUE!</v>
      </c>
      <c r="N156" s="1" t="e">
        <f aca="false">MODE($E$153:$E$182)</f>
        <v>#VALUE!</v>
      </c>
      <c r="O156" s="1" t="e">
        <f aca="false">MODE($G$153:$G$182)</f>
        <v>#VALUE!</v>
      </c>
      <c r="P156" s="1" t="n">
        <f aca="false">MODE($I$153:$I$182)</f>
        <v>72</v>
      </c>
    </row>
    <row r="157" customFormat="false" ht="13.8" hidden="false" customHeight="false" outlineLevel="0" collapsed="false">
      <c r="A157" s="20" t="n">
        <v>15</v>
      </c>
      <c r="B157" s="21" t="n">
        <v>43621</v>
      </c>
      <c r="C157" s="22" t="n">
        <v>20925</v>
      </c>
      <c r="D157" s="22" t="n">
        <f aca="false">Table134[[#This Row],[Steps]]-C156</f>
        <v>6989</v>
      </c>
      <c r="E157" s="23" t="n">
        <v>873.9</v>
      </c>
      <c r="F157" s="23" t="n">
        <f aca="false">Table134[[#This Row],[Colories]]-E156</f>
        <v>300.7</v>
      </c>
      <c r="G157" s="6" t="n">
        <v>15.07</v>
      </c>
      <c r="H157" s="24" t="n">
        <f aca="false">Table134[[#This Row],[Distance]]-G156</f>
        <v>5.04</v>
      </c>
      <c r="I157" s="22" t="n">
        <v>212</v>
      </c>
      <c r="J157" s="25" t="n">
        <f aca="false">Table134[[#This Row],[Time]]-I156</f>
        <v>78</v>
      </c>
      <c r="L157" s="1" t="s">
        <v>12</v>
      </c>
      <c r="M157" s="1" t="n">
        <f aca="false">MEDIAN($C$153:$C$182)</f>
        <v>11374.5</v>
      </c>
      <c r="N157" s="1" t="n">
        <f aca="false">MEDIAN($E$153:$E$182)</f>
        <v>468.2</v>
      </c>
      <c r="O157" s="1" t="n">
        <f aca="false">MEDIAN($G$153:$G$182)</f>
        <v>8.19</v>
      </c>
      <c r="P157" s="1" t="n">
        <f aca="false">MEDIAN($I$153:$I$182)</f>
        <v>108.5</v>
      </c>
    </row>
    <row r="158" customFormat="false" ht="13.8" hidden="false" customHeight="false" outlineLevel="0" collapsed="false">
      <c r="A158" s="20" t="n">
        <v>16</v>
      </c>
      <c r="B158" s="21" t="n">
        <v>43622</v>
      </c>
      <c r="C158" s="22" t="n">
        <v>23074</v>
      </c>
      <c r="D158" s="22" t="n">
        <f aca="false">Table134[[#This Row],[Steps]]-C157</f>
        <v>2149</v>
      </c>
      <c r="E158" s="23" t="n">
        <v>961.5</v>
      </c>
      <c r="F158" s="23" t="n">
        <f aca="false">Table134[[#This Row],[Colories]]-E157</f>
        <v>87.6</v>
      </c>
      <c r="G158" s="6" t="n">
        <v>16.61</v>
      </c>
      <c r="H158" s="24" t="n">
        <f aca="false">Table134[[#This Row],[Distance]]-G157</f>
        <v>1.54</v>
      </c>
      <c r="I158" s="22" t="n">
        <v>233</v>
      </c>
      <c r="J158" s="25" t="n">
        <f aca="false">Table134[[#This Row],[Time]]-I157</f>
        <v>21</v>
      </c>
      <c r="L158" s="1" t="s">
        <v>180</v>
      </c>
      <c r="M158" s="1" t="n">
        <f aca="false">QUARTILE($C$153:$C$182, 1)</f>
        <v>7521.25</v>
      </c>
      <c r="N158" s="1" t="n">
        <f aca="false">QUARTILE($E$153:$E$182, 1)</f>
        <v>312.225</v>
      </c>
      <c r="O158" s="1" t="n">
        <f aca="false">QUARTILE($G$153:$G$182, 1)</f>
        <v>5.4175</v>
      </c>
      <c r="P158" s="1" t="n">
        <f aca="false">QUARTILE($I$153:$I$182, 1)</f>
        <v>76.25</v>
      </c>
    </row>
    <row r="159" customFormat="false" ht="13.8" hidden="false" customHeight="false" outlineLevel="0" collapsed="false">
      <c r="A159" s="20" t="n">
        <v>17</v>
      </c>
      <c r="B159" s="21" t="n">
        <v>43623</v>
      </c>
      <c r="C159" s="22" t="n">
        <v>15421</v>
      </c>
      <c r="D159" s="22" t="n">
        <f aca="false">Table134[[#This Row],[Steps]]-C158</f>
        <v>-7653</v>
      </c>
      <c r="E159" s="23" t="n">
        <v>639.8</v>
      </c>
      <c r="F159" s="23" t="n">
        <f aca="false">Table134[[#This Row],[Colories]]-E158</f>
        <v>-321.7</v>
      </c>
      <c r="G159" s="6" t="n">
        <v>11.1</v>
      </c>
      <c r="H159" s="24" t="n">
        <f aca="false">Table134[[#This Row],[Distance]]-G158</f>
        <v>-5.51</v>
      </c>
      <c r="I159" s="22" t="n">
        <v>153</v>
      </c>
      <c r="J159" s="25" t="n">
        <f aca="false">Table134[[#This Row],[Time]]-I158</f>
        <v>-80</v>
      </c>
      <c r="L159" s="1" t="s">
        <v>181</v>
      </c>
      <c r="M159" s="1" t="n">
        <f aca="false">QUARTILE($C$153:$C$182, 3)</f>
        <v>13894.5</v>
      </c>
      <c r="N159" s="1" t="n">
        <f aca="false">QUARTILE($E$153:$E$182, 3)</f>
        <v>570.125</v>
      </c>
      <c r="O159" s="1" t="n">
        <f aca="false">QUARTILE($G$153:$G$182, 3)</f>
        <v>10</v>
      </c>
      <c r="P159" s="1" t="n">
        <f aca="false">QUARTILE($I$153:$I$182, 3)</f>
        <v>132.5</v>
      </c>
    </row>
    <row r="160" customFormat="false" ht="13.8" hidden="false" customHeight="false" outlineLevel="0" collapsed="false">
      <c r="A160" s="20" t="n">
        <v>18</v>
      </c>
      <c r="B160" s="21" t="n">
        <v>43624</v>
      </c>
      <c r="C160" s="22" t="n">
        <v>5661</v>
      </c>
      <c r="D160" s="22" t="n">
        <f aca="false">Table134[[#This Row],[Steps]]-C159</f>
        <v>-9760</v>
      </c>
      <c r="E160" s="23" t="n">
        <v>237.4</v>
      </c>
      <c r="F160" s="23" t="n">
        <f aca="false">Table134[[#This Row],[Colories]]-E159</f>
        <v>-402.4</v>
      </c>
      <c r="G160" s="6" t="n">
        <v>4.08</v>
      </c>
      <c r="H160" s="24" t="n">
        <f aca="false">Table134[[#This Row],[Distance]]-G159</f>
        <v>-7.02</v>
      </c>
      <c r="I160" s="22" t="n">
        <v>57</v>
      </c>
      <c r="J160" s="25" t="n">
        <f aca="false">Table134[[#This Row],[Time]]-I159</f>
        <v>-96</v>
      </c>
      <c r="L160" s="1" t="s">
        <v>182</v>
      </c>
      <c r="M160" s="1" t="n">
        <f aca="false">VAR($C$153:$C$182)</f>
        <v>21354040.3172414</v>
      </c>
      <c r="N160" s="1" t="n">
        <f aca="false">VAR($E$153:$E$182)</f>
        <v>36339.9025862069</v>
      </c>
      <c r="O160" s="1" t="n">
        <f aca="false">VAR($G$153:$G$182)</f>
        <v>11.0702188505747</v>
      </c>
      <c r="P160" s="1" t="n">
        <f aca="false">VAR($I$153:$I$182)</f>
        <v>2117.70229885058</v>
      </c>
    </row>
    <row r="161" customFormat="false" ht="13.8" hidden="false" customHeight="false" outlineLevel="0" collapsed="false">
      <c r="A161" s="20" t="n">
        <v>19</v>
      </c>
      <c r="B161" s="21" t="n">
        <v>43625</v>
      </c>
      <c r="C161" s="22" t="n">
        <v>7226</v>
      </c>
      <c r="D161" s="22" t="n">
        <f aca="false">Table134[[#This Row],[Steps]]-C160</f>
        <v>1565</v>
      </c>
      <c r="E161" s="23" t="n">
        <v>315</v>
      </c>
      <c r="F161" s="23" t="n">
        <f aca="false">Table134[[#This Row],[Colories]]-E160</f>
        <v>77.6</v>
      </c>
      <c r="G161" s="6" t="n">
        <v>5.2</v>
      </c>
      <c r="H161" s="24" t="n">
        <f aca="false">Table134[[#This Row],[Distance]]-G160</f>
        <v>1.12</v>
      </c>
      <c r="I161" s="22" t="n">
        <v>80</v>
      </c>
      <c r="J161" s="25" t="n">
        <f aca="false">Table134[[#This Row],[Time]]-I160</f>
        <v>23</v>
      </c>
      <c r="L161" s="1" t="s">
        <v>16</v>
      </c>
      <c r="M161" s="1" t="n">
        <f aca="false">STDEV($C$153:$C$182)</f>
        <v>4621.04320659755</v>
      </c>
      <c r="N161" s="1" t="n">
        <f aca="false">STDEV($E$153:$E$182)</f>
        <v>190.630277202251</v>
      </c>
      <c r="O161" s="1" t="n">
        <f aca="false">STDEV($G$153:$G$182)</f>
        <v>3.32719384024657</v>
      </c>
      <c r="P161" s="1" t="n">
        <f aca="false">STDEV($I$153:$I$182)</f>
        <v>46.0184995284568</v>
      </c>
    </row>
    <row r="162" customFormat="false" ht="13.8" hidden="false" customHeight="false" outlineLevel="0" collapsed="false">
      <c r="A162" s="20" t="n">
        <v>20</v>
      </c>
      <c r="B162" s="21" t="n">
        <v>43626</v>
      </c>
      <c r="C162" s="22" t="n">
        <v>12398</v>
      </c>
      <c r="D162" s="22" t="n">
        <f aca="false">Table134[[#This Row],[Steps]]-C161</f>
        <v>5172</v>
      </c>
      <c r="E162" s="23" t="n">
        <v>506.5</v>
      </c>
      <c r="F162" s="23" t="n">
        <f aca="false">Table134[[#This Row],[Colories]]-E161</f>
        <v>191.5</v>
      </c>
      <c r="G162" s="6" t="n">
        <v>8.93</v>
      </c>
      <c r="H162" s="24" t="n">
        <f aca="false">Table134[[#This Row],[Distance]]-G161</f>
        <v>3.73</v>
      </c>
      <c r="I162" s="22" t="n">
        <v>117</v>
      </c>
      <c r="J162" s="25" t="n">
        <f aca="false">Table134[[#This Row],[Time]]-I161</f>
        <v>37</v>
      </c>
      <c r="L162" s="1" t="s">
        <v>20</v>
      </c>
      <c r="M162" s="1" t="n">
        <f aca="false">KURT($C$153:$C$182)</f>
        <v>0.355850380866833</v>
      </c>
      <c r="N162" s="1" t="n">
        <f aca="false">KURT($E$153:$E$182)</f>
        <v>0.51239998804662</v>
      </c>
      <c r="O162" s="1" t="n">
        <f aca="false">KURT($G$153:$G$182)</f>
        <v>0.35488594284534</v>
      </c>
      <c r="P162" s="1" t="n">
        <f aca="false">KURT($I$153:$I$182)</f>
        <v>0.81928007108403</v>
      </c>
    </row>
    <row r="163" customFormat="false" ht="13.8" hidden="false" customHeight="false" outlineLevel="0" collapsed="false">
      <c r="A163" s="20" t="n">
        <v>21</v>
      </c>
      <c r="B163" s="21" t="n">
        <v>43627</v>
      </c>
      <c r="C163" s="22" t="n">
        <v>14510</v>
      </c>
      <c r="D163" s="22" t="n">
        <f aca="false">Table134[[#This Row],[Steps]]-C162</f>
        <v>2112</v>
      </c>
      <c r="E163" s="23" t="n">
        <v>598</v>
      </c>
      <c r="F163" s="23" t="n">
        <f aca="false">Table134[[#This Row],[Colories]]-E162</f>
        <v>91.5</v>
      </c>
      <c r="G163" s="6" t="n">
        <v>10.45</v>
      </c>
      <c r="H163" s="24" t="n">
        <f aca="false">Table134[[#This Row],[Distance]]-G162</f>
        <v>1.52</v>
      </c>
      <c r="I163" s="22" t="n">
        <v>140</v>
      </c>
      <c r="J163" s="25" t="n">
        <f aca="false">Table134[[#This Row],[Time]]-I162</f>
        <v>23</v>
      </c>
      <c r="L163" s="1" t="s">
        <v>22</v>
      </c>
      <c r="M163" s="1" t="n">
        <f aca="false">SKEW($C$153:$C$182)</f>
        <v>0.696707588718644</v>
      </c>
      <c r="N163" s="1" t="n">
        <f aca="false">SKEW($E$153:$E$182)</f>
        <v>0.789380449150383</v>
      </c>
      <c r="O163" s="1" t="n">
        <f aca="false">SKEW($G$153:$G$182)</f>
        <v>0.69669967559486</v>
      </c>
      <c r="P163" s="1" t="n">
        <f aca="false">SKEW($I$153:$I$182)</f>
        <v>0.954793095609397</v>
      </c>
    </row>
    <row r="164" customFormat="false" ht="13.8" hidden="false" customHeight="false" outlineLevel="0" collapsed="false">
      <c r="A164" s="20" t="n">
        <v>22</v>
      </c>
      <c r="B164" s="21" t="n">
        <v>43628</v>
      </c>
      <c r="C164" s="22" t="n">
        <v>11446</v>
      </c>
      <c r="D164" s="22" t="n">
        <f aca="false">Table134[[#This Row],[Steps]]-C163</f>
        <v>-3064</v>
      </c>
      <c r="E164" s="23" t="n">
        <v>473.7</v>
      </c>
      <c r="F164" s="23" t="n">
        <f aca="false">Table134[[#This Row],[Colories]]-E163</f>
        <v>-124.3</v>
      </c>
      <c r="G164" s="6" t="n">
        <v>8.24</v>
      </c>
      <c r="H164" s="24" t="n">
        <f aca="false">Table134[[#This Row],[Distance]]-G163</f>
        <v>-2.21</v>
      </c>
      <c r="I164" s="22" t="n">
        <v>112</v>
      </c>
      <c r="J164" s="25" t="n">
        <f aca="false">Table134[[#This Row],[Time]]-I163</f>
        <v>-28</v>
      </c>
      <c r="L164" s="1" t="s">
        <v>24</v>
      </c>
      <c r="M164" s="1" t="n">
        <f aca="false">MAX($C$153:$C$182)-MIN($C$153:$C$182)</f>
        <v>19285</v>
      </c>
      <c r="N164" s="1" t="n">
        <f aca="false">MAX($E$153:$E$182)-MIN($E$153:$E$182)</f>
        <v>802.3</v>
      </c>
      <c r="O164" s="1" t="n">
        <f aca="false">MAX($G$153:$G$182)-MIN($G$153:$G$182)</f>
        <v>13.88</v>
      </c>
      <c r="P164" s="1" t="n">
        <f aca="false">MAX($I$153:$I$182)-MIN($I$153:$I$182)</f>
        <v>195</v>
      </c>
    </row>
    <row r="165" customFormat="false" ht="13.8" hidden="false" customHeight="false" outlineLevel="0" collapsed="false">
      <c r="A165" s="20" t="n">
        <v>23</v>
      </c>
      <c r="B165" s="21" t="n">
        <v>43629</v>
      </c>
      <c r="C165" s="22" t="n">
        <v>13770</v>
      </c>
      <c r="D165" s="22" t="n">
        <f aca="false">Table134[[#This Row],[Steps]]-C164</f>
        <v>2324</v>
      </c>
      <c r="E165" s="23" t="n">
        <v>560.9</v>
      </c>
      <c r="F165" s="23" t="n">
        <f aca="false">Table134[[#This Row],[Colories]]-E164</f>
        <v>87.2</v>
      </c>
      <c r="G165" s="6" t="n">
        <v>9.91</v>
      </c>
      <c r="H165" s="24" t="n">
        <f aca="false">Table134[[#This Row],[Distance]]-G164</f>
        <v>1.67</v>
      </c>
      <c r="I165" s="22" t="n">
        <v>127</v>
      </c>
      <c r="J165" s="25" t="n">
        <f aca="false">Table134[[#This Row],[Time]]-I164</f>
        <v>15</v>
      </c>
      <c r="L165" s="1" t="s">
        <v>26</v>
      </c>
      <c r="M165" s="1" t="n">
        <f aca="false">MIN($C$153:$C$182)</f>
        <v>3789</v>
      </c>
      <c r="N165" s="1" t="n">
        <f aca="false">MIN($E$153:$E$182)</f>
        <v>159.2</v>
      </c>
      <c r="O165" s="1" t="n">
        <f aca="false">MIN($G$153:$G$182)</f>
        <v>2.73</v>
      </c>
      <c r="P165" s="1" t="n">
        <f aca="false">MIN($I$153:$I$182)</f>
        <v>38</v>
      </c>
    </row>
    <row r="166" customFormat="false" ht="13.8" hidden="false" customHeight="false" outlineLevel="0" collapsed="false">
      <c r="A166" s="20" t="n">
        <v>24</v>
      </c>
      <c r="B166" s="21" t="n">
        <v>43630</v>
      </c>
      <c r="C166" s="22" t="n">
        <v>8579</v>
      </c>
      <c r="D166" s="22" t="n">
        <f aca="false">Table134[[#This Row],[Steps]]-C165</f>
        <v>-5191</v>
      </c>
      <c r="E166" s="23" t="n">
        <v>357.4</v>
      </c>
      <c r="F166" s="23" t="n">
        <f aca="false">Table134[[#This Row],[Colories]]-E165</f>
        <v>-203.5</v>
      </c>
      <c r="G166" s="6" t="n">
        <v>6.18</v>
      </c>
      <c r="H166" s="24" t="n">
        <f aca="false">Table134[[#This Row],[Distance]]-G165</f>
        <v>-3.73</v>
      </c>
      <c r="I166" s="22" t="n">
        <v>85</v>
      </c>
      <c r="J166" s="25" t="n">
        <f aca="false">Table134[[#This Row],[Time]]-I165</f>
        <v>-42</v>
      </c>
      <c r="L166" s="1" t="s">
        <v>28</v>
      </c>
      <c r="M166" s="1" t="n">
        <f aca="false">MAX($C$153:$C$182)</f>
        <v>23074</v>
      </c>
      <c r="N166" s="1" t="n">
        <f aca="false">MAX($E$153:$E$182)</f>
        <v>961.5</v>
      </c>
      <c r="O166" s="1" t="n">
        <f aca="false">MAX($G$153:$G$182)</f>
        <v>16.61</v>
      </c>
      <c r="P166" s="1" t="n">
        <f aca="false">MAX($I$153:$I$182)</f>
        <v>233</v>
      </c>
    </row>
    <row r="167" customFormat="false" ht="13.8" hidden="false" customHeight="false" outlineLevel="0" collapsed="false">
      <c r="A167" s="20" t="n">
        <v>25</v>
      </c>
      <c r="B167" s="21" t="n">
        <v>43631</v>
      </c>
      <c r="C167" s="22" t="n">
        <v>18373</v>
      </c>
      <c r="D167" s="22" t="n">
        <f aca="false">Table134[[#This Row],[Steps]]-C166</f>
        <v>9794</v>
      </c>
      <c r="E167" s="23" t="n">
        <v>780.2</v>
      </c>
      <c r="F167" s="23" t="n">
        <f aca="false">Table134[[#This Row],[Colories]]-E166</f>
        <v>422.8</v>
      </c>
      <c r="G167" s="6" t="n">
        <v>13.23</v>
      </c>
      <c r="H167" s="24" t="n">
        <f aca="false">Table134[[#This Row],[Distance]]-G166</f>
        <v>7.05</v>
      </c>
      <c r="I167" s="22" t="n">
        <v>194</v>
      </c>
      <c r="J167" s="25" t="n">
        <f aca="false">Table134[[#This Row],[Time]]-I166</f>
        <v>109</v>
      </c>
      <c r="L167" s="1" t="s">
        <v>30</v>
      </c>
      <c r="M167" s="1" t="n">
        <f aca="false">SUM($C$153:$C$182)</f>
        <v>337032</v>
      </c>
      <c r="N167" s="1" t="n">
        <f aca="false">SUM($E$153:$E$182)</f>
        <v>14032.5</v>
      </c>
      <c r="O167" s="1" t="n">
        <f aca="false">SUM($G$153:$G$182)</f>
        <v>242.66</v>
      </c>
      <c r="P167" s="1" t="n">
        <f aca="false">SUM($I$153:$I$182)</f>
        <v>3347</v>
      </c>
    </row>
    <row r="168" customFormat="false" ht="13.8" hidden="false" customHeight="false" outlineLevel="0" collapsed="false">
      <c r="A168" s="20" t="n">
        <v>26</v>
      </c>
      <c r="B168" s="21" t="n">
        <v>43632</v>
      </c>
      <c r="C168" s="22" t="n">
        <v>5726</v>
      </c>
      <c r="D168" s="22" t="n">
        <f aca="false">Table134[[#This Row],[Steps]]-C167</f>
        <v>-12647</v>
      </c>
      <c r="E168" s="23" t="n">
        <v>265.2</v>
      </c>
      <c r="F168" s="23" t="n">
        <f aca="false">Table134[[#This Row],[Colories]]-E167</f>
        <v>-515</v>
      </c>
      <c r="G168" s="6" t="n">
        <v>4.12</v>
      </c>
      <c r="H168" s="24" t="n">
        <f aca="false">Table134[[#This Row],[Distance]]-G167</f>
        <v>-9.11</v>
      </c>
      <c r="I168" s="22" t="n">
        <v>72</v>
      </c>
      <c r="J168" s="25" t="n">
        <f aca="false">Table134[[#This Row],[Time]]-I167</f>
        <v>-122</v>
      </c>
      <c r="L168" s="1" t="s">
        <v>32</v>
      </c>
      <c r="M168" s="1" t="n">
        <f aca="false">COUNT($C$153:$C$182)</f>
        <v>30</v>
      </c>
      <c r="N168" s="1" t="n">
        <f aca="false">COUNT($E$153:$E$182)</f>
        <v>30</v>
      </c>
      <c r="O168" s="1" t="n">
        <f aca="false">COUNT($G$153:$G$182)</f>
        <v>30</v>
      </c>
      <c r="P168" s="1" t="n">
        <f aca="false">COUNT($I$153:$I$182)</f>
        <v>30</v>
      </c>
    </row>
    <row r="169" customFormat="false" ht="13.8" hidden="false" customHeight="false" outlineLevel="0" collapsed="false">
      <c r="A169" s="20" t="n">
        <v>27</v>
      </c>
      <c r="B169" s="21" t="n">
        <v>43633</v>
      </c>
      <c r="C169" s="22" t="n">
        <v>7597</v>
      </c>
      <c r="D169" s="22" t="n">
        <f aca="false">Table134[[#This Row],[Steps]]-C168</f>
        <v>1871</v>
      </c>
      <c r="E169" s="23" t="n">
        <v>311.3</v>
      </c>
      <c r="F169" s="23" t="n">
        <f aca="false">Table134[[#This Row],[Colories]]-E168</f>
        <v>46.1</v>
      </c>
      <c r="G169" s="6" t="n">
        <v>5.47</v>
      </c>
      <c r="H169" s="24" t="n">
        <f aca="false">Table134[[#This Row],[Distance]]-G168</f>
        <v>1.35</v>
      </c>
      <c r="I169" s="22" t="n">
        <v>72</v>
      </c>
      <c r="J169" s="25" t="n">
        <f aca="false">Table134[[#This Row],[Time]]-I168</f>
        <v>0</v>
      </c>
    </row>
    <row r="170" customFormat="false" ht="13.8" hidden="false" customHeight="false" outlineLevel="0" collapsed="false">
      <c r="A170" s="20" t="n">
        <v>28</v>
      </c>
      <c r="B170" s="21" t="n">
        <v>43634</v>
      </c>
      <c r="C170" s="22" t="n">
        <v>7496</v>
      </c>
      <c r="D170" s="22" t="n">
        <f aca="false">Table134[[#This Row],[Steps]]-C169</f>
        <v>-101</v>
      </c>
      <c r="E170" s="23" t="n">
        <v>307.2</v>
      </c>
      <c r="F170" s="23" t="n">
        <f aca="false">Table134[[#This Row],[Colories]]-E169</f>
        <v>-4.10000000000002</v>
      </c>
      <c r="G170" s="6" t="n">
        <v>5.4</v>
      </c>
      <c r="H170" s="24" t="n">
        <f aca="false">Table134[[#This Row],[Distance]]-G169</f>
        <v>-0.0699999999999994</v>
      </c>
      <c r="I170" s="22" t="n">
        <v>70</v>
      </c>
      <c r="J170" s="25" t="n">
        <f aca="false">Table134[[#This Row],[Time]]-I169</f>
        <v>-2</v>
      </c>
    </row>
    <row r="171" customFormat="false" ht="13.8" hidden="false" customHeight="false" outlineLevel="0" collapsed="false">
      <c r="A171" s="20" t="n">
        <v>29</v>
      </c>
      <c r="B171" s="21" t="n">
        <v>43635</v>
      </c>
      <c r="C171" s="22" t="n">
        <v>8804</v>
      </c>
      <c r="D171" s="22" t="n">
        <f aca="false">Table134[[#This Row],[Steps]]-C170</f>
        <v>1308</v>
      </c>
      <c r="E171" s="23" t="n">
        <v>359.4</v>
      </c>
      <c r="F171" s="23" t="n">
        <f aca="false">Table134[[#This Row],[Colories]]-E170</f>
        <v>52.2</v>
      </c>
      <c r="G171" s="6" t="n">
        <v>6.34</v>
      </c>
      <c r="H171" s="24" t="n">
        <f aca="false">Table134[[#This Row],[Distance]]-G170</f>
        <v>0.94</v>
      </c>
      <c r="I171" s="22" t="n">
        <v>82</v>
      </c>
      <c r="J171" s="25" t="n">
        <f aca="false">Table134[[#This Row],[Time]]-I170</f>
        <v>12</v>
      </c>
    </row>
    <row r="172" customFormat="false" ht="13.8" hidden="false" customHeight="false" outlineLevel="0" collapsed="false">
      <c r="A172" s="20" t="n">
        <v>30</v>
      </c>
      <c r="B172" s="21" t="n">
        <v>43636</v>
      </c>
      <c r="C172" s="22" t="n">
        <v>12273</v>
      </c>
      <c r="D172" s="22" t="n">
        <f aca="false">Table134[[#This Row],[Steps]]-C171</f>
        <v>3469</v>
      </c>
      <c r="E172" s="23" t="n">
        <v>501.3</v>
      </c>
      <c r="F172" s="23" t="n">
        <f aca="false">Table134[[#This Row],[Colories]]-E171</f>
        <v>141.9</v>
      </c>
      <c r="G172" s="6" t="n">
        <v>8.84</v>
      </c>
      <c r="H172" s="24" t="n">
        <f aca="false">Table134[[#This Row],[Distance]]-G171</f>
        <v>2.5</v>
      </c>
      <c r="I172" s="22" t="n">
        <v>115</v>
      </c>
      <c r="J172" s="25" t="n">
        <f aca="false">Table134[[#This Row],[Time]]-I171</f>
        <v>33</v>
      </c>
    </row>
    <row r="173" customFormat="false" ht="13.8" hidden="false" customHeight="false" outlineLevel="0" collapsed="false">
      <c r="A173" s="20" t="n">
        <v>31</v>
      </c>
      <c r="B173" s="21" t="n">
        <v>43637</v>
      </c>
      <c r="C173" s="22" t="n">
        <v>12320</v>
      </c>
      <c r="D173" s="22" t="n">
        <f aca="false">Table134[[#This Row],[Steps]]-C172</f>
        <v>47</v>
      </c>
      <c r="E173" s="23" t="n">
        <v>520</v>
      </c>
      <c r="F173" s="23" t="n">
        <f aca="false">Table134[[#This Row],[Colories]]-E172</f>
        <v>18.7</v>
      </c>
      <c r="G173" s="6" t="n">
        <v>8.87</v>
      </c>
      <c r="H173" s="24" t="n">
        <f aca="false">Table134[[#This Row],[Distance]]-G172</f>
        <v>0.0299999999999994</v>
      </c>
      <c r="I173" s="22" t="n">
        <v>128</v>
      </c>
      <c r="J173" s="25" t="n">
        <f aca="false">Table134[[#This Row],[Time]]-I172</f>
        <v>13</v>
      </c>
    </row>
    <row r="174" customFormat="false" ht="13.8" hidden="false" customHeight="false" outlineLevel="0" collapsed="false">
      <c r="A174" s="20" t="n">
        <v>173</v>
      </c>
      <c r="B174" s="21" t="n">
        <v>43638</v>
      </c>
      <c r="C174" s="22" t="n">
        <v>15775</v>
      </c>
      <c r="D174" s="22" t="n">
        <f aca="false">Table134[[#This Row],[Steps]]-C173</f>
        <v>3455</v>
      </c>
      <c r="E174" s="23" t="n">
        <v>667.3</v>
      </c>
      <c r="F174" s="23" t="n">
        <f aca="false">Table134[[#This Row],[Colories]]-E173</f>
        <v>147.3</v>
      </c>
      <c r="G174" s="6" t="n">
        <v>11.36</v>
      </c>
      <c r="H174" s="24" t="n">
        <f aca="false">Table134[[#This Row],[Distance]]-G173</f>
        <v>2.49</v>
      </c>
      <c r="I174" s="22" t="n">
        <v>165</v>
      </c>
      <c r="J174" s="25" t="n">
        <f aca="false">Table134[[#This Row],[Time]]-I173</f>
        <v>37</v>
      </c>
    </row>
    <row r="175" customFormat="false" ht="13.8" hidden="false" customHeight="false" outlineLevel="0" collapsed="false">
      <c r="A175" s="20" t="n">
        <v>174</v>
      </c>
      <c r="B175" s="21" t="n">
        <v>43639</v>
      </c>
      <c r="C175" s="22" t="n">
        <v>8683</v>
      </c>
      <c r="D175" s="22" t="n">
        <f aca="false">Table134[[#This Row],[Steps]]-C174</f>
        <v>-7092</v>
      </c>
      <c r="E175" s="23" t="n">
        <v>372.3</v>
      </c>
      <c r="F175" s="23" t="n">
        <f aca="false">Table134[[#This Row],[Colories]]-E174</f>
        <v>-295</v>
      </c>
      <c r="G175" s="6" t="n">
        <v>6.25</v>
      </c>
      <c r="H175" s="24" t="n">
        <f aca="false">Table134[[#This Row],[Distance]]-G174</f>
        <v>-5.11</v>
      </c>
      <c r="I175" s="22" t="n">
        <v>93</v>
      </c>
      <c r="J175" s="25" t="n">
        <f aca="false">Table134[[#This Row],[Time]]-I174</f>
        <v>-72</v>
      </c>
    </row>
    <row r="176" customFormat="false" ht="13.8" hidden="false" customHeight="false" outlineLevel="0" collapsed="false">
      <c r="A176" s="20" t="n">
        <v>175</v>
      </c>
      <c r="B176" s="21" t="n">
        <v>43640</v>
      </c>
      <c r="C176" s="22" t="n">
        <v>14266</v>
      </c>
      <c r="D176" s="22" t="n">
        <f aca="false">Table134[[#This Row],[Steps]]-C175</f>
        <v>5583</v>
      </c>
      <c r="E176" s="23" t="n">
        <v>583.5</v>
      </c>
      <c r="F176" s="23" t="n">
        <f aca="false">Table134[[#This Row],[Colories]]-E175</f>
        <v>211.2</v>
      </c>
      <c r="G176" s="6" t="n">
        <v>10.27</v>
      </c>
      <c r="H176" s="24" t="n">
        <f aca="false">Table134[[#This Row],[Distance]]-G175</f>
        <v>4.02</v>
      </c>
      <c r="I176" s="22" t="n">
        <v>135</v>
      </c>
      <c r="J176" s="25" t="n">
        <f aca="false">Table134[[#This Row],[Time]]-I175</f>
        <v>42</v>
      </c>
    </row>
    <row r="177" customFormat="false" ht="13.8" hidden="false" customHeight="false" outlineLevel="0" collapsed="false">
      <c r="A177" s="20" t="n">
        <v>176</v>
      </c>
      <c r="B177" s="21" t="n">
        <v>43641</v>
      </c>
      <c r="C177" s="22" t="n">
        <v>10478</v>
      </c>
      <c r="D177" s="22" t="n">
        <f aca="false">Table134[[#This Row],[Steps]]-C176</f>
        <v>-3788</v>
      </c>
      <c r="E177" s="23" t="n">
        <v>432.7</v>
      </c>
      <c r="F177" s="23" t="n">
        <f aca="false">Table134[[#This Row],[Colories]]-E176</f>
        <v>-150.8</v>
      </c>
      <c r="G177" s="6" t="n">
        <v>7.54</v>
      </c>
      <c r="H177" s="24" t="n">
        <f aca="false">Table134[[#This Row],[Distance]]-G176</f>
        <v>-2.73</v>
      </c>
      <c r="I177" s="22" t="n">
        <v>102</v>
      </c>
      <c r="J177" s="25" t="n">
        <f aca="false">Table134[[#This Row],[Time]]-I176</f>
        <v>-33</v>
      </c>
    </row>
    <row r="178" customFormat="false" ht="13.8" hidden="false" customHeight="false" outlineLevel="0" collapsed="false">
      <c r="A178" s="20" t="n">
        <v>177</v>
      </c>
      <c r="B178" s="21" t="n">
        <v>43642</v>
      </c>
      <c r="C178" s="22" t="n">
        <v>12052</v>
      </c>
      <c r="D178" s="22" t="n">
        <f aca="false">Table134[[#This Row],[Steps]]-C177</f>
        <v>1574</v>
      </c>
      <c r="E178" s="23" t="n">
        <v>488.7</v>
      </c>
      <c r="F178" s="23" t="n">
        <f aca="false">Table134[[#This Row],[Colories]]-E177</f>
        <v>56</v>
      </c>
      <c r="G178" s="6" t="n">
        <v>8.68</v>
      </c>
      <c r="H178" s="24" t="n">
        <f aca="false">Table134[[#This Row],[Distance]]-G177</f>
        <v>1.14</v>
      </c>
      <c r="I178" s="22" t="n">
        <v>111</v>
      </c>
      <c r="J178" s="25" t="n">
        <f aca="false">Table134[[#This Row],[Time]]-I177</f>
        <v>9</v>
      </c>
    </row>
    <row r="179" customFormat="false" ht="13.8" hidden="false" customHeight="false" outlineLevel="0" collapsed="false">
      <c r="A179" s="20" t="n">
        <v>178</v>
      </c>
      <c r="B179" s="21" t="n">
        <v>43643</v>
      </c>
      <c r="C179" s="22" t="n">
        <v>9947</v>
      </c>
      <c r="D179" s="22" t="n">
        <f aca="false">Table134[[#This Row],[Steps]]-C178</f>
        <v>-2105</v>
      </c>
      <c r="E179" s="23" t="n">
        <v>403.1</v>
      </c>
      <c r="F179" s="23" t="n">
        <f aca="false">Table134[[#This Row],[Colories]]-E178</f>
        <v>-85.6</v>
      </c>
      <c r="G179" s="6" t="n">
        <v>7.16</v>
      </c>
      <c r="H179" s="24" t="n">
        <f aca="false">Table134[[#This Row],[Distance]]-G178</f>
        <v>-1.52</v>
      </c>
      <c r="I179" s="22" t="n">
        <v>91</v>
      </c>
      <c r="J179" s="25" t="n">
        <f aca="false">Table134[[#This Row],[Time]]-I178</f>
        <v>-20</v>
      </c>
    </row>
    <row r="180" customFormat="false" ht="13.8" hidden="false" customHeight="false" outlineLevel="0" collapsed="false">
      <c r="A180" s="20" t="n">
        <v>179</v>
      </c>
      <c r="B180" s="21" t="n">
        <v>43644</v>
      </c>
      <c r="C180" s="22" t="n">
        <v>11303</v>
      </c>
      <c r="D180" s="22" t="n">
        <f aca="false">Table134[[#This Row],[Steps]]-C179</f>
        <v>1356</v>
      </c>
      <c r="E180" s="23" t="n">
        <v>462.7</v>
      </c>
      <c r="F180" s="23" t="n">
        <f aca="false">Table134[[#This Row],[Colories]]-E179</f>
        <v>59.6</v>
      </c>
      <c r="G180" s="6" t="n">
        <v>8.14</v>
      </c>
      <c r="H180" s="24" t="n">
        <f aca="false">Table134[[#This Row],[Distance]]-G179</f>
        <v>0.98</v>
      </c>
      <c r="I180" s="22" t="n">
        <v>106</v>
      </c>
      <c r="J180" s="25" t="n">
        <f aca="false">Table134[[#This Row],[Time]]-I179</f>
        <v>15</v>
      </c>
    </row>
    <row r="181" customFormat="false" ht="13.8" hidden="false" customHeight="false" outlineLevel="0" collapsed="false">
      <c r="A181" s="20" t="n">
        <v>180</v>
      </c>
      <c r="B181" s="21" t="n">
        <v>43645</v>
      </c>
      <c r="C181" s="22" t="n">
        <v>3789</v>
      </c>
      <c r="D181" s="22" t="n">
        <f aca="false">Table134[[#This Row],[Steps]]-C180</f>
        <v>-7514</v>
      </c>
      <c r="E181" s="23" t="n">
        <v>159.2</v>
      </c>
      <c r="F181" s="23" t="n">
        <f aca="false">Table134[[#This Row],[Colories]]-E180</f>
        <v>-303.5</v>
      </c>
      <c r="G181" s="6" t="n">
        <v>2.73</v>
      </c>
      <c r="H181" s="24" t="n">
        <f aca="false">Table134[[#This Row],[Distance]]-G180</f>
        <v>-5.41</v>
      </c>
      <c r="I181" s="22" t="n">
        <v>38</v>
      </c>
      <c r="J181" s="25" t="n">
        <f aca="false">Table134[[#This Row],[Time]]-I180</f>
        <v>-68</v>
      </c>
    </row>
    <row r="182" customFormat="false" ht="13.8" hidden="false" customHeight="false" outlineLevel="0" collapsed="false">
      <c r="A182" s="20" t="n">
        <v>181</v>
      </c>
      <c r="B182" s="21" t="n">
        <v>43646</v>
      </c>
      <c r="C182" s="22" t="n">
        <v>6006</v>
      </c>
      <c r="D182" s="22" t="n">
        <f aca="false">Table134[[#This Row],[Steps]]-C181</f>
        <v>2217</v>
      </c>
      <c r="E182" s="23" t="n">
        <v>278.3</v>
      </c>
      <c r="F182" s="23" t="n">
        <f aca="false">Table134[[#This Row],[Colories]]-E181</f>
        <v>119.1</v>
      </c>
      <c r="G182" s="6" t="n">
        <v>4.32</v>
      </c>
      <c r="H182" s="24" t="n">
        <f aca="false">Table134[[#This Row],[Distance]]-G181</f>
        <v>1.59</v>
      </c>
      <c r="I182" s="22" t="n">
        <v>75</v>
      </c>
      <c r="J182" s="25" t="n">
        <f aca="false">Table134[[#This Row],[Time]]-I181</f>
        <v>37</v>
      </c>
    </row>
    <row r="183" customFormat="false" ht="13.8" hidden="false" customHeight="false" outlineLevel="0" collapsed="false">
      <c r="A183" s="20" t="n">
        <v>182</v>
      </c>
      <c r="B183" s="21" t="n">
        <v>43647</v>
      </c>
      <c r="C183" s="22" t="n">
        <v>11866</v>
      </c>
      <c r="D183" s="22" t="n">
        <f aca="false">Table134[[#This Row],[Steps]]-C182</f>
        <v>5860</v>
      </c>
      <c r="E183" s="23" t="n">
        <v>486.4</v>
      </c>
      <c r="F183" s="23" t="n">
        <f aca="false">Table134[[#This Row],[Colories]]-E182</f>
        <v>208.1</v>
      </c>
      <c r="G183" s="6" t="n">
        <v>8.54</v>
      </c>
      <c r="H183" s="24" t="n">
        <f aca="false">Table134[[#This Row],[Distance]]-G182</f>
        <v>4.22</v>
      </c>
      <c r="I183" s="22" t="n">
        <v>113</v>
      </c>
      <c r="J183" s="25" t="n">
        <f aca="false">Table134[[#This Row],[Time]]-I182</f>
        <v>38</v>
      </c>
      <c r="L183" s="1" t="s">
        <v>2</v>
      </c>
      <c r="M183" s="1" t="s">
        <v>179</v>
      </c>
      <c r="N183" s="1" t="s">
        <v>175</v>
      </c>
      <c r="O183" s="1" t="s">
        <v>177</v>
      </c>
    </row>
    <row r="184" customFormat="false" ht="13.8" hidden="false" customHeight="false" outlineLevel="0" collapsed="false">
      <c r="A184" s="20" t="n">
        <v>183</v>
      </c>
      <c r="B184" s="21" t="n">
        <v>43648</v>
      </c>
      <c r="C184" s="22" t="n">
        <v>15117</v>
      </c>
      <c r="D184" s="22" t="n">
        <f aca="false">Table134[[#This Row],[Steps]]-C183</f>
        <v>3251</v>
      </c>
      <c r="E184" s="23" t="n">
        <v>614.1</v>
      </c>
      <c r="F184" s="23" t="n">
        <f aca="false">Table134[[#This Row],[Colories]]-E183</f>
        <v>127.7</v>
      </c>
      <c r="G184" s="6" t="n">
        <v>10.88</v>
      </c>
      <c r="H184" s="24" t="n">
        <f aca="false">Table134[[#This Row],[Distance]]-G183</f>
        <v>2.34</v>
      </c>
      <c r="I184" s="22" t="n">
        <v>140</v>
      </c>
      <c r="J184" s="25" t="n">
        <f aca="false">Table134[[#This Row],[Time]]-I183</f>
        <v>27</v>
      </c>
      <c r="K184" s="1" t="s">
        <v>8</v>
      </c>
      <c r="L184" s="1" t="n">
        <f aca="false">AVERAGE($C$183:$C$213)</f>
        <v>10631.0322580645</v>
      </c>
      <c r="M184" s="1" t="n">
        <f aca="false">AVERAGE($E$183:$E$213)</f>
        <v>436.374193548387</v>
      </c>
      <c r="N184" s="1" t="n">
        <f aca="false">AVERAGE($G$183:$G$213)</f>
        <v>7.6541935483871</v>
      </c>
      <c r="O184" s="1" t="n">
        <f aca="false">AVERAGE($I$183:$I$213)</f>
        <v>101.032258064516</v>
      </c>
    </row>
    <row r="185" customFormat="false" ht="13.8" hidden="false" customHeight="false" outlineLevel="0" collapsed="false">
      <c r="A185" s="20" t="n">
        <v>184</v>
      </c>
      <c r="B185" s="21" t="n">
        <v>43649</v>
      </c>
      <c r="C185" s="22" t="n">
        <v>9534</v>
      </c>
      <c r="D185" s="22" t="n">
        <f aca="false">Table134[[#This Row],[Steps]]-C184</f>
        <v>-5583</v>
      </c>
      <c r="E185" s="23" t="n">
        <v>386.1</v>
      </c>
      <c r="F185" s="23" t="n">
        <f aca="false">Table134[[#This Row],[Colories]]-E184</f>
        <v>-228</v>
      </c>
      <c r="G185" s="6" t="n">
        <v>6.86</v>
      </c>
      <c r="H185" s="24" t="n">
        <f aca="false">Table134[[#This Row],[Distance]]-G184</f>
        <v>-4.02</v>
      </c>
      <c r="I185" s="22" t="n">
        <v>87</v>
      </c>
      <c r="J185" s="25" t="n">
        <f aca="false">Table134[[#This Row],[Time]]-I184</f>
        <v>-53</v>
      </c>
      <c r="K185" s="1" t="s">
        <v>10</v>
      </c>
      <c r="L185" s="1" t="n">
        <f aca="false">SQRT(VAR($C$183:$C$213)/COUNT($C$183:$C$213))</f>
        <v>838.443725368898</v>
      </c>
      <c r="M185" s="1" t="n">
        <f aca="false">SQRT(VAR($E$183:$E$213)/COUNT($E$183:$E$213))</f>
        <v>34.1811464626309</v>
      </c>
      <c r="N185" s="1" t="n">
        <f aca="false">SQRT(VAR($G$183:$G$213)/COUNT($G$183:$G$213))</f>
        <v>0.603634649559773</v>
      </c>
      <c r="O185" s="1" t="n">
        <f aca="false">SQRT(VAR($I$183:$I$213)/COUNT($I$183:$I$213))</f>
        <v>7.90786784892487</v>
      </c>
    </row>
    <row r="186" customFormat="false" ht="13.8" hidden="false" customHeight="false" outlineLevel="0" collapsed="false">
      <c r="A186" s="20" t="n">
        <v>185</v>
      </c>
      <c r="B186" s="21" t="n">
        <v>43650</v>
      </c>
      <c r="C186" s="22" t="n">
        <v>19827</v>
      </c>
      <c r="D186" s="22" t="n">
        <f aca="false">Table134[[#This Row],[Steps]]-C185</f>
        <v>10293</v>
      </c>
      <c r="E186" s="23" t="n">
        <v>813.5</v>
      </c>
      <c r="F186" s="23" t="n">
        <f aca="false">Table134[[#This Row],[Colories]]-E185</f>
        <v>427.4</v>
      </c>
      <c r="G186" s="6" t="n">
        <v>14.28</v>
      </c>
      <c r="H186" s="24" t="n">
        <f aca="false">Table134[[#This Row],[Distance]]-G185</f>
        <v>7.42</v>
      </c>
      <c r="I186" s="22" t="n">
        <v>190</v>
      </c>
      <c r="J186" s="25" t="n">
        <f aca="false">Table134[[#This Row],[Time]]-I185</f>
        <v>103</v>
      </c>
      <c r="K186" s="1" t="s">
        <v>14</v>
      </c>
      <c r="L186" s="1" t="e">
        <f aca="false">MODE($C$183:$C$213)</f>
        <v>#VALUE!</v>
      </c>
      <c r="M186" s="1" t="e">
        <f aca="false">MODE($E$183:$E$213)</f>
        <v>#VALUE!</v>
      </c>
      <c r="N186" s="1" t="n">
        <f aca="false">MODE($G$183:$G$213)</f>
        <v>8.22</v>
      </c>
      <c r="O186" s="1" t="n">
        <f aca="false">MODE($I$183:$I$213)</f>
        <v>0</v>
      </c>
    </row>
    <row r="187" customFormat="false" ht="13.8" hidden="false" customHeight="false" outlineLevel="0" collapsed="false">
      <c r="A187" s="20" t="n">
        <v>186</v>
      </c>
      <c r="B187" s="21" t="n">
        <v>43651</v>
      </c>
      <c r="C187" s="22" t="n">
        <v>11412</v>
      </c>
      <c r="D187" s="22" t="n">
        <f aca="false">Table134[[#This Row],[Steps]]-C186</f>
        <v>-8415</v>
      </c>
      <c r="E187" s="23" t="n">
        <v>473</v>
      </c>
      <c r="F187" s="23" t="n">
        <f aca="false">Table134[[#This Row],[Colories]]-E186</f>
        <v>-340.5</v>
      </c>
      <c r="G187" s="6" t="n">
        <v>8.22</v>
      </c>
      <c r="H187" s="24" t="n">
        <f aca="false">Table134[[#This Row],[Distance]]-G186</f>
        <v>-6.06</v>
      </c>
      <c r="I187" s="22" t="n">
        <v>112</v>
      </c>
      <c r="J187" s="25" t="n">
        <f aca="false">Table134[[#This Row],[Time]]-I186</f>
        <v>-78</v>
      </c>
      <c r="K187" s="1" t="s">
        <v>12</v>
      </c>
      <c r="L187" s="1" t="n">
        <f aca="false">MEDIAN($C$183:$C$213)</f>
        <v>10545</v>
      </c>
      <c r="M187" s="1" t="n">
        <f aca="false">MEDIAN($E$183:$E$213)</f>
        <v>427.6</v>
      </c>
      <c r="N187" s="1" t="n">
        <f aca="false">MEDIAN($G$183:$G$213)</f>
        <v>7.59</v>
      </c>
      <c r="O187" s="1" t="n">
        <f aca="false">MEDIAN($I$183:$I$213)</f>
        <v>100</v>
      </c>
    </row>
    <row r="188" customFormat="false" ht="13.8" hidden="false" customHeight="false" outlineLevel="0" collapsed="false">
      <c r="A188" s="20" t="n">
        <v>187</v>
      </c>
      <c r="B188" s="21" t="n">
        <v>43652</v>
      </c>
      <c r="C188" s="22" t="n">
        <v>5122</v>
      </c>
      <c r="D188" s="22" t="n">
        <f aca="false">Table134[[#This Row],[Steps]]-C187</f>
        <v>-6290</v>
      </c>
      <c r="E188" s="23" t="n">
        <v>227.5</v>
      </c>
      <c r="F188" s="23" t="n">
        <f aca="false">Table134[[#This Row],[Colories]]-E187</f>
        <v>-245.5</v>
      </c>
      <c r="G188" s="6" t="n">
        <v>3.69</v>
      </c>
      <c r="H188" s="24" t="n">
        <f aca="false">Table134[[#This Row],[Distance]]-G187</f>
        <v>-4.53</v>
      </c>
      <c r="I188" s="22" t="n">
        <v>59</v>
      </c>
      <c r="J188" s="25" t="n">
        <f aca="false">Table134[[#This Row],[Time]]-I187</f>
        <v>-53</v>
      </c>
      <c r="K188" s="1" t="s">
        <v>180</v>
      </c>
      <c r="L188" s="1" t="n">
        <f aca="false">QUARTILE($C$183:$C$213, 1)</f>
        <v>8685.5</v>
      </c>
      <c r="M188" s="1" t="n">
        <f aca="false">QUARTILE($E$183:$E$213, 1)</f>
        <v>361.85</v>
      </c>
      <c r="N188" s="1" t="n">
        <f aca="false">QUARTILE($G$183:$G$213, 1)</f>
        <v>6.25</v>
      </c>
      <c r="O188" s="1" t="n">
        <f aca="false">QUARTILE($I$183:$I$213, 1)</f>
        <v>83.5</v>
      </c>
    </row>
    <row r="189" customFormat="false" ht="13.8" hidden="false" customHeight="false" outlineLevel="0" collapsed="false">
      <c r="A189" s="20" t="n">
        <v>188</v>
      </c>
      <c r="B189" s="21" t="n">
        <v>43653</v>
      </c>
      <c r="C189" s="22" t="n">
        <v>6067</v>
      </c>
      <c r="D189" s="22" t="n">
        <f aca="false">Table134[[#This Row],[Steps]]-C188</f>
        <v>945</v>
      </c>
      <c r="E189" s="23" t="n">
        <v>264.6</v>
      </c>
      <c r="F189" s="23" t="n">
        <f aca="false">Table134[[#This Row],[Colories]]-E188</f>
        <v>37.1</v>
      </c>
      <c r="G189" s="6" t="n">
        <v>4.37</v>
      </c>
      <c r="H189" s="24" t="n">
        <f aca="false">Table134[[#This Row],[Distance]]-G188</f>
        <v>0.68</v>
      </c>
      <c r="I189" s="22" t="n">
        <v>68</v>
      </c>
      <c r="J189" s="25" t="n">
        <f aca="false">Table134[[#This Row],[Time]]-I188</f>
        <v>9</v>
      </c>
      <c r="K189" s="1" t="s">
        <v>181</v>
      </c>
      <c r="L189" s="1" t="n">
        <f aca="false">QUARTILE($C$183:$C$213, 3)</f>
        <v>12742.5</v>
      </c>
      <c r="M189" s="1" t="n">
        <f aca="false">QUARTILE($E$183:$E$213, 3)</f>
        <v>518</v>
      </c>
      <c r="N189" s="1" t="n">
        <f aca="false">QUARTILE($G$183:$G$213, 3)</f>
        <v>9.175</v>
      </c>
      <c r="O189" s="1" t="n">
        <f aca="false">QUARTILE($I$183:$I$213, 3)</f>
        <v>118</v>
      </c>
    </row>
    <row r="190" customFormat="false" ht="13.8" hidden="false" customHeight="false" outlineLevel="0" collapsed="false">
      <c r="A190" s="20" t="n">
        <v>189</v>
      </c>
      <c r="B190" s="21" t="n">
        <v>43654</v>
      </c>
      <c r="C190" s="22" t="n">
        <v>19386</v>
      </c>
      <c r="D190" s="22" t="n">
        <f aca="false">Table134[[#This Row],[Steps]]-C189</f>
        <v>13319</v>
      </c>
      <c r="E190" s="23" t="n">
        <v>789.3</v>
      </c>
      <c r="F190" s="23" t="n">
        <f aca="false">Table134[[#This Row],[Colories]]-E189</f>
        <v>524.7</v>
      </c>
      <c r="G190" s="6" t="n">
        <v>13.96</v>
      </c>
      <c r="H190" s="24" t="n">
        <f aca="false">Table134[[#This Row],[Distance]]-G189</f>
        <v>9.59</v>
      </c>
      <c r="I190" s="22" t="n">
        <v>180</v>
      </c>
      <c r="J190" s="25" t="n">
        <f aca="false">Table134[[#This Row],[Time]]-I189</f>
        <v>112</v>
      </c>
      <c r="K190" s="1" t="s">
        <v>182</v>
      </c>
      <c r="L190" s="1" t="n">
        <f aca="false">VAR($C$183:$C$213)</f>
        <v>21792624.2989247</v>
      </c>
      <c r="M190" s="1" t="n">
        <f aca="false">VAR($E$183:$E$213)</f>
        <v>36218.8739784946</v>
      </c>
      <c r="N190" s="1" t="n">
        <f aca="false">VAR($G$183:$G$213)</f>
        <v>11.2956184946237</v>
      </c>
      <c r="O190" s="1" t="n">
        <f aca="false">VAR($I$183:$I$213)</f>
        <v>1938.56559139785</v>
      </c>
    </row>
    <row r="191" customFormat="false" ht="13.8" hidden="false" customHeight="false" outlineLevel="0" collapsed="false">
      <c r="A191" s="20" t="n">
        <v>190</v>
      </c>
      <c r="B191" s="21" t="n">
        <v>43655</v>
      </c>
      <c r="C191" s="22" t="n">
        <v>11880</v>
      </c>
      <c r="D191" s="22" t="n">
        <f aca="false">Table134[[#This Row],[Steps]]-C190</f>
        <v>-7506</v>
      </c>
      <c r="E191" s="23" t="n">
        <v>481.9</v>
      </c>
      <c r="F191" s="23" t="n">
        <f aca="false">Table134[[#This Row],[Colories]]-E190</f>
        <v>-307.4</v>
      </c>
      <c r="G191" s="6" t="n">
        <v>8.55</v>
      </c>
      <c r="H191" s="24" t="n">
        <f aca="false">Table134[[#This Row],[Distance]]-G190</f>
        <v>-5.41</v>
      </c>
      <c r="I191" s="22" t="n">
        <v>110</v>
      </c>
      <c r="J191" s="25" t="n">
        <f aca="false">Table134[[#This Row],[Time]]-I190</f>
        <v>-70</v>
      </c>
      <c r="K191" s="1" t="s">
        <v>16</v>
      </c>
      <c r="L191" s="1" t="n">
        <f aca="false">STDEV($C$183:$C$213)</f>
        <v>4668.25709434739</v>
      </c>
      <c r="M191" s="1" t="n">
        <f aca="false">STDEV($E$183:$E$213)</f>
        <v>190.31256915531</v>
      </c>
      <c r="N191" s="1" t="n">
        <f aca="false">STDEV($G$183:$G$213)</f>
        <v>3.36089548998829</v>
      </c>
      <c r="O191" s="1" t="n">
        <f aca="false">STDEV($I$183:$I$213)</f>
        <v>44.0291447952132</v>
      </c>
    </row>
    <row r="192" customFormat="false" ht="13.8" hidden="false" customHeight="false" outlineLevel="0" collapsed="false">
      <c r="A192" s="20" t="n">
        <v>191</v>
      </c>
      <c r="B192" s="21" t="n">
        <v>43656</v>
      </c>
      <c r="C192" s="22" t="n">
        <v>9045</v>
      </c>
      <c r="D192" s="22" t="n">
        <f aca="false">Table134[[#This Row],[Steps]]-C191</f>
        <v>-2835</v>
      </c>
      <c r="E192" s="23" t="n">
        <v>363.9</v>
      </c>
      <c r="F192" s="23" t="n">
        <f aca="false">Table134[[#This Row],[Colories]]-E191</f>
        <v>-118</v>
      </c>
      <c r="G192" s="6" t="n">
        <v>6.51</v>
      </c>
      <c r="H192" s="24" t="n">
        <f aca="false">Table134[[#This Row],[Distance]]-G191</f>
        <v>-2.04</v>
      </c>
      <c r="I192" s="22" t="n">
        <v>80</v>
      </c>
      <c r="J192" s="25" t="n">
        <f aca="false">Table134[[#This Row],[Time]]-I191</f>
        <v>-30</v>
      </c>
      <c r="K192" s="1" t="s">
        <v>20</v>
      </c>
      <c r="L192" s="1" t="n">
        <f aca="false">KURT($C$183:$C$213)</f>
        <v>0.614479922727663</v>
      </c>
      <c r="M192" s="1" t="n">
        <f aca="false">KURT($E$183:$E$213)</f>
        <v>0.703610734136338</v>
      </c>
      <c r="N192" s="1" t="n">
        <f aca="false">KURT($G$183:$G$213)</f>
        <v>0.615094558142333</v>
      </c>
      <c r="O192" s="1" t="n">
        <f aca="false">KURT($I$183:$I$213)</f>
        <v>0.811899664753383</v>
      </c>
    </row>
    <row r="193" customFormat="false" ht="13.8" hidden="false" customHeight="false" outlineLevel="0" collapsed="false">
      <c r="A193" s="20" t="n">
        <v>192</v>
      </c>
      <c r="B193" s="21" t="n">
        <v>43657</v>
      </c>
      <c r="C193" s="22" t="n">
        <v>7481</v>
      </c>
      <c r="D193" s="22" t="n">
        <f aca="false">Table134[[#This Row],[Steps]]-C192</f>
        <v>-1564</v>
      </c>
      <c r="E193" s="23" t="n">
        <v>303.2</v>
      </c>
      <c r="F193" s="23" t="n">
        <f aca="false">Table134[[#This Row],[Colories]]-E192</f>
        <v>-60.7</v>
      </c>
      <c r="G193" s="6" t="n">
        <v>5.39</v>
      </c>
      <c r="H193" s="24" t="n">
        <f aca="false">Table134[[#This Row],[Distance]]-G192</f>
        <v>-1.12</v>
      </c>
      <c r="I193" s="22" t="n">
        <v>68</v>
      </c>
      <c r="J193" s="25" t="n">
        <f aca="false">Table134[[#This Row],[Time]]-I192</f>
        <v>-12</v>
      </c>
      <c r="K193" s="1" t="s">
        <v>22</v>
      </c>
      <c r="L193" s="1" t="n">
        <f aca="false">SKEW($C$183:$C$213)</f>
        <v>-0.242991048523589</v>
      </c>
      <c r="M193" s="1" t="n">
        <f aca="false">SKEW($E$183:$E$213)</f>
        <v>-0.229257768169375</v>
      </c>
      <c r="N193" s="1" t="n">
        <f aca="false">SKEW($G$183:$G$213)</f>
        <v>-0.241031901949409</v>
      </c>
      <c r="O193" s="1" t="n">
        <f aca="false">SKEW($I$183:$I$213)</f>
        <v>-0.19427937394209</v>
      </c>
    </row>
    <row r="194" customFormat="false" ht="13.8" hidden="false" customHeight="false" outlineLevel="0" collapsed="false">
      <c r="A194" s="20" t="n">
        <v>193</v>
      </c>
      <c r="B194" s="21" t="n">
        <v>43658</v>
      </c>
      <c r="C194" s="22" t="n">
        <v>9167</v>
      </c>
      <c r="D194" s="22" t="n">
        <f aca="false">Table134[[#This Row],[Steps]]-C193</f>
        <v>1686</v>
      </c>
      <c r="E194" s="23" t="n">
        <v>376.6</v>
      </c>
      <c r="F194" s="23" t="n">
        <f aca="false">Table134[[#This Row],[Colories]]-E193</f>
        <v>73.4</v>
      </c>
      <c r="G194" s="6" t="n">
        <v>6.6</v>
      </c>
      <c r="H194" s="24" t="n">
        <f aca="false">Table134[[#This Row],[Distance]]-G193</f>
        <v>1.21</v>
      </c>
      <c r="I194" s="22" t="n">
        <v>88</v>
      </c>
      <c r="J194" s="25" t="n">
        <f aca="false">Table134[[#This Row],[Time]]-I193</f>
        <v>20</v>
      </c>
      <c r="K194" s="1" t="s">
        <v>24</v>
      </c>
      <c r="L194" s="1" t="n">
        <f aca="false">MAX($C$183:$C$213)-MIN($C$183:$C$213)</f>
        <v>19827</v>
      </c>
      <c r="M194" s="1" t="n">
        <f aca="false">MAX($E$183:$E$213)-MIN($E$183:$E$213)</f>
        <v>813.5</v>
      </c>
      <c r="N194" s="1" t="n">
        <f aca="false">MAX($G$183:$G$213)-MIN($G$183:$G$213)</f>
        <v>14.28</v>
      </c>
      <c r="O194" s="1" t="n">
        <f aca="false">MAX($I$183:$I$213)-MIN($I$183:$I$213)</f>
        <v>190</v>
      </c>
    </row>
    <row r="195" customFormat="false" ht="13.8" hidden="false" customHeight="false" outlineLevel="0" collapsed="false">
      <c r="A195" s="20" t="n">
        <v>194</v>
      </c>
      <c r="B195" s="21" t="n">
        <v>43659</v>
      </c>
      <c r="C195" s="22" t="n">
        <v>36</v>
      </c>
      <c r="D195" s="22" t="n">
        <f aca="false">Table134[[#This Row],[Steps]]-C194</f>
        <v>-9131</v>
      </c>
      <c r="E195" s="23" t="n">
        <v>1.4</v>
      </c>
      <c r="F195" s="23" t="n">
        <f aca="false">Table134[[#This Row],[Colories]]-E194</f>
        <v>-375.2</v>
      </c>
      <c r="G195" s="6" t="n">
        <v>0.03</v>
      </c>
      <c r="H195" s="24" t="n">
        <f aca="false">Table134[[#This Row],[Distance]]-G194</f>
        <v>-6.57</v>
      </c>
      <c r="I195" s="22" t="n">
        <v>0</v>
      </c>
      <c r="J195" s="25" t="n">
        <f aca="false">Table134[[#This Row],[Time]]-I194</f>
        <v>-88</v>
      </c>
      <c r="K195" s="1" t="s">
        <v>26</v>
      </c>
      <c r="L195" s="1" t="n">
        <f aca="false">MIN($C$183:$C$213)</f>
        <v>0</v>
      </c>
      <c r="M195" s="1" t="n">
        <f aca="false">MIN($E$183:$E$213)</f>
        <v>0</v>
      </c>
      <c r="N195" s="1" t="n">
        <f aca="false">MIN($G$183:$G$213)</f>
        <v>0</v>
      </c>
      <c r="O195" s="1" t="n">
        <f aca="false">MIN($I$183:$I$213)</f>
        <v>0</v>
      </c>
    </row>
    <row r="196" customFormat="false" ht="13.8" hidden="false" customHeight="false" outlineLevel="0" collapsed="false">
      <c r="A196" s="20" t="n">
        <v>195</v>
      </c>
      <c r="B196" s="21" t="n">
        <v>43660</v>
      </c>
      <c r="C196" s="22" t="n">
        <v>4563</v>
      </c>
      <c r="D196" s="22" t="n">
        <f aca="false">Table134[[#This Row],[Steps]]-C195</f>
        <v>4527</v>
      </c>
      <c r="E196" s="23" t="n">
        <v>184.5</v>
      </c>
      <c r="F196" s="23" t="n">
        <f aca="false">Table134[[#This Row],[Colories]]-E195</f>
        <v>183.1</v>
      </c>
      <c r="G196" s="6" t="n">
        <v>3.29</v>
      </c>
      <c r="H196" s="24" t="n">
        <f aca="false">Table134[[#This Row],[Distance]]-G195</f>
        <v>3.26</v>
      </c>
      <c r="I196" s="22" t="n">
        <v>40</v>
      </c>
      <c r="J196" s="25" t="n">
        <f aca="false">Table134[[#This Row],[Time]]-I195</f>
        <v>40</v>
      </c>
      <c r="K196" s="1" t="s">
        <v>28</v>
      </c>
      <c r="L196" s="1" t="n">
        <f aca="false">MAX($C$183:$C$213)</f>
        <v>19827</v>
      </c>
      <c r="M196" s="1" t="n">
        <f aca="false">MAX($E$183:$E$213)</f>
        <v>813.5</v>
      </c>
      <c r="N196" s="1" t="n">
        <f aca="false">MAX($G$183:$G$213)</f>
        <v>14.28</v>
      </c>
      <c r="O196" s="1" t="n">
        <f aca="false">MAX($I$183:$I$213)</f>
        <v>190</v>
      </c>
    </row>
    <row r="197" customFormat="false" ht="13.8" hidden="false" customHeight="false" outlineLevel="0" collapsed="false">
      <c r="A197" s="20" t="n">
        <v>196</v>
      </c>
      <c r="B197" s="21" t="n">
        <v>43661</v>
      </c>
      <c r="C197" s="22" t="n">
        <v>11143</v>
      </c>
      <c r="D197" s="22" t="n">
        <f aca="false">Table134[[#This Row],[Steps]]-C196</f>
        <v>6580</v>
      </c>
      <c r="E197" s="23" t="n">
        <v>453.2</v>
      </c>
      <c r="F197" s="23" t="n">
        <f aca="false">Table134[[#This Row],[Colories]]-E196</f>
        <v>268.7</v>
      </c>
      <c r="G197" s="6" t="n">
        <v>8.02</v>
      </c>
      <c r="H197" s="24" t="n">
        <f aca="false">Table134[[#This Row],[Distance]]-G196</f>
        <v>4.73</v>
      </c>
      <c r="I197" s="22" t="n">
        <v>103</v>
      </c>
      <c r="J197" s="25" t="n">
        <f aca="false">Table134[[#This Row],[Time]]-I196</f>
        <v>63</v>
      </c>
      <c r="K197" s="1" t="s">
        <v>30</v>
      </c>
      <c r="L197" s="1" t="n">
        <f aca="false">SUM($C$183:$C$213)</f>
        <v>329562</v>
      </c>
      <c r="M197" s="1" t="n">
        <f aca="false">SUM($E$183:$E$213)</f>
        <v>13527.6</v>
      </c>
      <c r="N197" s="1" t="n">
        <f aca="false">SUM($G$183:$G$213)</f>
        <v>237.28</v>
      </c>
      <c r="O197" s="1" t="n">
        <f aca="false">SUM($I$183:$I$213)</f>
        <v>3132</v>
      </c>
    </row>
    <row r="198" customFormat="false" ht="13.8" hidden="false" customHeight="false" outlineLevel="0" collapsed="false">
      <c r="A198" s="20" t="n">
        <v>197</v>
      </c>
      <c r="B198" s="21" t="n">
        <v>43662</v>
      </c>
      <c r="C198" s="22" t="n">
        <v>10771</v>
      </c>
      <c r="D198" s="22" t="n">
        <f aca="false">Table134[[#This Row],[Steps]]-C197</f>
        <v>-372</v>
      </c>
      <c r="E198" s="23" t="n">
        <v>442.4</v>
      </c>
      <c r="F198" s="23" t="n">
        <f aca="false">Table134[[#This Row],[Colories]]-E197</f>
        <v>-10.8</v>
      </c>
      <c r="G198" s="6" t="n">
        <v>7.76</v>
      </c>
      <c r="H198" s="24" t="n">
        <f aca="false">Table134[[#This Row],[Distance]]-G197</f>
        <v>-0.26</v>
      </c>
      <c r="I198" s="22" t="n">
        <v>103</v>
      </c>
      <c r="J198" s="25" t="n">
        <f aca="false">Table134[[#This Row],[Time]]-I197</f>
        <v>0</v>
      </c>
      <c r="K198" s="1" t="s">
        <v>32</v>
      </c>
      <c r="L198" s="1" t="n">
        <f aca="false">COUNT($C$183:$C$213)</f>
        <v>31</v>
      </c>
      <c r="M198" s="1" t="n">
        <f aca="false">COUNT($E$183:$E$213)</f>
        <v>31</v>
      </c>
      <c r="N198" s="1" t="n">
        <f aca="false">COUNT($G$183:$G$213)</f>
        <v>31</v>
      </c>
      <c r="O198" s="1" t="n">
        <f aca="false">COUNT($I$183:$I$213)</f>
        <v>31</v>
      </c>
    </row>
    <row r="199" customFormat="false" ht="13.8" hidden="false" customHeight="false" outlineLevel="0" collapsed="false">
      <c r="A199" s="20" t="n">
        <v>198</v>
      </c>
      <c r="B199" s="21" t="n">
        <v>43663</v>
      </c>
      <c r="C199" s="22" t="n">
        <v>16153</v>
      </c>
      <c r="D199" s="22" t="n">
        <f aca="false">Table134[[#This Row],[Steps]]-C198</f>
        <v>5382</v>
      </c>
      <c r="E199" s="23" t="n">
        <v>661.2</v>
      </c>
      <c r="F199" s="23" t="n">
        <f aca="false">Table134[[#This Row],[Colories]]-E198</f>
        <v>218.8</v>
      </c>
      <c r="G199" s="6" t="n">
        <v>11.63</v>
      </c>
      <c r="H199" s="24" t="n">
        <f aca="false">Table134[[#This Row],[Distance]]-G198</f>
        <v>3.87</v>
      </c>
      <c r="I199" s="22" t="n">
        <v>153</v>
      </c>
      <c r="J199" s="25" t="n">
        <f aca="false">Table134[[#This Row],[Time]]-I198</f>
        <v>50</v>
      </c>
    </row>
    <row r="200" customFormat="false" ht="13.8" hidden="false" customHeight="false" outlineLevel="0" collapsed="false">
      <c r="A200" s="20" t="n">
        <v>199</v>
      </c>
      <c r="B200" s="21" t="n">
        <v>43664</v>
      </c>
      <c r="C200" s="22" t="n">
        <v>9908</v>
      </c>
      <c r="D200" s="22" t="n">
        <f aca="false">Table134[[#This Row],[Steps]]-C199</f>
        <v>-6245</v>
      </c>
      <c r="E200" s="23" t="n">
        <v>399.6</v>
      </c>
      <c r="F200" s="23" t="n">
        <f aca="false">Table134[[#This Row],[Colories]]-E199</f>
        <v>-261.6</v>
      </c>
      <c r="G200" s="6" t="n">
        <v>7.13</v>
      </c>
      <c r="H200" s="24" t="n">
        <f aca="false">Table134[[#This Row],[Distance]]-G199</f>
        <v>-4.5</v>
      </c>
      <c r="I200" s="22" t="n">
        <v>89</v>
      </c>
      <c r="J200" s="25" t="n">
        <f aca="false">Table134[[#This Row],[Time]]-I199</f>
        <v>-64</v>
      </c>
    </row>
    <row r="201" customFormat="false" ht="13.8" hidden="false" customHeight="false" outlineLevel="0" collapsed="false">
      <c r="A201" s="20" t="n">
        <v>200</v>
      </c>
      <c r="B201" s="21" t="n">
        <v>43665</v>
      </c>
      <c r="C201" s="22" t="n">
        <v>0</v>
      </c>
      <c r="D201" s="22" t="n">
        <f aca="false">Table134[[#This Row],[Steps]]-C200</f>
        <v>-9908</v>
      </c>
      <c r="E201" s="23" t="n">
        <v>0</v>
      </c>
      <c r="F201" s="23" t="n">
        <f aca="false">Table134[[#This Row],[Colories]]-E200</f>
        <v>-399.6</v>
      </c>
      <c r="G201" s="6" t="n">
        <v>0</v>
      </c>
      <c r="H201" s="24" t="n">
        <f aca="false">Table134[[#This Row],[Distance]]-G200</f>
        <v>-7.13</v>
      </c>
      <c r="I201" s="22" t="n">
        <v>0</v>
      </c>
      <c r="J201" s="25" t="n">
        <f aca="false">Table134[[#This Row],[Time]]-I200</f>
        <v>-89</v>
      </c>
    </row>
    <row r="202" customFormat="false" ht="13.8" hidden="false" customHeight="false" outlineLevel="0" collapsed="false">
      <c r="A202" s="20" t="n">
        <v>201</v>
      </c>
      <c r="B202" s="21" t="n">
        <v>43666</v>
      </c>
      <c r="C202" s="22" t="n">
        <v>10519</v>
      </c>
      <c r="D202" s="22" t="n">
        <f aca="false">Table134[[#This Row],[Steps]]-C201</f>
        <v>10519</v>
      </c>
      <c r="E202" s="23" t="n">
        <v>423.7</v>
      </c>
      <c r="F202" s="23" t="n">
        <f aca="false">Table134[[#This Row],[Colories]]-E201</f>
        <v>423.7</v>
      </c>
      <c r="G202" s="6" t="n">
        <v>7.57</v>
      </c>
      <c r="H202" s="24" t="n">
        <f aca="false">Table134[[#This Row],[Distance]]-G201</f>
        <v>7.57</v>
      </c>
      <c r="I202" s="22" t="n">
        <v>94</v>
      </c>
      <c r="J202" s="25" t="n">
        <f aca="false">Table134[[#This Row],[Time]]-I201</f>
        <v>94</v>
      </c>
    </row>
    <row r="203" customFormat="false" ht="13.8" hidden="false" customHeight="false" outlineLevel="0" collapsed="false">
      <c r="A203" s="20" t="n">
        <v>202</v>
      </c>
      <c r="B203" s="21" t="n">
        <v>43667</v>
      </c>
      <c r="C203" s="22" t="n">
        <v>8326</v>
      </c>
      <c r="D203" s="22" t="n">
        <f aca="false">Table134[[#This Row],[Steps]]-C202</f>
        <v>-2193</v>
      </c>
      <c r="E203" s="23" t="n">
        <v>359.8</v>
      </c>
      <c r="F203" s="23" t="n">
        <f aca="false">Table134[[#This Row],[Colories]]-E202</f>
        <v>-63.9</v>
      </c>
      <c r="G203" s="6" t="n">
        <v>5.99</v>
      </c>
      <c r="H203" s="24" t="n">
        <f aca="false">Table134[[#This Row],[Distance]]-G202</f>
        <v>-1.58</v>
      </c>
      <c r="I203" s="22" t="n">
        <v>90</v>
      </c>
      <c r="J203" s="25" t="n">
        <f aca="false">Table134[[#This Row],[Time]]-I202</f>
        <v>-4</v>
      </c>
    </row>
    <row r="204" customFormat="false" ht="13.8" hidden="false" customHeight="false" outlineLevel="0" collapsed="false">
      <c r="A204" s="20" t="n">
        <v>203</v>
      </c>
      <c r="B204" s="21" t="n">
        <v>43668</v>
      </c>
      <c r="C204" s="22" t="n">
        <v>15683</v>
      </c>
      <c r="D204" s="22" t="n">
        <f aca="false">Table134[[#This Row],[Steps]]-C203</f>
        <v>7357</v>
      </c>
      <c r="E204" s="23" t="n">
        <v>639.7</v>
      </c>
      <c r="F204" s="23" t="n">
        <f aca="false">Table134[[#This Row],[Colories]]-E203</f>
        <v>279.9</v>
      </c>
      <c r="G204" s="6" t="n">
        <v>11.29</v>
      </c>
      <c r="H204" s="24" t="n">
        <f aca="false">Table134[[#This Row],[Distance]]-G203</f>
        <v>5.3</v>
      </c>
      <c r="I204" s="22" t="n">
        <v>147</v>
      </c>
      <c r="J204" s="25" t="n">
        <f aca="false">Table134[[#This Row],[Time]]-I203</f>
        <v>57</v>
      </c>
    </row>
    <row r="205" customFormat="false" ht="13.8" hidden="false" customHeight="false" outlineLevel="0" collapsed="false">
      <c r="A205" s="20" t="n">
        <v>204</v>
      </c>
      <c r="B205" s="21" t="n">
        <v>43669</v>
      </c>
      <c r="C205" s="22" t="n">
        <v>8306</v>
      </c>
      <c r="D205" s="22" t="n">
        <f aca="false">Table134[[#This Row],[Steps]]-C204</f>
        <v>-7377</v>
      </c>
      <c r="E205" s="23" t="n">
        <v>338.5</v>
      </c>
      <c r="F205" s="23" t="n">
        <f aca="false">Table134[[#This Row],[Colories]]-E204</f>
        <v>-301.2</v>
      </c>
      <c r="G205" s="6" t="n">
        <v>5.98</v>
      </c>
      <c r="H205" s="24" t="n">
        <f aca="false">Table134[[#This Row],[Distance]]-G204</f>
        <v>-5.31</v>
      </c>
      <c r="I205" s="22" t="n">
        <v>77</v>
      </c>
      <c r="J205" s="25" t="n">
        <f aca="false">Table134[[#This Row],[Time]]-I204</f>
        <v>-70</v>
      </c>
    </row>
    <row r="206" customFormat="false" ht="13.8" hidden="false" customHeight="false" outlineLevel="0" collapsed="false">
      <c r="A206" s="20" t="n">
        <v>205</v>
      </c>
      <c r="B206" s="21" t="n">
        <v>43670</v>
      </c>
      <c r="C206" s="22" t="n">
        <v>12424</v>
      </c>
      <c r="D206" s="22" t="n">
        <f aca="false">Table134[[#This Row],[Steps]]-C205</f>
        <v>4118</v>
      </c>
      <c r="E206" s="23" t="n">
        <v>507.1</v>
      </c>
      <c r="F206" s="23" t="n">
        <f aca="false">Table134[[#This Row],[Colories]]-E205</f>
        <v>168.6</v>
      </c>
      <c r="G206" s="6" t="n">
        <v>8.95</v>
      </c>
      <c r="H206" s="24" t="n">
        <f aca="false">Table134[[#This Row],[Distance]]-G205</f>
        <v>2.97</v>
      </c>
      <c r="I206" s="22" t="n">
        <v>117</v>
      </c>
      <c r="J206" s="25" t="n">
        <f aca="false">Table134[[#This Row],[Time]]-I205</f>
        <v>40</v>
      </c>
    </row>
    <row r="207" customFormat="false" ht="13.8" hidden="false" customHeight="false" outlineLevel="0" collapsed="false">
      <c r="A207" s="20" t="n">
        <v>206</v>
      </c>
      <c r="B207" s="21" t="n">
        <v>43671</v>
      </c>
      <c r="C207" s="22" t="n">
        <v>13818</v>
      </c>
      <c r="D207" s="22" t="n">
        <f aca="false">Table134[[#This Row],[Steps]]-C206</f>
        <v>1394</v>
      </c>
      <c r="E207" s="23" t="n">
        <v>562.6</v>
      </c>
      <c r="F207" s="23" t="n">
        <f aca="false">Table134[[#This Row],[Colories]]-E206</f>
        <v>55.5</v>
      </c>
      <c r="G207" s="6" t="n">
        <v>9.95</v>
      </c>
      <c r="H207" s="24" t="n">
        <f aca="false">Table134[[#This Row],[Distance]]-G206</f>
        <v>1</v>
      </c>
      <c r="I207" s="22" t="n">
        <v>129</v>
      </c>
      <c r="J207" s="25" t="n">
        <f aca="false">Table134[[#This Row],[Time]]-I206</f>
        <v>12</v>
      </c>
    </row>
    <row r="208" customFormat="false" ht="13.8" hidden="false" customHeight="false" outlineLevel="0" collapsed="false">
      <c r="A208" s="20" t="n">
        <v>207</v>
      </c>
      <c r="B208" s="21" t="n">
        <v>43672</v>
      </c>
      <c r="C208" s="22" t="n">
        <v>9638</v>
      </c>
      <c r="D208" s="22" t="n">
        <f aca="false">Table134[[#This Row],[Steps]]-C207</f>
        <v>-4180</v>
      </c>
      <c r="E208" s="23" t="n">
        <v>398.9</v>
      </c>
      <c r="F208" s="23" t="n">
        <f aca="false">Table134[[#This Row],[Colories]]-E207</f>
        <v>-163.7</v>
      </c>
      <c r="G208" s="6" t="n">
        <v>6.94</v>
      </c>
      <c r="H208" s="24" t="n">
        <f aca="false">Table134[[#This Row],[Distance]]-G207</f>
        <v>-3.01</v>
      </c>
      <c r="I208" s="22" t="n">
        <v>94</v>
      </c>
      <c r="J208" s="25" t="n">
        <f aca="false">Table134[[#This Row],[Time]]-I207</f>
        <v>-35</v>
      </c>
    </row>
    <row r="209" customFormat="false" ht="13.8" hidden="false" customHeight="false" outlineLevel="0" collapsed="false">
      <c r="A209" s="20" t="n">
        <v>208</v>
      </c>
      <c r="B209" s="21" t="n">
        <v>43673</v>
      </c>
      <c r="C209" s="22" t="n">
        <v>17718</v>
      </c>
      <c r="D209" s="22" t="n">
        <f aca="false">Table134[[#This Row],[Steps]]-C208</f>
        <v>8080</v>
      </c>
      <c r="E209" s="23" t="n">
        <v>744.9</v>
      </c>
      <c r="F209" s="23" t="n">
        <f aca="false">Table134[[#This Row],[Colories]]-E208</f>
        <v>346</v>
      </c>
      <c r="G209" s="6" t="n">
        <v>12.76</v>
      </c>
      <c r="H209" s="24" t="n">
        <f aca="false">Table134[[#This Row],[Distance]]-G208</f>
        <v>5.82</v>
      </c>
      <c r="I209" s="22" t="n">
        <v>179</v>
      </c>
      <c r="J209" s="25" t="n">
        <f aca="false">Table134[[#This Row],[Time]]-I208</f>
        <v>85</v>
      </c>
    </row>
    <row r="210" customFormat="false" ht="13.8" hidden="false" customHeight="false" outlineLevel="0" collapsed="false">
      <c r="A210" s="20" t="n">
        <v>209</v>
      </c>
      <c r="B210" s="21" t="n">
        <v>43674</v>
      </c>
      <c r="C210" s="22" t="n">
        <v>9624</v>
      </c>
      <c r="D210" s="22" t="n">
        <f aca="false">Table134[[#This Row],[Steps]]-C209</f>
        <v>-8094</v>
      </c>
      <c r="E210" s="23" t="n">
        <v>407.9</v>
      </c>
      <c r="F210" s="23" t="n">
        <f aca="false">Table134[[#This Row],[Colories]]-E209</f>
        <v>-337</v>
      </c>
      <c r="G210" s="6" t="n">
        <v>6.93</v>
      </c>
      <c r="H210" s="24" t="n">
        <f aca="false">Table134[[#This Row],[Distance]]-G209</f>
        <v>-5.83</v>
      </c>
      <c r="I210" s="22" t="n">
        <v>100</v>
      </c>
      <c r="J210" s="25" t="n">
        <f aca="false">Table134[[#This Row],[Time]]-I209</f>
        <v>-79</v>
      </c>
    </row>
    <row r="211" customFormat="false" ht="13.8" hidden="false" customHeight="false" outlineLevel="0" collapsed="false">
      <c r="A211" s="20" t="n">
        <v>210</v>
      </c>
      <c r="B211" s="21" t="n">
        <v>43675</v>
      </c>
      <c r="C211" s="22" t="n">
        <v>13061</v>
      </c>
      <c r="D211" s="22" t="n">
        <f aca="false">Table134[[#This Row],[Steps]]-C210</f>
        <v>3437</v>
      </c>
      <c r="E211" s="23" t="n">
        <v>528.9</v>
      </c>
      <c r="F211" s="23" t="n">
        <f aca="false">Table134[[#This Row],[Colories]]-E210</f>
        <v>121</v>
      </c>
      <c r="G211" s="6" t="n">
        <v>9.4</v>
      </c>
      <c r="H211" s="24" t="n">
        <f aca="false">Table134[[#This Row],[Distance]]-G210</f>
        <v>2.47</v>
      </c>
      <c r="I211" s="22" t="n">
        <v>119</v>
      </c>
      <c r="J211" s="25" t="n">
        <f aca="false">Table134[[#This Row],[Time]]-I210</f>
        <v>19</v>
      </c>
    </row>
    <row r="212" customFormat="false" ht="13.8" hidden="false" customHeight="false" outlineLevel="0" collapsed="false">
      <c r="A212" s="20" t="n">
        <v>211</v>
      </c>
      <c r="B212" s="21" t="n">
        <v>43676</v>
      </c>
      <c r="C212" s="22" t="n">
        <v>10545</v>
      </c>
      <c r="D212" s="22" t="n">
        <f aca="false">Table134[[#This Row],[Steps]]-C211</f>
        <v>-2516</v>
      </c>
      <c r="E212" s="23" t="n">
        <v>427.6</v>
      </c>
      <c r="F212" s="23" t="n">
        <f aca="false">Table134[[#This Row],[Colories]]-E211</f>
        <v>-101.3</v>
      </c>
      <c r="G212" s="6" t="n">
        <v>7.59</v>
      </c>
      <c r="H212" s="24" t="n">
        <f aca="false">Table134[[#This Row],[Distance]]-G211</f>
        <v>-1.81</v>
      </c>
      <c r="I212" s="22" t="n">
        <v>97</v>
      </c>
      <c r="J212" s="25" t="n">
        <f aca="false">Table134[[#This Row],[Time]]-I211</f>
        <v>-22</v>
      </c>
    </row>
    <row r="213" customFormat="false" ht="13.8" hidden="false" customHeight="false" outlineLevel="0" collapsed="false">
      <c r="A213" s="20" t="n">
        <v>212</v>
      </c>
      <c r="B213" s="21" t="n">
        <v>43677</v>
      </c>
      <c r="C213" s="22" t="n">
        <v>11422</v>
      </c>
      <c r="D213" s="22" t="n">
        <f aca="false">Table134[[#This Row],[Steps]]-C212</f>
        <v>877</v>
      </c>
      <c r="E213" s="23" t="n">
        <v>465.6</v>
      </c>
      <c r="F213" s="23" t="n">
        <f aca="false">Table134[[#This Row],[Colories]]-E212</f>
        <v>38</v>
      </c>
      <c r="G213" s="6" t="n">
        <v>8.22</v>
      </c>
      <c r="H213" s="24" t="n">
        <f aca="false">Table134[[#This Row],[Distance]]-G212</f>
        <v>0.630000000000001</v>
      </c>
      <c r="I213" s="22" t="n">
        <v>106</v>
      </c>
      <c r="J213" s="25" t="n">
        <f aca="false">Table134[[#This Row],[Time]]-I212</f>
        <v>9</v>
      </c>
    </row>
    <row r="214" customFormat="false" ht="13.8" hidden="false" customHeight="false" outlineLevel="0" collapsed="false">
      <c r="A214" s="20" t="n">
        <v>213</v>
      </c>
      <c r="B214" s="21" t="n">
        <v>43678</v>
      </c>
      <c r="C214" s="22" t="n">
        <v>14187</v>
      </c>
      <c r="D214" s="22" t="n">
        <f aca="false">Table134[[#This Row],[Steps]]-C213</f>
        <v>2765</v>
      </c>
      <c r="E214" s="23" t="n">
        <v>588</v>
      </c>
      <c r="F214" s="23" t="n">
        <f aca="false">Table134[[#This Row],[Colories]]-E213</f>
        <v>122.4</v>
      </c>
      <c r="G214" s="6" t="n">
        <v>10.21</v>
      </c>
      <c r="H214" s="24" t="n">
        <f aca="false">Table134[[#This Row],[Distance]]-G213</f>
        <v>1.99</v>
      </c>
      <c r="I214" s="22" t="n">
        <v>139</v>
      </c>
      <c r="J214" s="25" t="n">
        <f aca="false">Table134[[#This Row],[Time]]-I213</f>
        <v>33</v>
      </c>
      <c r="L214" s="1" t="s">
        <v>2</v>
      </c>
      <c r="M214" s="1" t="s">
        <v>179</v>
      </c>
      <c r="N214" s="1" t="s">
        <v>175</v>
      </c>
      <c r="O214" s="1" t="s">
        <v>177</v>
      </c>
    </row>
    <row r="215" customFormat="false" ht="13.8" hidden="false" customHeight="false" outlineLevel="0" collapsed="false">
      <c r="A215" s="20" t="n">
        <v>214</v>
      </c>
      <c r="B215" s="21" t="n">
        <v>43679</v>
      </c>
      <c r="C215" s="22" t="n">
        <v>10203</v>
      </c>
      <c r="D215" s="22" t="n">
        <f aca="false">Table134[[#This Row],[Steps]]-C214</f>
        <v>-3984</v>
      </c>
      <c r="E215" s="23" t="n">
        <v>422.8</v>
      </c>
      <c r="F215" s="23" t="n">
        <f aca="false">Table134[[#This Row],[Colories]]-E214</f>
        <v>-165.2</v>
      </c>
      <c r="G215" s="6" t="n">
        <v>7.35</v>
      </c>
      <c r="H215" s="24" t="n">
        <f aca="false">Table134[[#This Row],[Distance]]-G214</f>
        <v>-2.86</v>
      </c>
      <c r="I215" s="22" t="n">
        <v>100</v>
      </c>
      <c r="J215" s="25" t="n">
        <f aca="false">Table134[[#This Row],[Time]]-I214</f>
        <v>-39</v>
      </c>
      <c r="K215" s="1" t="s">
        <v>8</v>
      </c>
      <c r="L215" s="1" t="n">
        <f aca="false">AVERAGE($C$214:$C$244)</f>
        <v>14307</v>
      </c>
      <c r="M215" s="1" t="n">
        <f aca="false">AVERAGE($E$214:$E$244)</f>
        <v>595.674193548387</v>
      </c>
      <c r="N215" s="1" t="n">
        <f aca="false">AVERAGE($G$214:$G$244)</f>
        <v>10.301935483871</v>
      </c>
      <c r="O215" s="1" t="n">
        <f aca="false">AVERAGE($I$214:$I$244)</f>
        <v>141.58064516129</v>
      </c>
    </row>
    <row r="216" customFormat="false" ht="13.8" hidden="false" customHeight="false" outlineLevel="0" collapsed="false">
      <c r="A216" s="20" t="n">
        <v>215</v>
      </c>
      <c r="B216" s="21" t="n">
        <v>43680</v>
      </c>
      <c r="C216" s="22" t="n">
        <v>6077</v>
      </c>
      <c r="D216" s="22" t="n">
        <f aca="false">Table134[[#This Row],[Steps]]-C215</f>
        <v>-4126</v>
      </c>
      <c r="E216" s="23" t="n">
        <v>252.4</v>
      </c>
      <c r="F216" s="23" t="n">
        <f aca="false">Table134[[#This Row],[Colories]]-E215</f>
        <v>-170.4</v>
      </c>
      <c r="G216" s="6" t="n">
        <v>4.38</v>
      </c>
      <c r="H216" s="24" t="n">
        <f aca="false">Table134[[#This Row],[Distance]]-G215</f>
        <v>-2.97</v>
      </c>
      <c r="I216" s="22" t="n">
        <v>60</v>
      </c>
      <c r="J216" s="25" t="n">
        <f aca="false">Table134[[#This Row],[Time]]-I215</f>
        <v>-40</v>
      </c>
      <c r="K216" s="1" t="s">
        <v>10</v>
      </c>
      <c r="L216" s="1" t="n">
        <f aca="false">SQRT(VAR($C$214:$C$244)/COUNT($C$214:$C$244))</f>
        <v>1471.34668180702</v>
      </c>
      <c r="M216" s="1" t="n">
        <f aca="false">SQRT(VAR($E$214:$E$244)/COUNT($E$214:$E$244))</f>
        <v>62.1106009630759</v>
      </c>
      <c r="N216" s="1" t="n">
        <f aca="false">SQRT(VAR($G$214:$G$244)/COUNT($G$214:$G$244))</f>
        <v>1.05931702681592</v>
      </c>
      <c r="O216" s="1" t="n">
        <f aca="false">SQRT(VAR($I$214:$I$244)/COUNT($I$214:$I$244))</f>
        <v>15.3307459850864</v>
      </c>
    </row>
    <row r="217" customFormat="false" ht="13.8" hidden="false" customHeight="false" outlineLevel="0" collapsed="false">
      <c r="A217" s="20" t="n">
        <v>216</v>
      </c>
      <c r="B217" s="21" t="n">
        <v>43681</v>
      </c>
      <c r="C217" s="22" t="n">
        <v>22721</v>
      </c>
      <c r="D217" s="22" t="n">
        <f aca="false">Table134[[#This Row],[Steps]]-C216</f>
        <v>16644</v>
      </c>
      <c r="E217" s="23" t="n">
        <v>1002.4</v>
      </c>
      <c r="F217" s="23" t="n">
        <f aca="false">Table134[[#This Row],[Colories]]-E216</f>
        <v>750</v>
      </c>
      <c r="G217" s="6" t="n">
        <v>16.36</v>
      </c>
      <c r="H217" s="24" t="n">
        <f aca="false">Table134[[#This Row],[Distance]]-G216</f>
        <v>11.98</v>
      </c>
      <c r="I217" s="22" t="n">
        <v>260</v>
      </c>
      <c r="J217" s="25" t="n">
        <f aca="false">Table134[[#This Row],[Time]]-I216</f>
        <v>200</v>
      </c>
      <c r="K217" s="1" t="s">
        <v>14</v>
      </c>
      <c r="L217" s="1" t="e">
        <f aca="false">MODE($C$214:$C$244)</f>
        <v>#VALUE!</v>
      </c>
      <c r="M217" s="1" t="e">
        <f aca="false">MODE($E$214:$E$244)</f>
        <v>#VALUE!</v>
      </c>
      <c r="N217" s="1" t="e">
        <f aca="false">MODE($G$214:$G$244)</f>
        <v>#VALUE!</v>
      </c>
      <c r="O217" s="1" t="n">
        <f aca="false">MODE($I$214:$I$244)</f>
        <v>105</v>
      </c>
    </row>
    <row r="218" customFormat="false" ht="13.8" hidden="false" customHeight="false" outlineLevel="0" collapsed="false">
      <c r="A218" s="20" t="n">
        <v>217</v>
      </c>
      <c r="B218" s="21" t="n">
        <v>43682</v>
      </c>
      <c r="C218" s="22" t="n">
        <v>12023</v>
      </c>
      <c r="D218" s="22" t="n">
        <f aca="false">Table134[[#This Row],[Steps]]-C217</f>
        <v>-10698</v>
      </c>
      <c r="E218" s="23" t="n">
        <v>491</v>
      </c>
      <c r="F218" s="23" t="n">
        <f aca="false">Table134[[#This Row],[Colories]]-E217</f>
        <v>-511.4</v>
      </c>
      <c r="G218" s="6" t="n">
        <v>8.66</v>
      </c>
      <c r="H218" s="24" t="n">
        <f aca="false">Table134[[#This Row],[Distance]]-G217</f>
        <v>-7.7</v>
      </c>
      <c r="I218" s="22" t="n">
        <v>114</v>
      </c>
      <c r="J218" s="25" t="n">
        <f aca="false">Table134[[#This Row],[Time]]-I217</f>
        <v>-146</v>
      </c>
      <c r="K218" s="1" t="s">
        <v>12</v>
      </c>
      <c r="L218" s="1" t="n">
        <f aca="false">MEDIAN($C$214:$C$244)</f>
        <v>12078</v>
      </c>
      <c r="M218" s="1" t="n">
        <f aca="false">MEDIAN($E$214:$E$244)</f>
        <v>491</v>
      </c>
      <c r="N218" s="1" t="n">
        <f aca="false">MEDIAN($G$214:$G$244)</f>
        <v>8.7</v>
      </c>
      <c r="O218" s="1" t="n">
        <f aca="false">MEDIAN($I$214:$I$244)</f>
        <v>119</v>
      </c>
    </row>
    <row r="219" customFormat="false" ht="13.8" hidden="false" customHeight="false" outlineLevel="0" collapsed="false">
      <c r="A219" s="20" t="n">
        <v>218</v>
      </c>
      <c r="B219" s="21" t="n">
        <v>43683</v>
      </c>
      <c r="C219" s="22" t="n">
        <v>12650</v>
      </c>
      <c r="D219" s="22" t="n">
        <f aca="false">Table134[[#This Row],[Steps]]-C218</f>
        <v>627</v>
      </c>
      <c r="E219" s="23" t="n">
        <v>519.6</v>
      </c>
      <c r="F219" s="23" t="n">
        <f aca="false">Table134[[#This Row],[Colories]]-E218</f>
        <v>28.6</v>
      </c>
      <c r="G219" s="6" t="n">
        <v>9.11</v>
      </c>
      <c r="H219" s="24" t="n">
        <f aca="false">Table134[[#This Row],[Distance]]-G218</f>
        <v>0.449999999999999</v>
      </c>
      <c r="I219" s="22" t="n">
        <v>121</v>
      </c>
      <c r="J219" s="25" t="n">
        <f aca="false">Table134[[#This Row],[Time]]-I218</f>
        <v>7</v>
      </c>
      <c r="K219" s="1" t="s">
        <v>180</v>
      </c>
      <c r="L219" s="1" t="n">
        <f aca="false">QUARTILE($C$214:$C$244, 1)</f>
        <v>9989</v>
      </c>
      <c r="M219" s="1" t="n">
        <f aca="false">QUARTILE($E$214:$E$244, 1)</f>
        <v>429.2</v>
      </c>
      <c r="N219" s="1" t="n">
        <f aca="false">QUARTILE($G$214:$G$244, 1)</f>
        <v>7.195</v>
      </c>
      <c r="O219" s="1" t="n">
        <f aca="false">QUARTILE($I$214:$I$244, 1)</f>
        <v>100.5</v>
      </c>
    </row>
    <row r="220" customFormat="false" ht="13.8" hidden="false" customHeight="false" outlineLevel="0" collapsed="false">
      <c r="A220" s="20" t="n">
        <v>219</v>
      </c>
      <c r="B220" s="21" t="n">
        <v>43684</v>
      </c>
      <c r="C220" s="22" t="n">
        <v>25732</v>
      </c>
      <c r="D220" s="22" t="n">
        <f aca="false">Table134[[#This Row],[Steps]]-C219</f>
        <v>13082</v>
      </c>
      <c r="E220" s="23" t="n">
        <v>1042.6</v>
      </c>
      <c r="F220" s="23" t="n">
        <f aca="false">Table134[[#This Row],[Colories]]-E219</f>
        <v>523</v>
      </c>
      <c r="G220" s="6" t="n">
        <v>18.53</v>
      </c>
      <c r="H220" s="24" t="n">
        <f aca="false">Table134[[#This Row],[Distance]]-G219</f>
        <v>9.42</v>
      </c>
      <c r="I220" s="22" t="n">
        <v>236</v>
      </c>
      <c r="J220" s="25" t="n">
        <f aca="false">Table134[[#This Row],[Time]]-I219</f>
        <v>115</v>
      </c>
      <c r="K220" s="1" t="s">
        <v>181</v>
      </c>
      <c r="L220" s="1" t="n">
        <f aca="false">QUARTILE($C$214:$C$244, 3)</f>
        <v>17347</v>
      </c>
      <c r="M220" s="1" t="n">
        <f aca="false">QUARTILE($E$214:$E$244, 3)</f>
        <v>708.8</v>
      </c>
      <c r="N220" s="1" t="n">
        <f aca="false">QUARTILE($G$214:$G$244, 3)</f>
        <v>12.49</v>
      </c>
      <c r="O220" s="1" t="n">
        <f aca="false">QUARTILE($I$214:$I$244, 3)</f>
        <v>164</v>
      </c>
    </row>
    <row r="221" customFormat="false" ht="13.8" hidden="false" customHeight="false" outlineLevel="0" collapsed="false">
      <c r="A221" s="20" t="n">
        <v>220</v>
      </c>
      <c r="B221" s="21" t="n">
        <v>43685</v>
      </c>
      <c r="C221" s="22" t="n">
        <v>17060</v>
      </c>
      <c r="D221" s="22" t="n">
        <f aca="false">Table134[[#This Row],[Steps]]-C220</f>
        <v>-8672</v>
      </c>
      <c r="E221" s="23" t="n">
        <v>694.5</v>
      </c>
      <c r="F221" s="23" t="n">
        <f aca="false">Table134[[#This Row],[Colories]]-E220</f>
        <v>-348.1</v>
      </c>
      <c r="G221" s="6" t="n">
        <v>12.28</v>
      </c>
      <c r="H221" s="24" t="n">
        <f aca="false">Table134[[#This Row],[Distance]]-G220</f>
        <v>-6.25</v>
      </c>
      <c r="I221" s="22" t="n">
        <v>159</v>
      </c>
      <c r="J221" s="25" t="n">
        <f aca="false">Table134[[#This Row],[Time]]-I220</f>
        <v>-77</v>
      </c>
      <c r="K221" s="1" t="s">
        <v>182</v>
      </c>
      <c r="L221" s="1" t="n">
        <f aca="false">VAR($C$214:$C$244)</f>
        <v>67110692.8</v>
      </c>
      <c r="M221" s="1" t="n">
        <f aca="false">VAR($E$214:$E$244)</f>
        <v>119589.529311828</v>
      </c>
      <c r="N221" s="1" t="n">
        <f aca="false">VAR($G$214:$G$244)</f>
        <v>34.7867294623656</v>
      </c>
      <c r="O221" s="1" t="n">
        <f aca="false">VAR($I$214:$I$244)</f>
        <v>7285.98494623656</v>
      </c>
    </row>
    <row r="222" customFormat="false" ht="13.8" hidden="false" customHeight="false" outlineLevel="0" collapsed="false">
      <c r="A222" s="20" t="n">
        <v>221</v>
      </c>
      <c r="B222" s="21" t="n">
        <v>43686</v>
      </c>
      <c r="C222" s="22" t="n">
        <v>4663</v>
      </c>
      <c r="D222" s="22" t="n">
        <f aca="false">Table134[[#This Row],[Steps]]-C221</f>
        <v>-12397</v>
      </c>
      <c r="E222" s="23" t="n">
        <v>208.8</v>
      </c>
      <c r="F222" s="23" t="n">
        <f aca="false">Table134[[#This Row],[Colories]]-E221</f>
        <v>-485.7</v>
      </c>
      <c r="G222" s="6" t="n">
        <v>3.36</v>
      </c>
      <c r="H222" s="24" t="n">
        <f aca="false">Table134[[#This Row],[Distance]]-G221</f>
        <v>-8.92</v>
      </c>
      <c r="I222" s="22" t="n">
        <v>55</v>
      </c>
      <c r="J222" s="25" t="n">
        <f aca="false">Table134[[#This Row],[Time]]-I221</f>
        <v>-104</v>
      </c>
      <c r="K222" s="1" t="s">
        <v>16</v>
      </c>
      <c r="L222" s="1" t="n">
        <f aca="false">STDEV($C$214:$C$244)</f>
        <v>8192.11162033331</v>
      </c>
      <c r="M222" s="1" t="n">
        <f aca="false">STDEV($E$214:$E$244)</f>
        <v>345.81719059617</v>
      </c>
      <c r="N222" s="1" t="n">
        <f aca="false">STDEV($G$214:$G$244)</f>
        <v>5.89802759084472</v>
      </c>
      <c r="O222" s="1" t="n">
        <f aca="false">STDEV($I$214:$I$244)</f>
        <v>85.3579811513637</v>
      </c>
    </row>
    <row r="223" customFormat="false" ht="13.8" hidden="false" customHeight="false" outlineLevel="0" collapsed="false">
      <c r="A223" s="20" t="n">
        <v>222</v>
      </c>
      <c r="B223" s="21" t="n">
        <v>43687</v>
      </c>
      <c r="C223" s="22" t="n">
        <v>35974</v>
      </c>
      <c r="D223" s="22" t="n">
        <f aca="false">Table134[[#This Row],[Steps]]-C222</f>
        <v>31311</v>
      </c>
      <c r="E223" s="23" t="n">
        <v>1515.1</v>
      </c>
      <c r="F223" s="23" t="n">
        <f aca="false">Table134[[#This Row],[Colories]]-E222</f>
        <v>1306.3</v>
      </c>
      <c r="G223" s="6" t="n">
        <v>25.9</v>
      </c>
      <c r="H223" s="24" t="n">
        <f aca="false">Table134[[#This Row],[Distance]]-G222</f>
        <v>22.54</v>
      </c>
      <c r="I223" s="22" t="n">
        <v>371</v>
      </c>
      <c r="J223" s="25" t="n">
        <f aca="false">Table134[[#This Row],[Time]]-I222</f>
        <v>316</v>
      </c>
      <c r="K223" s="1" t="s">
        <v>20</v>
      </c>
      <c r="L223" s="1" t="n">
        <f aca="false">KURT($C$214:$C$244)</f>
        <v>1.13057424267431</v>
      </c>
      <c r="M223" s="1" t="n">
        <f aca="false">KURT($E$214:$E$244)</f>
        <v>1.29340963479876</v>
      </c>
      <c r="N223" s="1" t="n">
        <f aca="false">KURT($G$214:$G$244)</f>
        <v>1.13137018858864</v>
      </c>
      <c r="O223" s="1" t="n">
        <f aca="false">KURT($I$214:$I$244)</f>
        <v>1.64320598385507</v>
      </c>
    </row>
    <row r="224" customFormat="false" ht="13.8" hidden="false" customHeight="false" outlineLevel="0" collapsed="false">
      <c r="A224" s="20" t="n">
        <v>223</v>
      </c>
      <c r="B224" s="21" t="n">
        <v>43688</v>
      </c>
      <c r="C224" s="22" t="n">
        <v>9775</v>
      </c>
      <c r="D224" s="22" t="n">
        <f aca="false">Table134[[#This Row],[Steps]]-C223</f>
        <v>-26199</v>
      </c>
      <c r="E224" s="23" t="n">
        <v>447</v>
      </c>
      <c r="F224" s="23" t="n">
        <f aca="false">Table134[[#This Row],[Colories]]-E223</f>
        <v>-1068.1</v>
      </c>
      <c r="G224" s="6" t="n">
        <v>7.04</v>
      </c>
      <c r="H224" s="24" t="n">
        <f aca="false">Table134[[#This Row],[Distance]]-G223</f>
        <v>-18.86</v>
      </c>
      <c r="I224" s="22" t="n">
        <v>119</v>
      </c>
      <c r="J224" s="25" t="n">
        <f aca="false">Table134[[#This Row],[Time]]-I223</f>
        <v>-252</v>
      </c>
      <c r="K224" s="1" t="s">
        <v>22</v>
      </c>
      <c r="L224" s="1" t="n">
        <f aca="false">SKEW($C$214:$C$244)</f>
        <v>1.17396087203414</v>
      </c>
      <c r="M224" s="1" t="n">
        <f aca="false">SKEW($E$214:$E$244)</f>
        <v>1.26551158053782</v>
      </c>
      <c r="N224" s="1" t="n">
        <f aca="false">SKEW($G$214:$G$244)</f>
        <v>1.17440196831039</v>
      </c>
      <c r="O224" s="1" t="n">
        <f aca="false">SKEW($I$214:$I$244)</f>
        <v>1.42860616573886</v>
      </c>
    </row>
    <row r="225" customFormat="false" ht="13.8" hidden="false" customHeight="false" outlineLevel="0" collapsed="false">
      <c r="A225" s="20" t="n">
        <v>224</v>
      </c>
      <c r="B225" s="21" t="n">
        <v>43689</v>
      </c>
      <c r="C225" s="22" t="n">
        <v>12078</v>
      </c>
      <c r="D225" s="22" t="n">
        <f aca="false">Table134[[#This Row],[Steps]]-C224</f>
        <v>2303</v>
      </c>
      <c r="E225" s="23" t="n">
        <v>489.7</v>
      </c>
      <c r="F225" s="23" t="n">
        <f aca="false">Table134[[#This Row],[Colories]]-E224</f>
        <v>42.7</v>
      </c>
      <c r="G225" s="6" t="n">
        <v>8.7</v>
      </c>
      <c r="H225" s="24" t="n">
        <f aca="false">Table134[[#This Row],[Distance]]-G224</f>
        <v>1.66</v>
      </c>
      <c r="I225" s="22" t="n">
        <v>111</v>
      </c>
      <c r="J225" s="25" t="n">
        <f aca="false">Table134[[#This Row],[Time]]-I224</f>
        <v>-8</v>
      </c>
      <c r="K225" s="1" t="s">
        <v>24</v>
      </c>
      <c r="L225" s="1" t="n">
        <f aca="false">MAX($C$214:$C$244)-MIN($C$214:$C$244)</f>
        <v>33868</v>
      </c>
      <c r="M225" s="1" t="n">
        <f aca="false">MAX($E$214:$E$244)-MIN($E$214:$E$244)</f>
        <v>1422.8</v>
      </c>
      <c r="N225" s="1" t="n">
        <f aca="false">MAX($G$214:$G$244)-MIN($G$214:$G$244)</f>
        <v>24.38</v>
      </c>
      <c r="O225" s="1" t="n">
        <f aca="false">MAX($I$214:$I$244)-MIN($I$214:$I$244)</f>
        <v>348</v>
      </c>
    </row>
    <row r="226" customFormat="false" ht="13.8" hidden="false" customHeight="false" outlineLevel="0" collapsed="false">
      <c r="A226" s="20" t="n">
        <v>225</v>
      </c>
      <c r="B226" s="21" t="n">
        <v>43690</v>
      </c>
      <c r="C226" s="22" t="n">
        <v>11189</v>
      </c>
      <c r="D226" s="22" t="n">
        <f aca="false">Table134[[#This Row],[Steps]]-C225</f>
        <v>-889</v>
      </c>
      <c r="E226" s="23" t="n">
        <v>461.5</v>
      </c>
      <c r="F226" s="23" t="n">
        <f aca="false">Table134[[#This Row],[Colories]]-E225</f>
        <v>-28.2</v>
      </c>
      <c r="G226" s="6" t="n">
        <v>8.06</v>
      </c>
      <c r="H226" s="24" t="n">
        <f aca="false">Table134[[#This Row],[Distance]]-G225</f>
        <v>-0.639999999999999</v>
      </c>
      <c r="I226" s="22" t="n">
        <v>105</v>
      </c>
      <c r="J226" s="25" t="n">
        <f aca="false">Table134[[#This Row],[Time]]-I225</f>
        <v>-6</v>
      </c>
      <c r="K226" s="1" t="s">
        <v>26</v>
      </c>
      <c r="L226" s="1" t="n">
        <f aca="false">MIN($C$214:$C$244)</f>
        <v>2106</v>
      </c>
      <c r="M226" s="1" t="n">
        <f aca="false">MIN($E$214:$E$244)</f>
        <v>92.3</v>
      </c>
      <c r="N226" s="1" t="n">
        <f aca="false">MIN($G$214:$G$244)</f>
        <v>1.52</v>
      </c>
      <c r="O226" s="1" t="n">
        <f aca="false">MIN($I$214:$I$244)</f>
        <v>23</v>
      </c>
    </row>
    <row r="227" customFormat="false" ht="13.8" hidden="false" customHeight="false" outlineLevel="0" collapsed="false">
      <c r="A227" s="20" t="n">
        <v>226</v>
      </c>
      <c r="B227" s="21" t="n">
        <v>43691</v>
      </c>
      <c r="C227" s="22" t="n">
        <v>11383</v>
      </c>
      <c r="D227" s="22" t="n">
        <f aca="false">Table134[[#This Row],[Steps]]-C226</f>
        <v>194</v>
      </c>
      <c r="E227" s="23" t="n">
        <v>463.4</v>
      </c>
      <c r="F227" s="23" t="n">
        <f aca="false">Table134[[#This Row],[Colories]]-E226</f>
        <v>1.89999999999998</v>
      </c>
      <c r="G227" s="6" t="n">
        <v>8.2</v>
      </c>
      <c r="H227" s="24" t="n">
        <f aca="false">Table134[[#This Row],[Distance]]-G226</f>
        <v>0.139999999999999</v>
      </c>
      <c r="I227" s="22" t="n">
        <v>106</v>
      </c>
      <c r="J227" s="25" t="n">
        <f aca="false">Table134[[#This Row],[Time]]-I226</f>
        <v>1</v>
      </c>
      <c r="K227" s="1" t="s">
        <v>28</v>
      </c>
      <c r="L227" s="1" t="n">
        <f aca="false">MAX($C$214:$C$244)</f>
        <v>35974</v>
      </c>
      <c r="M227" s="1" t="n">
        <f aca="false">MAX($E$214:$E$244)</f>
        <v>1515.1</v>
      </c>
      <c r="N227" s="1" t="n">
        <f aca="false">MAX($G$214:$G$244)</f>
        <v>25.9</v>
      </c>
      <c r="O227" s="1" t="n">
        <f aca="false">MAX($I$214:$I$244)</f>
        <v>371</v>
      </c>
    </row>
    <row r="228" customFormat="false" ht="13.8" hidden="false" customHeight="false" outlineLevel="0" collapsed="false">
      <c r="A228" s="20" t="n">
        <v>227</v>
      </c>
      <c r="B228" s="21" t="n">
        <v>43692</v>
      </c>
      <c r="C228" s="22" t="n">
        <v>19283</v>
      </c>
      <c r="D228" s="22" t="n">
        <f aca="false">Table134[[#This Row],[Steps]]-C227</f>
        <v>7900</v>
      </c>
      <c r="E228" s="23" t="n">
        <v>778.1</v>
      </c>
      <c r="F228" s="23" t="n">
        <f aca="false">Table134[[#This Row],[Colories]]-E227</f>
        <v>314.7</v>
      </c>
      <c r="G228" s="6" t="n">
        <v>13.88</v>
      </c>
      <c r="H228" s="24" t="n">
        <f aca="false">Table134[[#This Row],[Distance]]-G227</f>
        <v>5.68</v>
      </c>
      <c r="I228" s="22" t="n">
        <v>174</v>
      </c>
      <c r="J228" s="25" t="n">
        <f aca="false">Table134[[#This Row],[Time]]-I227</f>
        <v>68</v>
      </c>
      <c r="K228" s="1" t="s">
        <v>30</v>
      </c>
      <c r="L228" s="1" t="n">
        <f aca="false">SUM($C$214:$C$244)</f>
        <v>443517</v>
      </c>
      <c r="M228" s="1" t="n">
        <f aca="false">SUM($E$214:$E$244)</f>
        <v>18465.9</v>
      </c>
      <c r="N228" s="1" t="n">
        <f aca="false">SUM($G$214:$G$244)</f>
        <v>319.36</v>
      </c>
      <c r="O228" s="1" t="n">
        <f aca="false">SUM($I$214:$I$244)</f>
        <v>4389</v>
      </c>
    </row>
    <row r="229" customFormat="false" ht="13.8" hidden="false" customHeight="false" outlineLevel="0" collapsed="false">
      <c r="A229" s="20" t="n">
        <v>228</v>
      </c>
      <c r="B229" s="21" t="n">
        <v>43693</v>
      </c>
      <c r="C229" s="22" t="n">
        <v>9306</v>
      </c>
      <c r="D229" s="22" t="n">
        <f aca="false">Table134[[#This Row],[Steps]]-C228</f>
        <v>-9977</v>
      </c>
      <c r="E229" s="23" t="n">
        <v>382.8</v>
      </c>
      <c r="F229" s="23" t="n">
        <f aca="false">Table134[[#This Row],[Colories]]-E228</f>
        <v>-395.3</v>
      </c>
      <c r="G229" s="6" t="n">
        <v>6.7</v>
      </c>
      <c r="H229" s="24" t="n">
        <f aca="false">Table134[[#This Row],[Distance]]-G228</f>
        <v>-7.18</v>
      </c>
      <c r="I229" s="22" t="n">
        <v>88</v>
      </c>
      <c r="J229" s="25" t="n">
        <f aca="false">Table134[[#This Row],[Time]]-I228</f>
        <v>-86</v>
      </c>
      <c r="K229" s="1" t="s">
        <v>32</v>
      </c>
      <c r="L229" s="1" t="n">
        <f aca="false">COUNT($C$214:$C$244)</f>
        <v>31</v>
      </c>
      <c r="M229" s="1" t="n">
        <f aca="false">COUNT($E$214:$E$244)</f>
        <v>31</v>
      </c>
      <c r="N229" s="1" t="n">
        <f aca="false">COUNT($G$214:$G$244)</f>
        <v>31</v>
      </c>
      <c r="O229" s="1" t="n">
        <f aca="false">COUNT($I$214:$I$244)</f>
        <v>31</v>
      </c>
    </row>
    <row r="230" customFormat="false" ht="13.8" hidden="false" customHeight="false" outlineLevel="0" collapsed="false">
      <c r="A230" s="20" t="n">
        <v>229</v>
      </c>
      <c r="B230" s="21" t="n">
        <v>43694</v>
      </c>
      <c r="C230" s="22" t="n">
        <v>32855</v>
      </c>
      <c r="D230" s="22" t="n">
        <f aca="false">Table134[[#This Row],[Steps]]-C229</f>
        <v>23549</v>
      </c>
      <c r="E230" s="23" t="n">
        <v>1370.4</v>
      </c>
      <c r="F230" s="23" t="n">
        <f aca="false">Table134[[#This Row],[Colories]]-E229</f>
        <v>987.6</v>
      </c>
      <c r="G230" s="6" t="n">
        <v>23.66</v>
      </c>
      <c r="H230" s="24" t="n">
        <f aca="false">Table134[[#This Row],[Distance]]-G229</f>
        <v>16.96</v>
      </c>
      <c r="I230" s="22" t="n">
        <v>329</v>
      </c>
      <c r="J230" s="25" t="n">
        <f aca="false">Table134[[#This Row],[Time]]-I229</f>
        <v>241</v>
      </c>
    </row>
    <row r="231" customFormat="false" ht="13.8" hidden="false" customHeight="false" outlineLevel="0" collapsed="false">
      <c r="A231" s="20" t="n">
        <v>230</v>
      </c>
      <c r="B231" s="21" t="n">
        <v>43695</v>
      </c>
      <c r="C231" s="22" t="n">
        <v>30998</v>
      </c>
      <c r="D231" s="22" t="n">
        <f aca="false">Table134[[#This Row],[Steps]]-C230</f>
        <v>-1857</v>
      </c>
      <c r="E231" s="23" t="n">
        <v>1352.2</v>
      </c>
      <c r="F231" s="23" t="n">
        <f aca="false">Table134[[#This Row],[Colories]]-E230</f>
        <v>-18.2</v>
      </c>
      <c r="G231" s="6" t="n">
        <v>22.32</v>
      </c>
      <c r="H231" s="24" t="n">
        <f aca="false">Table134[[#This Row],[Distance]]-G230</f>
        <v>-1.34</v>
      </c>
      <c r="I231" s="22" t="n">
        <v>346</v>
      </c>
      <c r="J231" s="25" t="n">
        <f aca="false">Table134[[#This Row],[Time]]-I230</f>
        <v>17</v>
      </c>
    </row>
    <row r="232" customFormat="false" ht="13.8" hidden="false" customHeight="false" outlineLevel="0" collapsed="false">
      <c r="A232" s="20" t="n">
        <v>231</v>
      </c>
      <c r="B232" s="21" t="n">
        <v>43696</v>
      </c>
      <c r="C232" s="22" t="n">
        <v>10735</v>
      </c>
      <c r="D232" s="22" t="n">
        <f aca="false">Table134[[#This Row],[Steps]]-C231</f>
        <v>-20263</v>
      </c>
      <c r="E232" s="23" t="n">
        <v>440.3</v>
      </c>
      <c r="F232" s="23" t="n">
        <f aca="false">Table134[[#This Row],[Colories]]-E231</f>
        <v>-911.9</v>
      </c>
      <c r="G232" s="6" t="n">
        <v>7.73</v>
      </c>
      <c r="H232" s="24" t="n">
        <f aca="false">Table134[[#This Row],[Distance]]-G231</f>
        <v>-14.59</v>
      </c>
      <c r="I232" s="22" t="n">
        <v>103</v>
      </c>
      <c r="J232" s="25" t="n">
        <f aca="false">Table134[[#This Row],[Time]]-I231</f>
        <v>-243</v>
      </c>
    </row>
    <row r="233" customFormat="false" ht="13.8" hidden="false" customHeight="false" outlineLevel="0" collapsed="false">
      <c r="A233" s="20" t="n">
        <v>232</v>
      </c>
      <c r="B233" s="21" t="n">
        <v>43697</v>
      </c>
      <c r="C233" s="22" t="n">
        <v>15012</v>
      </c>
      <c r="D233" s="22" t="n">
        <f aca="false">Table134[[#This Row],[Steps]]-C232</f>
        <v>4277</v>
      </c>
      <c r="E233" s="23" t="n">
        <v>606.7</v>
      </c>
      <c r="F233" s="23" t="n">
        <f aca="false">Table134[[#This Row],[Colories]]-E232</f>
        <v>166.4</v>
      </c>
      <c r="G233" s="6" t="n">
        <v>10.81</v>
      </c>
      <c r="H233" s="24" t="n">
        <f aca="false">Table134[[#This Row],[Distance]]-G232</f>
        <v>3.08</v>
      </c>
      <c r="I233" s="22" t="n">
        <v>136</v>
      </c>
      <c r="J233" s="25" t="n">
        <f aca="false">Table134[[#This Row],[Time]]-I232</f>
        <v>33</v>
      </c>
    </row>
    <row r="234" customFormat="false" ht="13.8" hidden="false" customHeight="false" outlineLevel="0" collapsed="false">
      <c r="A234" s="20" t="n">
        <v>233</v>
      </c>
      <c r="B234" s="21" t="n">
        <v>43698</v>
      </c>
      <c r="C234" s="22" t="n">
        <v>7407</v>
      </c>
      <c r="D234" s="22" t="n">
        <f aca="false">Table134[[#This Row],[Steps]]-C233</f>
        <v>-7605</v>
      </c>
      <c r="E234" s="23" t="n">
        <v>311.9</v>
      </c>
      <c r="F234" s="23" t="n">
        <f aca="false">Table134[[#This Row],[Colories]]-E233</f>
        <v>-294.8</v>
      </c>
      <c r="G234" s="6" t="n">
        <v>5.33</v>
      </c>
      <c r="H234" s="24" t="n">
        <f aca="false">Table134[[#This Row],[Distance]]-G233</f>
        <v>-5.48</v>
      </c>
      <c r="I234" s="22" t="n">
        <v>74</v>
      </c>
      <c r="J234" s="25" t="n">
        <f aca="false">Table134[[#This Row],[Time]]-I233</f>
        <v>-62</v>
      </c>
    </row>
    <row r="235" customFormat="false" ht="13.8" hidden="false" customHeight="false" outlineLevel="0" collapsed="false">
      <c r="A235" s="20" t="n">
        <v>234</v>
      </c>
      <c r="B235" s="21" t="n">
        <v>43699</v>
      </c>
      <c r="C235" s="22" t="n">
        <v>13613</v>
      </c>
      <c r="D235" s="22" t="n">
        <f aca="false">Table134[[#This Row],[Steps]]-C234</f>
        <v>6206</v>
      </c>
      <c r="E235" s="23" t="n">
        <v>561.8</v>
      </c>
      <c r="F235" s="23" t="n">
        <f aca="false">Table134[[#This Row],[Colories]]-E234</f>
        <v>249.9</v>
      </c>
      <c r="G235" s="6" t="n">
        <v>9.8</v>
      </c>
      <c r="H235" s="24" t="n">
        <f aca="false">Table134[[#This Row],[Distance]]-G234</f>
        <v>4.47</v>
      </c>
      <c r="I235" s="22" t="n">
        <v>132</v>
      </c>
      <c r="J235" s="25" t="n">
        <f aca="false">Table134[[#This Row],[Time]]-I234</f>
        <v>58</v>
      </c>
    </row>
    <row r="236" customFormat="false" ht="13.8" hidden="false" customHeight="false" outlineLevel="0" collapsed="false">
      <c r="A236" s="20" t="n">
        <v>235</v>
      </c>
      <c r="B236" s="21" t="n">
        <v>43700</v>
      </c>
      <c r="C236" s="22" t="n">
        <v>12093</v>
      </c>
      <c r="D236" s="22" t="n">
        <f aca="false">Table134[[#This Row],[Steps]]-C235</f>
        <v>-1520</v>
      </c>
      <c r="E236" s="23" t="n">
        <v>501.4</v>
      </c>
      <c r="F236" s="23" t="n">
        <f aca="false">Table134[[#This Row],[Colories]]-E235</f>
        <v>-60.4</v>
      </c>
      <c r="G236" s="6" t="n">
        <v>8.71</v>
      </c>
      <c r="H236" s="24" t="n">
        <f aca="false">Table134[[#This Row],[Distance]]-G235</f>
        <v>-1.09</v>
      </c>
      <c r="I236" s="22" t="n">
        <v>119</v>
      </c>
      <c r="J236" s="25" t="n">
        <f aca="false">Table134[[#This Row],[Time]]-I235</f>
        <v>-13</v>
      </c>
    </row>
    <row r="237" customFormat="false" ht="13.8" hidden="false" customHeight="false" outlineLevel="0" collapsed="false">
      <c r="A237" s="20" t="n">
        <v>236</v>
      </c>
      <c r="B237" s="21" t="n">
        <v>43701</v>
      </c>
      <c r="C237" s="22" t="n">
        <v>2106</v>
      </c>
      <c r="D237" s="22" t="n">
        <f aca="false">Table134[[#This Row],[Steps]]-C236</f>
        <v>-9987</v>
      </c>
      <c r="E237" s="23" t="n">
        <v>92.3</v>
      </c>
      <c r="F237" s="23" t="n">
        <f aca="false">Table134[[#This Row],[Colories]]-E236</f>
        <v>-409.1</v>
      </c>
      <c r="G237" s="6" t="n">
        <v>1.52</v>
      </c>
      <c r="H237" s="24" t="n">
        <f aca="false">Table134[[#This Row],[Distance]]-G236</f>
        <v>-7.19</v>
      </c>
      <c r="I237" s="22" t="n">
        <v>23</v>
      </c>
      <c r="J237" s="25" t="n">
        <f aca="false">Table134[[#This Row],[Time]]-I236</f>
        <v>-96</v>
      </c>
    </row>
    <row r="238" customFormat="false" ht="13.8" hidden="false" customHeight="false" outlineLevel="0" collapsed="false">
      <c r="A238" s="20" t="n">
        <v>237</v>
      </c>
      <c r="B238" s="21" t="n">
        <v>43702</v>
      </c>
      <c r="C238" s="22" t="n">
        <v>6899</v>
      </c>
      <c r="D238" s="22" t="n">
        <f aca="false">Table134[[#This Row],[Steps]]-C237</f>
        <v>4793</v>
      </c>
      <c r="E238" s="23" t="n">
        <v>285.9</v>
      </c>
      <c r="F238" s="23" t="n">
        <f aca="false">Table134[[#This Row],[Colories]]-E237</f>
        <v>193.6</v>
      </c>
      <c r="G238" s="6" t="n">
        <v>4.97</v>
      </c>
      <c r="H238" s="24" t="n">
        <f aca="false">Table134[[#This Row],[Distance]]-G237</f>
        <v>3.45</v>
      </c>
      <c r="I238" s="22" t="n">
        <v>67</v>
      </c>
      <c r="J238" s="25" t="n">
        <f aca="false">Table134[[#This Row],[Time]]-I237</f>
        <v>44</v>
      </c>
    </row>
    <row r="239" customFormat="false" ht="13.8" hidden="false" customHeight="false" outlineLevel="0" collapsed="false">
      <c r="A239" s="20" t="n">
        <v>238</v>
      </c>
      <c r="B239" s="21" t="n">
        <v>43703</v>
      </c>
      <c r="C239" s="22" t="n">
        <v>11278</v>
      </c>
      <c r="D239" s="22" t="n">
        <f aca="false">Table134[[#This Row],[Steps]]-C238</f>
        <v>4379</v>
      </c>
      <c r="E239" s="23" t="n">
        <v>459.6</v>
      </c>
      <c r="F239" s="23" t="n">
        <f aca="false">Table134[[#This Row],[Colories]]-E238</f>
        <v>173.7</v>
      </c>
      <c r="G239" s="6" t="n">
        <v>8.12</v>
      </c>
      <c r="H239" s="24" t="n">
        <f aca="false">Table134[[#This Row],[Distance]]-G238</f>
        <v>3.15</v>
      </c>
      <c r="I239" s="22" t="n">
        <v>105</v>
      </c>
      <c r="J239" s="25" t="n">
        <f aca="false">Table134[[#This Row],[Time]]-I238</f>
        <v>38</v>
      </c>
    </row>
    <row r="240" customFormat="false" ht="13.8" hidden="false" customHeight="false" outlineLevel="0" collapsed="false">
      <c r="A240" s="20" t="n">
        <v>239</v>
      </c>
      <c r="B240" s="21" t="n">
        <v>43704</v>
      </c>
      <c r="C240" s="22" t="n">
        <v>19699</v>
      </c>
      <c r="D240" s="22" t="n">
        <f aca="false">Table134[[#This Row],[Steps]]-C239</f>
        <v>8421</v>
      </c>
      <c r="E240" s="23" t="n">
        <v>806.5</v>
      </c>
      <c r="F240" s="23" t="n">
        <f aca="false">Table134[[#This Row],[Colories]]-E239</f>
        <v>346.9</v>
      </c>
      <c r="G240" s="6" t="n">
        <v>14.18</v>
      </c>
      <c r="H240" s="24" t="n">
        <f aca="false">Table134[[#This Row],[Distance]]-G239</f>
        <v>6.06</v>
      </c>
      <c r="I240" s="22" t="n">
        <v>188</v>
      </c>
      <c r="J240" s="25" t="n">
        <f aca="false">Table134[[#This Row],[Time]]-I239</f>
        <v>83</v>
      </c>
    </row>
    <row r="241" customFormat="false" ht="13.8" hidden="false" customHeight="false" outlineLevel="0" collapsed="false">
      <c r="A241" s="20" t="n">
        <v>240</v>
      </c>
      <c r="B241" s="21" t="n">
        <v>43705</v>
      </c>
      <c r="C241" s="22" t="n">
        <v>13961</v>
      </c>
      <c r="D241" s="22" t="n">
        <f aca="false">Table134[[#This Row],[Steps]]-C240</f>
        <v>-5738</v>
      </c>
      <c r="E241" s="23" t="n">
        <v>567.1</v>
      </c>
      <c r="F241" s="23" t="n">
        <f aca="false">Table134[[#This Row],[Colories]]-E240</f>
        <v>-239.4</v>
      </c>
      <c r="G241" s="6" t="n">
        <v>10.05</v>
      </c>
      <c r="H241" s="24" t="n">
        <f aca="false">Table134[[#This Row],[Distance]]-G240</f>
        <v>-4.13</v>
      </c>
      <c r="I241" s="22" t="n">
        <v>129</v>
      </c>
      <c r="J241" s="25" t="n">
        <f aca="false">Table134[[#This Row],[Time]]-I240</f>
        <v>-59</v>
      </c>
    </row>
    <row r="242" customFormat="false" ht="13.8" hidden="false" customHeight="false" outlineLevel="0" collapsed="false">
      <c r="A242" s="20" t="n">
        <v>241</v>
      </c>
      <c r="B242" s="21" t="n">
        <v>43706</v>
      </c>
      <c r="C242" s="22" t="n">
        <v>17634</v>
      </c>
      <c r="D242" s="22" t="n">
        <f aca="false">Table134[[#This Row],[Steps]]-C241</f>
        <v>3673</v>
      </c>
      <c r="E242" s="23" t="n">
        <v>723.1</v>
      </c>
      <c r="F242" s="23" t="n">
        <f aca="false">Table134[[#This Row],[Colories]]-E241</f>
        <v>156</v>
      </c>
      <c r="G242" s="6" t="n">
        <v>12.7</v>
      </c>
      <c r="H242" s="24" t="n">
        <f aca="false">Table134[[#This Row],[Distance]]-G241</f>
        <v>2.65</v>
      </c>
      <c r="I242" s="22" t="n">
        <v>169</v>
      </c>
      <c r="J242" s="25" t="n">
        <f aca="false">Table134[[#This Row],[Time]]-I241</f>
        <v>40</v>
      </c>
    </row>
    <row r="243" customFormat="false" ht="13.8" hidden="false" customHeight="false" outlineLevel="0" collapsed="false">
      <c r="A243" s="20" t="n">
        <v>242</v>
      </c>
      <c r="B243" s="21" t="n">
        <v>43707</v>
      </c>
      <c r="C243" s="22" t="n">
        <v>10630</v>
      </c>
      <c r="D243" s="22" t="n">
        <f aca="false">Table134[[#This Row],[Steps]]-C242</f>
        <v>-7004</v>
      </c>
      <c r="E243" s="23" t="n">
        <v>435.6</v>
      </c>
      <c r="F243" s="23" t="n">
        <f aca="false">Table134[[#This Row],[Colories]]-E242</f>
        <v>-287.5</v>
      </c>
      <c r="G243" s="6" t="n">
        <v>7.65</v>
      </c>
      <c r="H243" s="24" t="n">
        <f aca="false">Table134[[#This Row],[Distance]]-G242</f>
        <v>-5.05</v>
      </c>
      <c r="I243" s="22" t="n">
        <v>101</v>
      </c>
      <c r="J243" s="25" t="n">
        <f aca="false">Table134[[#This Row],[Time]]-I242</f>
        <v>-68</v>
      </c>
    </row>
    <row r="244" customFormat="false" ht="13.8" hidden="false" customHeight="false" outlineLevel="0" collapsed="false">
      <c r="A244" s="20" t="n">
        <v>243</v>
      </c>
      <c r="B244" s="21" t="n">
        <v>43708</v>
      </c>
      <c r="C244" s="22" t="n">
        <v>4293</v>
      </c>
      <c r="D244" s="22" t="n">
        <f aca="false">Table134[[#This Row],[Steps]]-C243</f>
        <v>-6337</v>
      </c>
      <c r="E244" s="23" t="n">
        <v>191.4</v>
      </c>
      <c r="F244" s="23" t="n">
        <f aca="false">Table134[[#This Row],[Colories]]-E243</f>
        <v>-244.2</v>
      </c>
      <c r="G244" s="6" t="n">
        <v>3.09</v>
      </c>
      <c r="H244" s="24" t="n">
        <f aca="false">Table134[[#This Row],[Distance]]-G243</f>
        <v>-4.56</v>
      </c>
      <c r="I244" s="22" t="n">
        <v>50</v>
      </c>
      <c r="J244" s="25" t="n">
        <f aca="false">Table134[[#This Row],[Time]]-I243</f>
        <v>-51</v>
      </c>
    </row>
    <row r="245" customFormat="false" ht="13.8" hidden="false" customHeight="false" outlineLevel="0" collapsed="false">
      <c r="A245" s="20" t="n">
        <v>244</v>
      </c>
      <c r="B245" s="21" t="n">
        <v>43709</v>
      </c>
      <c r="C245" s="22" t="n">
        <v>6009</v>
      </c>
      <c r="D245" s="22" t="n">
        <f aca="false">Table134[[#This Row],[Steps]]-C244</f>
        <v>1716</v>
      </c>
      <c r="E245" s="23" t="n">
        <v>253.6</v>
      </c>
      <c r="F245" s="23" t="n">
        <f aca="false">Table134[[#This Row],[Colories]]-E244</f>
        <v>62.2</v>
      </c>
      <c r="G245" s="6" t="n">
        <v>4.33</v>
      </c>
      <c r="H245" s="24" t="n">
        <f aca="false">Table134[[#This Row],[Distance]]-G244</f>
        <v>1.24</v>
      </c>
      <c r="I245" s="22" t="n">
        <v>61</v>
      </c>
      <c r="J245" s="25" t="n">
        <f aca="false">Table134[[#This Row],[Time]]-I244</f>
        <v>11</v>
      </c>
      <c r="L245" s="1" t="s">
        <v>2</v>
      </c>
      <c r="M245" s="1" t="s">
        <v>179</v>
      </c>
      <c r="N245" s="1" t="s">
        <v>175</v>
      </c>
      <c r="O245" s="1" t="s">
        <v>177</v>
      </c>
    </row>
    <row r="246" customFormat="false" ht="13.8" hidden="false" customHeight="false" outlineLevel="0" collapsed="false">
      <c r="A246" s="20" t="n">
        <v>245</v>
      </c>
      <c r="B246" s="21" t="n">
        <v>43710</v>
      </c>
      <c r="C246" s="22" t="n">
        <v>13661</v>
      </c>
      <c r="D246" s="22" t="n">
        <f aca="false">Table134[[#This Row],[Steps]]-C245</f>
        <v>7652</v>
      </c>
      <c r="E246" s="23" t="n">
        <v>555.8</v>
      </c>
      <c r="F246" s="23" t="n">
        <f aca="false">Table134[[#This Row],[Colories]]-E245</f>
        <v>302.2</v>
      </c>
      <c r="G246" s="6" t="n">
        <v>9.84</v>
      </c>
      <c r="H246" s="24" t="n">
        <f aca="false">Table134[[#This Row],[Distance]]-G245</f>
        <v>5.51</v>
      </c>
      <c r="I246" s="22" t="n">
        <v>126</v>
      </c>
      <c r="J246" s="25" t="n">
        <f aca="false">Table134[[#This Row],[Time]]-I245</f>
        <v>65</v>
      </c>
      <c r="K246" s="1" t="s">
        <v>8</v>
      </c>
      <c r="L246" s="1" t="n">
        <f aca="false">AVERAGE($C$245:$C$274)</f>
        <v>12584.7586206897</v>
      </c>
      <c r="M246" s="1" t="n">
        <f aca="false">AVERAGE($E$245:$E$274)</f>
        <v>519.686206896552</v>
      </c>
      <c r="N246" s="1" t="n">
        <f aca="false">AVERAGE($G$245:$G$273)</f>
        <v>8.94392857142857</v>
      </c>
      <c r="O246" s="1" t="n">
        <f aca="false">AVERAGE($I$245:$I$274)</f>
        <v>121.620689655172</v>
      </c>
    </row>
    <row r="247" customFormat="false" ht="13.8" hidden="false" customHeight="false" outlineLevel="0" collapsed="false">
      <c r="A247" s="20" t="n">
        <v>246</v>
      </c>
      <c r="B247" s="21" t="n">
        <v>43711</v>
      </c>
      <c r="C247" s="22" t="n">
        <v>15862</v>
      </c>
      <c r="D247" s="22" t="n">
        <f aca="false">Table134[[#This Row],[Steps]]-C246</f>
        <v>2201</v>
      </c>
      <c r="E247" s="23" t="n">
        <v>641.4</v>
      </c>
      <c r="F247" s="23" t="n">
        <f aca="false">Table134[[#This Row],[Colories]]-E246</f>
        <v>85.6</v>
      </c>
      <c r="G247" s="6" t="n">
        <v>11.42</v>
      </c>
      <c r="H247" s="24" t="n">
        <f aca="false">Table134[[#This Row],[Distance]]-G246</f>
        <v>1.58</v>
      </c>
      <c r="I247" s="22" t="n">
        <v>144</v>
      </c>
      <c r="J247" s="25" t="n">
        <f aca="false">Table134[[#This Row],[Time]]-I246</f>
        <v>18</v>
      </c>
      <c r="K247" s="1" t="s">
        <v>10</v>
      </c>
      <c r="L247" s="1" t="n">
        <f aca="false">SQRT(VAR($C$245:$C$274)/COUNT($C$245:$C$274))</f>
        <v>1184.28681814144</v>
      </c>
      <c r="M247" s="1" t="n">
        <f aca="false">SQRT(VAR($E$245:$E$274)/COUNT($E$245:$E$274))</f>
        <v>48.4234754380655</v>
      </c>
      <c r="N247" s="1" t="n">
        <f aca="false">SQRT(VAR($G$245:$G$273)/COUNT($G$245:$G$273))</f>
        <v>0.875362712318679</v>
      </c>
      <c r="O247" s="1" t="n">
        <f aca="false">SQRT(VAR($I$245:$I$274)/COUNT($I$245:$I$274))</f>
        <v>11.3865591182957</v>
      </c>
    </row>
    <row r="248" customFormat="false" ht="13.8" hidden="false" customHeight="false" outlineLevel="0" collapsed="false">
      <c r="A248" s="20" t="n">
        <v>247</v>
      </c>
      <c r="B248" s="21" t="n">
        <v>43712</v>
      </c>
      <c r="C248" s="22" t="n">
        <v>19560</v>
      </c>
      <c r="D248" s="22" t="n">
        <f aca="false">Table134[[#This Row],[Steps]]-C247</f>
        <v>3698</v>
      </c>
      <c r="E248" s="23" t="n">
        <v>806.2</v>
      </c>
      <c r="F248" s="23" t="n">
        <f aca="false">Table134[[#This Row],[Colories]]-E247</f>
        <v>164.8</v>
      </c>
      <c r="G248" s="6" t="n">
        <v>14.08</v>
      </c>
      <c r="H248" s="24" t="n">
        <f aca="false">Table134[[#This Row],[Distance]]-G247</f>
        <v>2.66</v>
      </c>
      <c r="I248" s="22" t="n">
        <v>188</v>
      </c>
      <c r="J248" s="25" t="n">
        <f aca="false">Table134[[#This Row],[Time]]-I247</f>
        <v>44</v>
      </c>
      <c r="K248" s="1" t="s">
        <v>14</v>
      </c>
      <c r="L248" s="1" t="e">
        <f aca="false">MODE($C$245:$C$274)</f>
        <v>#VALUE!</v>
      </c>
      <c r="M248" s="1" t="e">
        <f aca="false">MODE($E$245:$E$274)</f>
        <v>#VALUE!</v>
      </c>
      <c r="N248" s="1" t="e">
        <f aca="false">MODE($G$245:$G$273)</f>
        <v>#VALUE!</v>
      </c>
      <c r="O248" s="1" t="n">
        <f aca="false">MODE($I$245:$I$274)</f>
        <v>82</v>
      </c>
    </row>
    <row r="249" customFormat="false" ht="13.8" hidden="false" customHeight="false" outlineLevel="0" collapsed="false">
      <c r="A249" s="20" t="n">
        <v>248</v>
      </c>
      <c r="B249" s="21" t="n">
        <v>43713</v>
      </c>
      <c r="C249" s="22" t="n">
        <v>10747</v>
      </c>
      <c r="D249" s="22" t="n">
        <f aca="false">Table134[[#This Row],[Steps]]-C248</f>
        <v>-8813</v>
      </c>
      <c r="E249" s="23" t="n">
        <v>449.6</v>
      </c>
      <c r="F249" s="23" t="n">
        <f aca="false">Table134[[#This Row],[Colories]]-E248</f>
        <v>-356.6</v>
      </c>
      <c r="G249" s="6" t="n">
        <v>7.74</v>
      </c>
      <c r="H249" s="24" t="n">
        <f aca="false">Table134[[#This Row],[Distance]]-G248</f>
        <v>-6.34</v>
      </c>
      <c r="I249" s="22" t="n">
        <v>107</v>
      </c>
      <c r="J249" s="25" t="n">
        <f aca="false">Table134[[#This Row],[Time]]-I248</f>
        <v>-81</v>
      </c>
      <c r="K249" s="1" t="s">
        <v>12</v>
      </c>
      <c r="L249" s="1" t="n">
        <f aca="false">MEDIAN($C$245:$C$274)</f>
        <v>12438</v>
      </c>
      <c r="M249" s="1" t="n">
        <f aca="false">MEDIAN($E$245:$E$274)</f>
        <v>521.9</v>
      </c>
      <c r="N249" s="1" t="n">
        <f aca="false">MEDIAN($G$245:$G$273)</f>
        <v>8.8</v>
      </c>
      <c r="O249" s="1" t="n">
        <f aca="false">MEDIAN($I$245:$I$274)</f>
        <v>125</v>
      </c>
    </row>
    <row r="250" customFormat="false" ht="13.8" hidden="false" customHeight="false" outlineLevel="0" collapsed="false">
      <c r="A250" s="20" t="n">
        <v>249</v>
      </c>
      <c r="B250" s="21" t="n">
        <v>43714</v>
      </c>
      <c r="C250" s="22" t="n">
        <v>9210</v>
      </c>
      <c r="D250" s="22" t="n">
        <f aca="false">Table134[[#This Row],[Steps]]-C249</f>
        <v>-1537</v>
      </c>
      <c r="E250" s="23" t="n">
        <v>416.3</v>
      </c>
      <c r="F250" s="23" t="n">
        <f aca="false">Table134[[#This Row],[Colories]]-E249</f>
        <v>-33.3</v>
      </c>
      <c r="G250" s="6" t="n">
        <v>6.63</v>
      </c>
      <c r="H250" s="24" t="n">
        <f aca="false">Table134[[#This Row],[Distance]]-G249</f>
        <v>-1.11</v>
      </c>
      <c r="I250" s="22" t="n">
        <v>111</v>
      </c>
      <c r="J250" s="25" t="n">
        <f aca="false">Table134[[#This Row],[Time]]-I249</f>
        <v>4</v>
      </c>
      <c r="K250" s="1" t="s">
        <v>180</v>
      </c>
      <c r="L250" s="1" t="n">
        <f aca="false">QUARTILE($C$245:$C$274, 1)</f>
        <v>8432</v>
      </c>
      <c r="M250" s="1" t="n">
        <f aca="false">QUARTILE($E$245:$E$274, 1)</f>
        <v>346.4</v>
      </c>
      <c r="N250" s="1" t="n">
        <f aca="false">QUARTILE($G$245:$G$273, 1)</f>
        <v>6.045</v>
      </c>
      <c r="O250" s="1" t="n">
        <f aca="false">QUARTILE($I$245:$I$274, 1)</f>
        <v>82</v>
      </c>
    </row>
    <row r="251" customFormat="false" ht="13.8" hidden="false" customHeight="false" outlineLevel="0" collapsed="false">
      <c r="A251" s="20" t="n">
        <v>250</v>
      </c>
      <c r="B251" s="21" t="n">
        <v>43715</v>
      </c>
      <c r="K251" s="1" t="s">
        <v>181</v>
      </c>
      <c r="L251" s="1" t="n">
        <f aca="false">QUARTILE($C$245:$C$274, 3)</f>
        <v>17155</v>
      </c>
      <c r="M251" s="1" t="n">
        <f aca="false">QUARTILE($E$245:$E$274, 3)</f>
        <v>701</v>
      </c>
      <c r="N251" s="1" t="n">
        <f aca="false">QUARTILE($G$245:$G$273, 3)</f>
        <v>11.9675</v>
      </c>
      <c r="O251" s="1" t="n">
        <f aca="false">QUARTILE($I$245:$I$274, 3)</f>
        <v>162</v>
      </c>
    </row>
    <row r="252" customFormat="false" ht="13.8" hidden="false" customHeight="false" outlineLevel="0" collapsed="false">
      <c r="A252" s="20" t="n">
        <v>251</v>
      </c>
      <c r="B252" s="21" t="n">
        <v>43716</v>
      </c>
      <c r="C252" s="22" t="n">
        <v>5738</v>
      </c>
      <c r="D252" s="22" t="n">
        <f aca="false">Table134[[#This Row],[Steps]]-C250</f>
        <v>-3472</v>
      </c>
      <c r="E252" s="23" t="n">
        <v>231.5</v>
      </c>
      <c r="F252" s="23" t="n">
        <f aca="false">Table134[[#This Row],[Colories]]-E250</f>
        <v>-184.8</v>
      </c>
      <c r="G252" s="6" t="n">
        <v>4.13</v>
      </c>
      <c r="H252" s="24" t="n">
        <f aca="false">Table134[[#This Row],[Distance]]-G250</f>
        <v>-2.5</v>
      </c>
      <c r="I252" s="22" t="n">
        <v>51</v>
      </c>
      <c r="J252" s="25" t="n">
        <f aca="false">Table134[[#This Row],[Time]]-I250</f>
        <v>-60</v>
      </c>
      <c r="K252" s="1" t="s">
        <v>182</v>
      </c>
      <c r="L252" s="1" t="n">
        <f aca="false">VAR($C$245:$C$274)</f>
        <v>40673522.7610837</v>
      </c>
      <c r="M252" s="1" t="n">
        <f aca="false">VAR($E$245:$E$274)</f>
        <v>68000.1562315271</v>
      </c>
      <c r="N252" s="1" t="n">
        <f aca="false">VAR($G$245:$G$273)</f>
        <v>21.4552765873016</v>
      </c>
      <c r="O252" s="1" t="n">
        <f aca="false">VAR($I$245:$I$274)</f>
        <v>3759.95812807882</v>
      </c>
    </row>
    <row r="253" customFormat="false" ht="13.8" hidden="false" customHeight="false" outlineLevel="0" collapsed="false">
      <c r="A253" s="20" t="n">
        <v>252</v>
      </c>
      <c r="B253" s="21" t="n">
        <v>43717</v>
      </c>
      <c r="C253" s="22" t="n">
        <v>11998</v>
      </c>
      <c r="D253" s="22" t="n">
        <f aca="false">Table134[[#This Row],[Steps]]-C252</f>
        <v>6260</v>
      </c>
      <c r="E253" s="23" t="n">
        <v>491.6</v>
      </c>
      <c r="F253" s="23" t="n">
        <f aca="false">Table134[[#This Row],[Colories]]-E252</f>
        <v>260.1</v>
      </c>
      <c r="G253" s="6" t="n">
        <v>8.64</v>
      </c>
      <c r="H253" s="24" t="n">
        <f aca="false">Table134[[#This Row],[Distance]]-G252</f>
        <v>4.51</v>
      </c>
      <c r="I253" s="22" t="n">
        <v>114</v>
      </c>
      <c r="J253" s="25" t="n">
        <f aca="false">Table134[[#This Row],[Time]]-I252</f>
        <v>63</v>
      </c>
      <c r="K253" s="1" t="s">
        <v>16</v>
      </c>
      <c r="L253" s="1" t="n">
        <f aca="false">STDEV($C$245:$C$274)</f>
        <v>6377.57969460859</v>
      </c>
      <c r="M253" s="1" t="n">
        <f aca="false">STDEV($E$245:$E$274)</f>
        <v>260.768395768213</v>
      </c>
      <c r="N253" s="1" t="n">
        <f aca="false">STDEV($G$245:$G$273)</f>
        <v>4.6319840875484</v>
      </c>
      <c r="O253" s="1" t="n">
        <f aca="false">STDEV($I$245:$I$274)</f>
        <v>61.3184974382023</v>
      </c>
    </row>
    <row r="254" customFormat="false" ht="13.8" hidden="false" customHeight="false" outlineLevel="0" collapsed="false">
      <c r="A254" s="20" t="n">
        <v>253</v>
      </c>
      <c r="B254" s="21" t="n">
        <v>43718</v>
      </c>
      <c r="C254" s="22" t="n">
        <v>19580</v>
      </c>
      <c r="D254" s="22" t="n">
        <f aca="false">Table134[[#This Row],[Steps]]-C253</f>
        <v>7582</v>
      </c>
      <c r="E254" s="23" t="n">
        <v>803.9</v>
      </c>
      <c r="F254" s="23" t="n">
        <f aca="false">Table134[[#This Row],[Colories]]-E253</f>
        <v>312.3</v>
      </c>
      <c r="G254" s="6" t="n">
        <v>14.1</v>
      </c>
      <c r="H254" s="24" t="n">
        <f aca="false">Table134[[#This Row],[Distance]]-G253</f>
        <v>5.46</v>
      </c>
      <c r="I254" s="22" t="n">
        <v>189</v>
      </c>
      <c r="J254" s="25" t="n">
        <f aca="false">Table134[[#This Row],[Time]]-I253</f>
        <v>75</v>
      </c>
      <c r="K254" s="1" t="s">
        <v>20</v>
      </c>
      <c r="L254" s="1" t="n">
        <f aca="false">KURT($C$245:$C$274)</f>
        <v>-0.60862227427864</v>
      </c>
      <c r="M254" s="1" t="n">
        <f aca="false">KURT($E$245:$E$274)</f>
        <v>-0.537357729765283</v>
      </c>
      <c r="N254" s="1" t="n">
        <f aca="false">KURT($G$245:$G$273)</f>
        <v>-0.592436771976458</v>
      </c>
      <c r="O254" s="1" t="n">
        <f aca="false">KURT($I$245:$I$274)</f>
        <v>-0.437672297109776</v>
      </c>
    </row>
    <row r="255" customFormat="false" ht="13.8" hidden="false" customHeight="false" outlineLevel="0" collapsed="false">
      <c r="A255" s="20" t="n">
        <v>254</v>
      </c>
      <c r="B255" s="21" t="n">
        <v>43719</v>
      </c>
      <c r="C255" s="22" t="n">
        <v>9683</v>
      </c>
      <c r="D255" s="22" t="n">
        <f aca="false">Table134[[#This Row],[Steps]]-C254</f>
        <v>-9897</v>
      </c>
      <c r="E255" s="23" t="n">
        <v>396.1</v>
      </c>
      <c r="F255" s="23" t="n">
        <f aca="false">Table134[[#This Row],[Colories]]-E254</f>
        <v>-407.8</v>
      </c>
      <c r="G255" s="6" t="n">
        <v>6.97</v>
      </c>
      <c r="H255" s="24" t="n">
        <f aca="false">Table134[[#This Row],[Distance]]-G254</f>
        <v>-7.13</v>
      </c>
      <c r="I255" s="22" t="n">
        <v>82</v>
      </c>
      <c r="J255" s="25" t="n">
        <f aca="false">Table134[[#This Row],[Time]]-I254</f>
        <v>-107</v>
      </c>
      <c r="K255" s="1" t="s">
        <v>22</v>
      </c>
      <c r="L255" s="1" t="n">
        <f aca="false">SKEW($C$245:$C$274)</f>
        <v>0.0940289605040497</v>
      </c>
      <c r="M255" s="1" t="n">
        <f aca="false">SKEW($E$245:$E$274)</f>
        <v>0.100358071721355</v>
      </c>
      <c r="N255" s="1" t="n">
        <f aca="false">SKEW($G$245:$G$273)</f>
        <v>0.162833698911024</v>
      </c>
      <c r="O255" s="1" t="n">
        <f aca="false">SKEW($I$245:$I$274)</f>
        <v>0.147438267602954</v>
      </c>
    </row>
    <row r="256" customFormat="false" ht="13.8" hidden="false" customHeight="false" outlineLevel="0" collapsed="false">
      <c r="A256" s="20" t="n">
        <v>255</v>
      </c>
      <c r="B256" s="21" t="n">
        <v>43720</v>
      </c>
      <c r="C256" s="22" t="n">
        <v>12438</v>
      </c>
      <c r="D256" s="22" t="n">
        <f aca="false">Table134[[#This Row],[Steps]]-C255</f>
        <v>2755</v>
      </c>
      <c r="E256" s="23" t="n">
        <v>521.9</v>
      </c>
      <c r="F256" s="23" t="n">
        <f aca="false">Table134[[#This Row],[Colories]]-E255</f>
        <v>125.8</v>
      </c>
      <c r="G256" s="6" t="n">
        <v>8.96</v>
      </c>
      <c r="H256" s="24" t="n">
        <f aca="false">Table134[[#This Row],[Distance]]-G255</f>
        <v>1.99</v>
      </c>
      <c r="I256" s="22" t="n">
        <v>125</v>
      </c>
      <c r="J256" s="25" t="n">
        <f aca="false">Table134[[#This Row],[Time]]-I255</f>
        <v>43</v>
      </c>
      <c r="K256" s="1" t="s">
        <v>24</v>
      </c>
      <c r="L256" s="1" t="n">
        <f aca="false">MAX($C$245:$C$274)-MIN($C$245:$C$274)</f>
        <v>24985</v>
      </c>
      <c r="M256" s="1" t="n">
        <f aca="false">MAX($E$245:$E$274)-MIN($E$245:$E$274)</f>
        <v>1032.5</v>
      </c>
      <c r="N256" s="1" t="n">
        <f aca="false">MAX($G$245:$G$273)-MIN($G$245:$G$273)</f>
        <v>17.99</v>
      </c>
      <c r="O256" s="1" t="n">
        <f aca="false">MAX($I$245:$I$274)-MIN($I$245:$I$274)</f>
        <v>246</v>
      </c>
    </row>
    <row r="257" customFormat="false" ht="13.8" hidden="false" customHeight="false" outlineLevel="0" collapsed="false">
      <c r="A257" s="20" t="n">
        <v>256</v>
      </c>
      <c r="B257" s="21" t="n">
        <v>43721</v>
      </c>
      <c r="C257" s="22" t="n">
        <v>13536</v>
      </c>
      <c r="D257" s="22" t="n">
        <f aca="false">Table134[[#This Row],[Steps]]-C256</f>
        <v>1098</v>
      </c>
      <c r="E257" s="23" t="n">
        <v>549.5</v>
      </c>
      <c r="F257" s="23" t="n">
        <f aca="false">Table134[[#This Row],[Colories]]-E256</f>
        <v>27.6</v>
      </c>
      <c r="G257" s="6" t="n">
        <v>9.75</v>
      </c>
      <c r="H257" s="24" t="n">
        <f aca="false">Table134[[#This Row],[Distance]]-G256</f>
        <v>0.789999999999999</v>
      </c>
      <c r="I257" s="22" t="n">
        <v>125</v>
      </c>
      <c r="J257" s="25" t="n">
        <f aca="false">Table134[[#This Row],[Time]]-I256</f>
        <v>0</v>
      </c>
      <c r="K257" s="1" t="s">
        <v>26</v>
      </c>
      <c r="L257" s="1" t="n">
        <f aca="false">MIN($C$245:$C$274)</f>
        <v>1542</v>
      </c>
      <c r="M257" s="1" t="n">
        <f aca="false">MIN($E$245:$E$274)</f>
        <v>63.3</v>
      </c>
      <c r="N257" s="1" t="n">
        <f aca="false">MIN($G$245:$G$273)</f>
        <v>1.11</v>
      </c>
      <c r="O257" s="1" t="n">
        <f aca="false">MIN($I$245:$I$274)</f>
        <v>14</v>
      </c>
    </row>
    <row r="258" customFormat="false" ht="13.8" hidden="false" customHeight="false" outlineLevel="0" collapsed="false">
      <c r="A258" s="20" t="n">
        <v>257</v>
      </c>
      <c r="B258" s="21" t="n">
        <v>43722</v>
      </c>
      <c r="C258" s="22" t="n">
        <v>3011</v>
      </c>
      <c r="D258" s="22" t="n">
        <f aca="false">Table134[[#This Row],[Steps]]-C257</f>
        <v>-10525</v>
      </c>
      <c r="E258" s="23" t="n">
        <v>123.3</v>
      </c>
      <c r="F258" s="23" t="n">
        <f aca="false">Table134[[#This Row],[Colories]]-E257</f>
        <v>-426.2</v>
      </c>
      <c r="G258" s="6" t="n">
        <v>2.17</v>
      </c>
      <c r="H258" s="24" t="n">
        <f aca="false">Table134[[#This Row],[Distance]]-G257</f>
        <v>-7.58</v>
      </c>
      <c r="I258" s="22" t="n">
        <v>28</v>
      </c>
      <c r="J258" s="25" t="n">
        <f aca="false">Table134[[#This Row],[Time]]-I257</f>
        <v>-97</v>
      </c>
      <c r="K258" s="1" t="s">
        <v>28</v>
      </c>
      <c r="L258" s="1" t="n">
        <f aca="false">MAX($C$245:$C$274)</f>
        <v>26527</v>
      </c>
      <c r="M258" s="1" t="n">
        <f aca="false">MAX($E$245:$E$274)</f>
        <v>1095.8</v>
      </c>
      <c r="N258" s="1" t="n">
        <f aca="false">MAX($G$245:$G$273)</f>
        <v>19.1</v>
      </c>
      <c r="O258" s="1" t="n">
        <f aca="false">MAX($I$245:$I$274)</f>
        <v>260</v>
      </c>
    </row>
    <row r="259" customFormat="false" ht="13.8" hidden="false" customHeight="false" outlineLevel="0" collapsed="false">
      <c r="A259" s="20" t="n">
        <v>258</v>
      </c>
      <c r="B259" s="21" t="n">
        <v>43723</v>
      </c>
      <c r="C259" s="22" t="n">
        <v>17826</v>
      </c>
      <c r="D259" s="22" t="n">
        <f aca="false">Table134[[#This Row],[Steps]]-C258</f>
        <v>14815</v>
      </c>
      <c r="E259" s="23" t="n">
        <v>724.5</v>
      </c>
      <c r="F259" s="23" t="n">
        <f aca="false">Table134[[#This Row],[Colories]]-E258</f>
        <v>601.2</v>
      </c>
      <c r="G259" s="6" t="n">
        <v>12.83</v>
      </c>
      <c r="H259" s="24" t="n">
        <f aca="false">Table134[[#This Row],[Distance]]-G258</f>
        <v>10.66</v>
      </c>
      <c r="I259" s="22" t="n">
        <v>165</v>
      </c>
      <c r="J259" s="25" t="n">
        <f aca="false">Table134[[#This Row],[Time]]-I258</f>
        <v>137</v>
      </c>
      <c r="K259" s="1" t="s">
        <v>30</v>
      </c>
      <c r="L259" s="1" t="n">
        <f aca="false">SUM($C$245:$C$274)</f>
        <v>364958</v>
      </c>
      <c r="M259" s="1" t="n">
        <f aca="false">SUM($E$245:$E$274)</f>
        <v>15070.9</v>
      </c>
      <c r="N259" s="1" t="n">
        <f aca="false">SUM($G$245:$G$273)</f>
        <v>250.43</v>
      </c>
      <c r="O259" s="1" t="n">
        <f aca="false">SUM($I$245:$I$274)</f>
        <v>3527</v>
      </c>
    </row>
    <row r="260" customFormat="false" ht="13.8" hidden="false" customHeight="false" outlineLevel="0" collapsed="false">
      <c r="A260" s="20" t="n">
        <v>259</v>
      </c>
      <c r="B260" s="21" t="n">
        <v>43724</v>
      </c>
      <c r="C260" s="22" t="n">
        <v>2990</v>
      </c>
      <c r="D260" s="22" t="n">
        <f aca="false">Table134[[#This Row],[Steps]]-C259</f>
        <v>-14836</v>
      </c>
      <c r="E260" s="23" t="n">
        <v>132.9</v>
      </c>
      <c r="F260" s="23" t="n">
        <f aca="false">Table134[[#This Row],[Colories]]-E259</f>
        <v>-591.6</v>
      </c>
      <c r="G260" s="6" t="n">
        <v>2.15</v>
      </c>
      <c r="H260" s="24" t="n">
        <f aca="false">Table134[[#This Row],[Distance]]-G259</f>
        <v>-10.68</v>
      </c>
      <c r="I260" s="22" t="n">
        <v>34</v>
      </c>
      <c r="J260" s="25" t="n">
        <f aca="false">Table134[[#This Row],[Time]]-I259</f>
        <v>-131</v>
      </c>
      <c r="K260" s="1" t="s">
        <v>32</v>
      </c>
      <c r="L260" s="1" t="n">
        <f aca="false">COUNT($C$245:$C$274)</f>
        <v>29</v>
      </c>
      <c r="M260" s="1" t="n">
        <f aca="false">COUNT($E$245:$E$274)</f>
        <v>29</v>
      </c>
      <c r="N260" s="1" t="n">
        <f aca="false">COUNT($G$245:$G$273)</f>
        <v>28</v>
      </c>
      <c r="O260" s="1" t="n">
        <f aca="false">COUNT($I$245:$I$274)</f>
        <v>29</v>
      </c>
    </row>
    <row r="261" customFormat="false" ht="13.8" hidden="false" customHeight="false" outlineLevel="0" collapsed="false">
      <c r="A261" s="20" t="n">
        <v>260</v>
      </c>
      <c r="B261" s="21" t="n">
        <v>43725</v>
      </c>
      <c r="C261" s="22" t="n">
        <v>16222</v>
      </c>
      <c r="D261" s="22" t="n">
        <f aca="false">Table134[[#This Row],[Steps]]-C260</f>
        <v>13232</v>
      </c>
      <c r="E261" s="23" t="n">
        <v>664.6</v>
      </c>
      <c r="F261" s="23" t="n">
        <f aca="false">Table134[[#This Row],[Colories]]-E260</f>
        <v>531.7</v>
      </c>
      <c r="G261" s="6" t="n">
        <v>11.68</v>
      </c>
      <c r="H261" s="24" t="n">
        <f aca="false">Table134[[#This Row],[Distance]]-G260</f>
        <v>9.53</v>
      </c>
      <c r="I261" s="22" t="n">
        <v>154</v>
      </c>
      <c r="J261" s="25" t="n">
        <f aca="false">Table134[[#This Row],[Time]]-I260</f>
        <v>120</v>
      </c>
    </row>
    <row r="262" customFormat="false" ht="13.8" hidden="false" customHeight="false" outlineLevel="0" collapsed="false">
      <c r="A262" s="20" t="n">
        <v>261</v>
      </c>
      <c r="B262" s="21" t="n">
        <v>43726</v>
      </c>
      <c r="C262" s="22" t="n">
        <v>10496</v>
      </c>
      <c r="D262" s="22" t="n">
        <f aca="false">Table134[[#This Row],[Steps]]-C261</f>
        <v>-5726</v>
      </c>
      <c r="E262" s="23" t="n">
        <v>434.7</v>
      </c>
      <c r="F262" s="23" t="n">
        <f aca="false">Table134[[#This Row],[Colories]]-E261</f>
        <v>-229.9</v>
      </c>
      <c r="G262" s="6" t="n">
        <v>7.56</v>
      </c>
      <c r="H262" s="24" t="n">
        <f aca="false">Table134[[#This Row],[Distance]]-G261</f>
        <v>-4.12</v>
      </c>
      <c r="I262" s="22" t="n">
        <v>101</v>
      </c>
      <c r="J262" s="25" t="n">
        <f aca="false">Table134[[#This Row],[Time]]-I261</f>
        <v>-53</v>
      </c>
    </row>
    <row r="263" customFormat="false" ht="13.8" hidden="false" customHeight="false" outlineLevel="0" collapsed="false">
      <c r="A263" s="20" t="n">
        <v>262</v>
      </c>
      <c r="B263" s="21" t="n">
        <v>43727</v>
      </c>
      <c r="C263" s="22" t="n">
        <v>15894</v>
      </c>
      <c r="D263" s="22" t="n">
        <f aca="false">Table134[[#This Row],[Steps]]-C262</f>
        <v>5398</v>
      </c>
      <c r="E263" s="23" t="n">
        <v>648.3</v>
      </c>
      <c r="F263" s="23" t="n">
        <f aca="false">Table134[[#This Row],[Colories]]-E262</f>
        <v>213.6</v>
      </c>
      <c r="G263" s="6" t="n">
        <v>11.44</v>
      </c>
      <c r="H263" s="24" t="n">
        <f aca="false">Table134[[#This Row],[Distance]]-G262</f>
        <v>3.88</v>
      </c>
      <c r="I263" s="22" t="n">
        <v>148</v>
      </c>
      <c r="J263" s="25" t="n">
        <f aca="false">Table134[[#This Row],[Time]]-I262</f>
        <v>47</v>
      </c>
    </row>
    <row r="264" customFormat="false" ht="13.8" hidden="false" customHeight="false" outlineLevel="0" collapsed="false">
      <c r="A264" s="20" t="n">
        <v>263</v>
      </c>
      <c r="B264" s="21" t="n">
        <v>43728</v>
      </c>
      <c r="C264" s="22" t="n">
        <v>3422</v>
      </c>
      <c r="D264" s="22" t="n">
        <f aca="false">Table134[[#This Row],[Steps]]-C263</f>
        <v>-12472</v>
      </c>
      <c r="E264" s="23" t="n">
        <v>144.2</v>
      </c>
      <c r="F264" s="23" t="n">
        <f aca="false">Table134[[#This Row],[Colories]]-E263</f>
        <v>-504.1</v>
      </c>
      <c r="G264" s="6" t="n">
        <v>2.46</v>
      </c>
      <c r="H264" s="24" t="n">
        <f aca="false">Table134[[#This Row],[Distance]]-G263</f>
        <v>-8.98</v>
      </c>
      <c r="I264" s="22" t="n">
        <v>35</v>
      </c>
      <c r="J264" s="25" t="n">
        <f aca="false">Table134[[#This Row],[Time]]-I263</f>
        <v>-113</v>
      </c>
    </row>
    <row r="265" customFormat="false" ht="13.8" hidden="false" customHeight="false" outlineLevel="0" collapsed="false">
      <c r="A265" s="20" t="n">
        <v>264</v>
      </c>
      <c r="B265" s="21" t="n">
        <v>43729</v>
      </c>
      <c r="C265" s="22" t="n">
        <v>22077</v>
      </c>
      <c r="D265" s="22" t="n">
        <f aca="false">Table134[[#This Row],[Steps]]-C264</f>
        <v>18655</v>
      </c>
      <c r="E265" s="23" t="n">
        <v>914</v>
      </c>
      <c r="F265" s="23" t="n">
        <f aca="false">Table134[[#This Row],[Colories]]-E264</f>
        <v>769.8</v>
      </c>
      <c r="G265" s="6" t="n">
        <v>15.9</v>
      </c>
      <c r="H265" s="24" t="n">
        <f aca="false">Table134[[#This Row],[Distance]]-G264</f>
        <v>13.44</v>
      </c>
      <c r="I265" s="22" t="n">
        <v>218</v>
      </c>
      <c r="J265" s="25" t="n">
        <f aca="false">Table134[[#This Row],[Time]]-I264</f>
        <v>183</v>
      </c>
    </row>
    <row r="266" customFormat="false" ht="13.8" hidden="false" customHeight="false" outlineLevel="0" collapsed="false">
      <c r="A266" s="20" t="n">
        <v>265</v>
      </c>
      <c r="B266" s="21" t="n">
        <v>43730</v>
      </c>
      <c r="C266" s="22" t="n">
        <v>26527</v>
      </c>
      <c r="D266" s="22" t="n">
        <f aca="false">Table134[[#This Row],[Steps]]-C265</f>
        <v>4450</v>
      </c>
      <c r="E266" s="23" t="n">
        <v>1095.8</v>
      </c>
      <c r="F266" s="23" t="n">
        <f aca="false">Table134[[#This Row],[Colories]]-E265</f>
        <v>181.8</v>
      </c>
      <c r="G266" s="6" t="n">
        <v>19.1</v>
      </c>
      <c r="H266" s="24" t="n">
        <f aca="false">Table134[[#This Row],[Distance]]-G265</f>
        <v>3.2</v>
      </c>
      <c r="I266" s="22" t="n">
        <v>260</v>
      </c>
      <c r="J266" s="25" t="n">
        <f aca="false">Table134[[#This Row],[Time]]-I265</f>
        <v>42</v>
      </c>
    </row>
    <row r="267" customFormat="false" ht="13.8" hidden="false" customHeight="false" outlineLevel="0" collapsed="false">
      <c r="A267" s="20" t="n">
        <v>266</v>
      </c>
      <c r="B267" s="21" t="n">
        <v>43731</v>
      </c>
      <c r="C267" s="22" t="n">
        <v>8291</v>
      </c>
      <c r="D267" s="22" t="n">
        <f aca="false">Table134[[#This Row],[Steps]]-C266</f>
        <v>-18236</v>
      </c>
      <c r="E267" s="23" t="n">
        <v>346.4</v>
      </c>
      <c r="F267" s="23" t="n">
        <f aca="false">Table134[[#This Row],[Colories]]-E266</f>
        <v>-749.4</v>
      </c>
      <c r="G267" s="6" t="n">
        <v>5.97</v>
      </c>
      <c r="H267" s="24" t="n">
        <f aca="false">Table134[[#This Row],[Distance]]-G266</f>
        <v>-13.13</v>
      </c>
      <c r="I267" s="22" t="n">
        <v>82</v>
      </c>
      <c r="J267" s="25" t="n">
        <f aca="false">Table134[[#This Row],[Time]]-I266</f>
        <v>-178</v>
      </c>
    </row>
    <row r="268" customFormat="false" ht="13.8" hidden="false" customHeight="false" outlineLevel="0" collapsed="false">
      <c r="A268" s="20" t="n">
        <v>267</v>
      </c>
      <c r="B268" s="21" t="n">
        <v>43732</v>
      </c>
      <c r="C268" s="22" t="n">
        <v>15212</v>
      </c>
      <c r="D268" s="22" t="n">
        <f aca="false">Table134[[#This Row],[Steps]]-C267</f>
        <v>6921</v>
      </c>
      <c r="E268" s="23" t="n">
        <v>639.6</v>
      </c>
      <c r="F268" s="23" t="n">
        <f aca="false">Table134[[#This Row],[Colories]]-E267</f>
        <v>293.2</v>
      </c>
      <c r="G268" s="6" t="n">
        <v>10.95</v>
      </c>
      <c r="H268" s="24" t="n">
        <f aca="false">Table134[[#This Row],[Distance]]-G267</f>
        <v>4.98</v>
      </c>
      <c r="I268" s="22" t="n">
        <v>157</v>
      </c>
      <c r="J268" s="25" t="n">
        <f aca="false">Table134[[#This Row],[Time]]-I267</f>
        <v>75</v>
      </c>
    </row>
    <row r="269" customFormat="false" ht="13.8" hidden="false" customHeight="false" outlineLevel="0" collapsed="false">
      <c r="A269" s="20" t="n">
        <v>268</v>
      </c>
      <c r="B269" s="21" t="n">
        <v>43733</v>
      </c>
      <c r="C269" s="22" t="n">
        <v>21008</v>
      </c>
      <c r="D269" s="22" t="n">
        <f aca="false">Table134[[#This Row],[Steps]]-C268</f>
        <v>5796</v>
      </c>
      <c r="E269" s="23" t="n">
        <v>863.5</v>
      </c>
      <c r="F269" s="23" t="n">
        <f aca="false">Table134[[#This Row],[Colories]]-E268</f>
        <v>223.9</v>
      </c>
      <c r="G269" s="6" t="n">
        <v>15.13</v>
      </c>
      <c r="H269" s="24" t="n">
        <f aca="false">Table134[[#This Row],[Distance]]-G268</f>
        <v>4.18</v>
      </c>
      <c r="I269" s="22" t="n">
        <v>203</v>
      </c>
      <c r="J269" s="25" t="n">
        <f aca="false">Table134[[#This Row],[Time]]-I268</f>
        <v>46</v>
      </c>
    </row>
    <row r="270" customFormat="false" ht="13.8" hidden="false" customHeight="false" outlineLevel="0" collapsed="false">
      <c r="A270" s="20" t="n">
        <v>269</v>
      </c>
      <c r="B270" s="21" t="n">
        <v>43734</v>
      </c>
      <c r="C270" s="22" t="n">
        <v>8472</v>
      </c>
      <c r="D270" s="22" t="n">
        <f aca="false">Table134[[#This Row],[Steps]]-C269</f>
        <v>-12536</v>
      </c>
      <c r="E270" s="23" t="n">
        <v>345.5</v>
      </c>
      <c r="F270" s="23" t="n">
        <f aca="false">Table134[[#This Row],[Colories]]-E269</f>
        <v>-518</v>
      </c>
      <c r="G270" s="6" t="n">
        <v>6.1</v>
      </c>
      <c r="H270" s="24" t="n">
        <f aca="false">Table134[[#This Row],[Distance]]-G269</f>
        <v>-9.03</v>
      </c>
      <c r="I270" s="22" t="n">
        <v>79</v>
      </c>
      <c r="J270" s="25" t="n">
        <f aca="false">Table134[[#This Row],[Time]]-I269</f>
        <v>-124</v>
      </c>
    </row>
    <row r="271" customFormat="false" ht="13.8" hidden="false" customHeight="false" outlineLevel="0" collapsed="false">
      <c r="A271" s="20" t="n">
        <v>270</v>
      </c>
      <c r="B271" s="21" t="n">
        <v>43735</v>
      </c>
      <c r="C271" s="22" t="n">
        <v>18359</v>
      </c>
      <c r="D271" s="22" t="n">
        <f aca="false">Table134[[#This Row],[Steps]]-C270</f>
        <v>9887</v>
      </c>
      <c r="E271" s="23" t="n">
        <v>756</v>
      </c>
      <c r="F271" s="23" t="n">
        <f aca="false">Table134[[#This Row],[Colories]]-E270</f>
        <v>410.5</v>
      </c>
      <c r="G271" s="6" t="n">
        <v>13.22</v>
      </c>
      <c r="H271" s="24" t="n">
        <f aca="false">Table134[[#This Row],[Distance]]-G270</f>
        <v>7.12</v>
      </c>
      <c r="I271" s="22" t="n">
        <v>177</v>
      </c>
      <c r="J271" s="25" t="n">
        <f aca="false">Table134[[#This Row],[Time]]-I270</f>
        <v>98</v>
      </c>
    </row>
    <row r="272" customFormat="false" ht="13.8" hidden="false" customHeight="false" outlineLevel="0" collapsed="false">
      <c r="A272" s="20" t="n">
        <v>271</v>
      </c>
      <c r="B272" s="21" t="n">
        <v>43736</v>
      </c>
      <c r="C272" s="22" t="n">
        <v>8432</v>
      </c>
      <c r="D272" s="22" t="n">
        <f aca="false">Table134[[#This Row],[Steps]]-C271</f>
        <v>-9927</v>
      </c>
      <c r="E272" s="23" t="n">
        <v>355.9</v>
      </c>
      <c r="F272" s="23" t="n">
        <f aca="false">Table134[[#This Row],[Colories]]-E271</f>
        <v>-400.1</v>
      </c>
      <c r="G272" s="6" t="n">
        <v>6.07</v>
      </c>
      <c r="H272" s="24" t="n">
        <f aca="false">Table134[[#This Row],[Distance]]-G271</f>
        <v>-7.15</v>
      </c>
      <c r="I272" s="22" t="n">
        <v>87</v>
      </c>
      <c r="J272" s="25" t="n">
        <f aca="false">Table134[[#This Row],[Time]]-I271</f>
        <v>-90</v>
      </c>
    </row>
    <row r="273" customFormat="false" ht="13.8" hidden="false" customHeight="false" outlineLevel="0" collapsed="false">
      <c r="A273" s="20" t="n">
        <v>272</v>
      </c>
      <c r="B273" s="21" t="n">
        <v>43737</v>
      </c>
      <c r="C273" s="22" t="n">
        <v>1542</v>
      </c>
      <c r="D273" s="22" t="n">
        <f aca="false">Table134[[#This Row],[Steps]]-C272</f>
        <v>-6890</v>
      </c>
      <c r="E273" s="23" t="n">
        <v>63.3</v>
      </c>
      <c r="F273" s="23" t="n">
        <f aca="false">Table134[[#This Row],[Colories]]-E272</f>
        <v>-292.6</v>
      </c>
      <c r="G273" s="6" t="n">
        <v>1.11</v>
      </c>
      <c r="H273" s="24" t="n">
        <f aca="false">Table134[[#This Row],[Distance]]-G272</f>
        <v>-4.96</v>
      </c>
      <c r="I273" s="22" t="n">
        <v>14</v>
      </c>
      <c r="J273" s="25" t="n">
        <f aca="false">Table134[[#This Row],[Time]]-I272</f>
        <v>-73</v>
      </c>
    </row>
    <row r="274" customFormat="false" ht="13.8" hidden="false" customHeight="false" outlineLevel="0" collapsed="false">
      <c r="A274" s="20" t="n">
        <v>273</v>
      </c>
      <c r="B274" s="21" t="n">
        <v>43738</v>
      </c>
      <c r="C274" s="22" t="n">
        <v>17155</v>
      </c>
      <c r="D274" s="22" t="n">
        <f aca="false">Table134[[#This Row],[Steps]]-C273</f>
        <v>15613</v>
      </c>
      <c r="E274" s="23" t="n">
        <v>701</v>
      </c>
      <c r="F274" s="23" t="n">
        <f aca="false">Table134[[#This Row],[Colories]]-E273</f>
        <v>637.7</v>
      </c>
      <c r="G274" s="6" t="n">
        <v>12.35</v>
      </c>
      <c r="H274" s="24" t="n">
        <f aca="false">Table134[[#This Row],[Distance]]-G273</f>
        <v>11.24</v>
      </c>
      <c r="I274" s="22" t="n">
        <v>162</v>
      </c>
      <c r="J274" s="25" t="n">
        <f aca="false">Table134[[#This Row],[Time]]-I273</f>
        <v>148</v>
      </c>
    </row>
    <row r="275" customFormat="false" ht="13.8" hidden="false" customHeight="false" outlineLevel="0" collapsed="false">
      <c r="A275" s="20" t="n">
        <v>274</v>
      </c>
      <c r="B275" s="21" t="n">
        <v>43739</v>
      </c>
      <c r="C275" s="22" t="n">
        <v>18193</v>
      </c>
      <c r="D275" s="22" t="n">
        <f aca="false">Table134[[#This Row],[Steps]]-C274</f>
        <v>1038</v>
      </c>
      <c r="E275" s="23" t="n">
        <v>731.1</v>
      </c>
      <c r="F275" s="23" t="n">
        <f aca="false">Table134[[#This Row],[Colories]]-E274</f>
        <v>30.1</v>
      </c>
      <c r="G275" s="6" t="n">
        <v>13.1</v>
      </c>
      <c r="H275" s="24" t="n">
        <f aca="false">Table134[[#This Row],[Distance]]-G274</f>
        <v>0.75</v>
      </c>
      <c r="I275" s="22" t="n">
        <v>160</v>
      </c>
      <c r="J275" s="25" t="n">
        <f aca="false">Table134[[#This Row],[Time]]-I274</f>
        <v>-2</v>
      </c>
      <c r="L275" s="1" t="s">
        <v>2</v>
      </c>
      <c r="M275" s="1" t="s">
        <v>179</v>
      </c>
      <c r="N275" s="1" t="s">
        <v>175</v>
      </c>
      <c r="O275" s="1" t="s">
        <v>177</v>
      </c>
    </row>
    <row r="276" customFormat="false" ht="13.8" hidden="false" customHeight="false" outlineLevel="0" collapsed="false">
      <c r="A276" s="20" t="n">
        <v>275</v>
      </c>
      <c r="B276" s="21" t="n">
        <v>43740</v>
      </c>
      <c r="C276" s="22" t="n">
        <v>15212</v>
      </c>
      <c r="D276" s="22" t="n">
        <f aca="false">Table134[[#This Row],[Steps]]-C275</f>
        <v>-2981</v>
      </c>
      <c r="E276" s="23" t="n">
        <v>617.1</v>
      </c>
      <c r="F276" s="23" t="n">
        <f aca="false">Table134[[#This Row],[Colories]]-E275</f>
        <v>-114</v>
      </c>
      <c r="G276" s="6" t="n">
        <v>10.95</v>
      </c>
      <c r="H276" s="24" t="n">
        <f aca="false">Table134[[#This Row],[Distance]]-G275</f>
        <v>-2.15</v>
      </c>
      <c r="I276" s="22" t="n">
        <v>139</v>
      </c>
      <c r="J276" s="25" t="n">
        <f aca="false">Table134[[#This Row],[Time]]-I275</f>
        <v>-21</v>
      </c>
      <c r="K276" s="1" t="s">
        <v>8</v>
      </c>
      <c r="L276" s="1" t="n">
        <f aca="false">AVERAGE($C$275:$C$305)</f>
        <v>11097.0666666667</v>
      </c>
      <c r="M276" s="1" t="n">
        <f aca="false">AVERAGE($E$275:$E$305)</f>
        <v>459.076666666667</v>
      </c>
      <c r="N276" s="1" t="n">
        <f aca="false">AVERAGE($G$275:$G$305)</f>
        <v>7.98933333333333</v>
      </c>
      <c r="O276" s="1" t="n">
        <f aca="false">AVERAGE($I$275:$I$305)</f>
        <v>107.933333333333</v>
      </c>
    </row>
    <row r="277" customFormat="false" ht="13.8" hidden="false" customHeight="false" outlineLevel="0" collapsed="false">
      <c r="A277" s="20" t="n">
        <v>276</v>
      </c>
      <c r="B277" s="21" t="n">
        <v>43741</v>
      </c>
      <c r="C277" s="22" t="n">
        <v>4449</v>
      </c>
      <c r="D277" s="22" t="n">
        <f aca="false">Table134[[#This Row],[Steps]]-C276</f>
        <v>-10763</v>
      </c>
      <c r="E277" s="23" t="n">
        <v>198.1</v>
      </c>
      <c r="F277" s="23" t="n">
        <f aca="false">Table134[[#This Row],[Colories]]-E276</f>
        <v>-419</v>
      </c>
      <c r="G277" s="6" t="n">
        <v>3.2</v>
      </c>
      <c r="H277" s="24" t="n">
        <f aca="false">Table134[[#This Row],[Distance]]-G276</f>
        <v>-7.75</v>
      </c>
      <c r="I277" s="22" t="n">
        <v>52</v>
      </c>
      <c r="J277" s="25" t="n">
        <f aca="false">Table134[[#This Row],[Time]]-I276</f>
        <v>-87</v>
      </c>
      <c r="K277" s="1" t="s">
        <v>10</v>
      </c>
      <c r="L277" s="1" t="n">
        <f aca="false">SQRT(VAR($C$275:$C$305)/COUNT($C$275:$C$305))</f>
        <v>1201.70716299516</v>
      </c>
      <c r="M277" s="1" t="n">
        <f aca="false">SQRT(VAR($E$275:$E$305)/COUNT($E$275:$E$305))</f>
        <v>49.7200088503273</v>
      </c>
      <c r="N277" s="1" t="n">
        <f aca="false">SQRT(VAR($G$275:$G$305)/COUNT($G$275:$G$305))</f>
        <v>0.86525790897405</v>
      </c>
      <c r="O277" s="1" t="n">
        <f aca="false">SQRT(VAR($I$275:$I$305)/COUNT($I$275:$I$305))</f>
        <v>11.824476206069</v>
      </c>
    </row>
    <row r="278" customFormat="false" ht="13.8" hidden="false" customHeight="false" outlineLevel="0" collapsed="false">
      <c r="A278" s="20" t="n">
        <v>277</v>
      </c>
      <c r="B278" s="21" t="n">
        <v>43742</v>
      </c>
      <c r="C278" s="22" t="n">
        <v>11572</v>
      </c>
      <c r="D278" s="22" t="n">
        <f aca="false">Table134[[#This Row],[Steps]]-C277</f>
        <v>7123</v>
      </c>
      <c r="E278" s="23" t="n">
        <v>500.7</v>
      </c>
      <c r="F278" s="23" t="n">
        <f aca="false">Table134[[#This Row],[Colories]]-E277</f>
        <v>302.6</v>
      </c>
      <c r="G278" s="6" t="n">
        <v>8.33</v>
      </c>
      <c r="H278" s="24" t="n">
        <f aca="false">Table134[[#This Row],[Distance]]-G277</f>
        <v>5.13</v>
      </c>
      <c r="I278" s="22" t="n">
        <v>127</v>
      </c>
      <c r="J278" s="25" t="n">
        <f aca="false">Table134[[#This Row],[Time]]-I277</f>
        <v>75</v>
      </c>
      <c r="K278" s="1" t="s">
        <v>14</v>
      </c>
      <c r="L278" s="1" t="e">
        <f aca="false">MODE($C$275:$C$305)</f>
        <v>#VALUE!</v>
      </c>
      <c r="M278" s="1" t="e">
        <f aca="false">MODE($E$275:$E$305)</f>
        <v>#VALUE!</v>
      </c>
      <c r="N278" s="1" t="n">
        <f aca="false">MODE($G$275:$G$305)</f>
        <v>9.44</v>
      </c>
      <c r="O278" s="1" t="n">
        <f aca="false">MODE($I$275:$I$305)</f>
        <v>36</v>
      </c>
    </row>
    <row r="279" customFormat="false" ht="13.8" hidden="false" customHeight="false" outlineLevel="0" collapsed="false">
      <c r="A279" s="20" t="n">
        <v>278</v>
      </c>
      <c r="B279" s="21" t="n">
        <v>43743</v>
      </c>
      <c r="C279" s="22" t="n">
        <v>11828</v>
      </c>
      <c r="D279" s="22" t="n">
        <f aca="false">Table134[[#This Row],[Steps]]-C278</f>
        <v>256</v>
      </c>
      <c r="E279" s="23" t="n">
        <v>501.6</v>
      </c>
      <c r="F279" s="23" t="n">
        <f aca="false">Table134[[#This Row],[Colories]]-E278</f>
        <v>0.900000000000034</v>
      </c>
      <c r="G279" s="6" t="n">
        <v>8.52</v>
      </c>
      <c r="H279" s="24" t="n">
        <f aca="false">Table134[[#This Row],[Distance]]-G278</f>
        <v>0.19</v>
      </c>
      <c r="I279" s="22" t="n">
        <v>123</v>
      </c>
      <c r="J279" s="25" t="n">
        <f aca="false">Table134[[#This Row],[Time]]-I278</f>
        <v>-4</v>
      </c>
      <c r="K279" s="1" t="s">
        <v>12</v>
      </c>
      <c r="L279" s="1" t="n">
        <f aca="false">MEDIAN($C$275:$C$305)</f>
        <v>11700</v>
      </c>
      <c r="M279" s="1" t="n">
        <f aca="false">MEDIAN($E$275:$E$305)</f>
        <v>501.15</v>
      </c>
      <c r="N279" s="1" t="n">
        <f aca="false">MEDIAN($G$275:$G$305)</f>
        <v>8.425</v>
      </c>
      <c r="O279" s="1" t="n">
        <f aca="false">MEDIAN($I$275:$I$305)</f>
        <v>120</v>
      </c>
    </row>
    <row r="280" customFormat="false" ht="13.8" hidden="false" customHeight="false" outlineLevel="0" collapsed="false">
      <c r="A280" s="20" t="n">
        <v>279</v>
      </c>
      <c r="B280" s="21" t="n">
        <v>43744</v>
      </c>
      <c r="C280" s="22" t="n">
        <v>5881</v>
      </c>
      <c r="D280" s="22" t="n">
        <f aca="false">Table134[[#This Row],[Steps]]-C279</f>
        <v>-5947</v>
      </c>
      <c r="E280" s="23" t="n">
        <v>255.6</v>
      </c>
      <c r="F280" s="23" t="n">
        <f aca="false">Table134[[#This Row],[Colories]]-E279</f>
        <v>-246</v>
      </c>
      <c r="G280" s="6" t="n">
        <v>4.23</v>
      </c>
      <c r="H280" s="24" t="n">
        <f aca="false">Table134[[#This Row],[Distance]]-G279</f>
        <v>-4.29</v>
      </c>
      <c r="I280" s="22" t="n">
        <v>65</v>
      </c>
      <c r="J280" s="25" t="n">
        <f aca="false">Table134[[#This Row],[Time]]-I279</f>
        <v>-58</v>
      </c>
      <c r="K280" s="1" t="s">
        <v>180</v>
      </c>
      <c r="L280" s="1" t="n">
        <f aca="false">QUARTILE($C$275:$C$305, 1)</f>
        <v>4986.75</v>
      </c>
      <c r="M280" s="1" t="n">
        <f aca="false">QUARTILE($E$275:$E$305, 1)</f>
        <v>211.85</v>
      </c>
      <c r="N280" s="1" t="n">
        <f aca="false">QUARTILE($G$275:$G$305, 1)</f>
        <v>3.59</v>
      </c>
      <c r="O280" s="1" t="n">
        <f aca="false">QUARTILE($I$275:$I$305, 1)</f>
        <v>53.75</v>
      </c>
    </row>
    <row r="281" customFormat="false" ht="13.8" hidden="false" customHeight="false" outlineLevel="0" collapsed="false">
      <c r="A281" s="20" t="n">
        <v>280</v>
      </c>
      <c r="B281" s="21" t="n">
        <v>43745</v>
      </c>
      <c r="C281" s="22" t="n">
        <v>7474</v>
      </c>
      <c r="D281" s="22" t="n">
        <f aca="false">Table134[[#This Row],[Steps]]-C280</f>
        <v>1593</v>
      </c>
      <c r="E281" s="23" t="n">
        <v>308</v>
      </c>
      <c r="F281" s="23" t="n">
        <f aca="false">Table134[[#This Row],[Colories]]-E280</f>
        <v>52.4</v>
      </c>
      <c r="G281" s="6" t="n">
        <v>5.38</v>
      </c>
      <c r="H281" s="24" t="n">
        <f aca="false">Table134[[#This Row],[Distance]]-G280</f>
        <v>1.15</v>
      </c>
      <c r="I281" s="22" t="n">
        <v>73</v>
      </c>
      <c r="J281" s="25" t="n">
        <f aca="false">Table134[[#This Row],[Time]]-I280</f>
        <v>8</v>
      </c>
      <c r="K281" s="1" t="s">
        <v>181</v>
      </c>
      <c r="L281" s="1" t="n">
        <f aca="false">QUARTILE($C$275:$C$305, 3)</f>
        <v>15374</v>
      </c>
      <c r="M281" s="1" t="n">
        <f aca="false">QUARTILE($E$275:$E$305, 3)</f>
        <v>622.875</v>
      </c>
      <c r="N281" s="1" t="n">
        <f aca="false">QUARTILE($G$275:$G$305, 3)</f>
        <v>11.07</v>
      </c>
      <c r="O281" s="1" t="n">
        <f aca="false">QUARTILE($I$275:$I$305, 3)</f>
        <v>140.5</v>
      </c>
    </row>
    <row r="282" customFormat="false" ht="13.8" hidden="false" customHeight="false" outlineLevel="0" collapsed="false">
      <c r="A282" s="20" t="n">
        <v>281</v>
      </c>
      <c r="B282" s="21" t="n">
        <v>43746</v>
      </c>
      <c r="C282" s="22" t="n">
        <v>17198</v>
      </c>
      <c r="D282" s="22" t="n">
        <f aca="false">Table134[[#This Row],[Steps]]-C281</f>
        <v>9724</v>
      </c>
      <c r="E282" s="23" t="n">
        <v>704.5</v>
      </c>
      <c r="F282" s="23" t="n">
        <f aca="false">Table134[[#This Row],[Colories]]-E281</f>
        <v>396.5</v>
      </c>
      <c r="G282" s="6" t="n">
        <v>12.38</v>
      </c>
      <c r="H282" s="24" t="n">
        <f aca="false">Table134[[#This Row],[Distance]]-G281</f>
        <v>7</v>
      </c>
      <c r="I282" s="22" t="n">
        <v>161</v>
      </c>
      <c r="J282" s="25" t="n">
        <f aca="false">Table134[[#This Row],[Time]]-I281</f>
        <v>88</v>
      </c>
      <c r="K282" s="1" t="s">
        <v>182</v>
      </c>
      <c r="L282" s="1" t="n">
        <f aca="false">VAR($C$275:$C$305)</f>
        <v>43323003.1678161</v>
      </c>
      <c r="M282" s="1" t="n">
        <f aca="false">VAR($E$275:$E$305)</f>
        <v>74162.3784022989</v>
      </c>
      <c r="N282" s="1" t="n">
        <f aca="false">VAR($G$275:$G$305)</f>
        <v>22.4601374712644</v>
      </c>
      <c r="O282" s="1" t="n">
        <f aca="false">VAR($I$275:$I$305)</f>
        <v>4194.54712643678</v>
      </c>
    </row>
    <row r="283" customFormat="false" ht="13.8" hidden="false" customHeight="false" outlineLevel="0" collapsed="false">
      <c r="A283" s="20" t="n">
        <v>282</v>
      </c>
      <c r="B283" s="21" t="n">
        <v>43747</v>
      </c>
      <c r="C283" s="22" t="n">
        <v>16405</v>
      </c>
      <c r="D283" s="22" t="n">
        <f aca="false">Table134[[#This Row],[Steps]]-C282</f>
        <v>-793</v>
      </c>
      <c r="E283" s="23" t="n">
        <v>668.3</v>
      </c>
      <c r="F283" s="23" t="n">
        <f aca="false">Table134[[#This Row],[Colories]]-E282</f>
        <v>-36.2</v>
      </c>
      <c r="G283" s="6" t="n">
        <v>11.81</v>
      </c>
      <c r="H283" s="24" t="n">
        <f aca="false">Table134[[#This Row],[Distance]]-G282</f>
        <v>-0.57</v>
      </c>
      <c r="I283" s="22" t="n">
        <v>153</v>
      </c>
      <c r="J283" s="25" t="n">
        <f aca="false">Table134[[#This Row],[Time]]-I282</f>
        <v>-8</v>
      </c>
      <c r="K283" s="1" t="s">
        <v>16</v>
      </c>
      <c r="L283" s="1" t="n">
        <f aca="false">STDEV($C$275:$C$305)</f>
        <v>6582.02120687985</v>
      </c>
      <c r="M283" s="1" t="n">
        <f aca="false">STDEV($E$275:$E$305)</f>
        <v>272.327704066808</v>
      </c>
      <c r="N283" s="1" t="n">
        <f aca="false">STDEV($G$275:$G$305)</f>
        <v>4.73921274804839</v>
      </c>
      <c r="O283" s="1" t="n">
        <f aca="false">STDEV($I$275:$I$305)</f>
        <v>64.7653234874712</v>
      </c>
    </row>
    <row r="284" customFormat="false" ht="13.8" hidden="false" customHeight="false" outlineLevel="0" collapsed="false">
      <c r="A284" s="20" t="n">
        <v>283</v>
      </c>
      <c r="B284" s="21" t="n">
        <v>43748</v>
      </c>
      <c r="C284" s="22" t="n">
        <v>14104</v>
      </c>
      <c r="D284" s="22" t="n">
        <f aca="false">Table134[[#This Row],[Steps]]-C283</f>
        <v>-2301</v>
      </c>
      <c r="E284" s="23" t="n">
        <v>578.6</v>
      </c>
      <c r="F284" s="23" t="n">
        <f aca="false">Table134[[#This Row],[Colories]]-E283</f>
        <v>-89.6999999999999</v>
      </c>
      <c r="G284" s="6" t="n">
        <v>10.15</v>
      </c>
      <c r="H284" s="24" t="n">
        <f aca="false">Table134[[#This Row],[Distance]]-G283</f>
        <v>-1.66</v>
      </c>
      <c r="I284" s="22" t="n">
        <v>135</v>
      </c>
      <c r="J284" s="25" t="n">
        <f aca="false">Table134[[#This Row],[Time]]-I283</f>
        <v>-18</v>
      </c>
      <c r="K284" s="1" t="s">
        <v>20</v>
      </c>
      <c r="L284" s="1" t="n">
        <f aca="false">KURT($C$275:$C$305)</f>
        <v>1.13117127343992</v>
      </c>
      <c r="M284" s="1" t="n">
        <f aca="false">KURT($E$275:$E$305)</f>
        <v>1.85521728644761</v>
      </c>
      <c r="N284" s="1" t="n">
        <f aca="false">KURT($G$275:$G$305)</f>
        <v>1.12743922090161</v>
      </c>
      <c r="O284" s="1" t="n">
        <f aca="false">KURT($I$275:$I$305)</f>
        <v>3.52331053570679</v>
      </c>
    </row>
    <row r="285" customFormat="false" ht="13.8" hidden="false" customHeight="false" outlineLevel="0" collapsed="false">
      <c r="A285" s="20" t="n">
        <v>284</v>
      </c>
      <c r="B285" s="21" t="n">
        <v>43749</v>
      </c>
      <c r="C285" s="22" t="n">
        <v>10889</v>
      </c>
      <c r="D285" s="22" t="n">
        <f aca="false">Table134[[#This Row],[Steps]]-C284</f>
        <v>-3215</v>
      </c>
      <c r="E285" s="23" t="n">
        <v>443.5</v>
      </c>
      <c r="F285" s="23" t="n">
        <f aca="false">Table134[[#This Row],[Colories]]-E284</f>
        <v>-135.1</v>
      </c>
      <c r="G285" s="6" t="n">
        <v>7.84</v>
      </c>
      <c r="H285" s="24" t="n">
        <f aca="false">Table134[[#This Row],[Distance]]-G284</f>
        <v>-2.31</v>
      </c>
      <c r="I285" s="22" t="n">
        <v>101</v>
      </c>
      <c r="J285" s="25" t="n">
        <f aca="false">Table134[[#This Row],[Time]]-I284</f>
        <v>-34</v>
      </c>
      <c r="K285" s="1" t="s">
        <v>22</v>
      </c>
      <c r="L285" s="1" t="n">
        <f aca="false">SKEW($C$275:$C$305)</f>
        <v>0.729361403911826</v>
      </c>
      <c r="M285" s="1" t="n">
        <f aca="false">SKEW($E$275:$E$305)</f>
        <v>0.889776176331531</v>
      </c>
      <c r="N285" s="1" t="n">
        <f aca="false">SKEW($G$275:$G$305)</f>
        <v>0.728473918523753</v>
      </c>
      <c r="O285" s="1" t="n">
        <f aca="false">SKEW($I$275:$I$305)</f>
        <v>1.23479883552782</v>
      </c>
    </row>
    <row r="286" customFormat="false" ht="13.8" hidden="false" customHeight="false" outlineLevel="0" collapsed="false">
      <c r="A286" s="20" t="n">
        <v>285</v>
      </c>
      <c r="B286" s="21" t="n">
        <v>43750</v>
      </c>
      <c r="C286" s="22" t="n">
        <v>731</v>
      </c>
      <c r="D286" s="22" t="n">
        <f aca="false">Table134[[#This Row],[Steps]]-C285</f>
        <v>-10158</v>
      </c>
      <c r="E286" s="23" t="n">
        <v>33.1</v>
      </c>
      <c r="F286" s="23" t="n">
        <f aca="false">Table134[[#This Row],[Colories]]-E285</f>
        <v>-410.4</v>
      </c>
      <c r="G286" s="6" t="n">
        <v>0.53</v>
      </c>
      <c r="H286" s="24" t="n">
        <f aca="false">Table134[[#This Row],[Distance]]-G285</f>
        <v>-7.31</v>
      </c>
      <c r="I286" s="22" t="n">
        <v>8</v>
      </c>
      <c r="J286" s="25" t="n">
        <f aca="false">Table134[[#This Row],[Time]]-I285</f>
        <v>-93</v>
      </c>
      <c r="K286" s="1" t="s">
        <v>24</v>
      </c>
      <c r="L286" s="1" t="n">
        <f aca="false">MAX($C$275:$C$305)-MIN($C$275:$C$305)</f>
        <v>30122</v>
      </c>
      <c r="M286" s="1" t="n">
        <f aca="false">MAX($E$275:$E$305)-MIN($E$275:$E$305)</f>
        <v>1287.8</v>
      </c>
      <c r="N286" s="1" t="n">
        <f aca="false">MAX($G$275:$G$305)-MIN($G$275:$G$305)</f>
        <v>21.68</v>
      </c>
      <c r="O286" s="1" t="n">
        <f aca="false">MAX($I$275:$I$305)-MIN($I$275:$I$305)</f>
        <v>324</v>
      </c>
    </row>
    <row r="287" customFormat="false" ht="13.8" hidden="false" customHeight="false" outlineLevel="0" collapsed="false">
      <c r="A287" s="20" t="n">
        <v>286</v>
      </c>
      <c r="B287" s="21" t="n">
        <v>43751</v>
      </c>
      <c r="C287" s="22" t="n">
        <v>4583</v>
      </c>
      <c r="D287" s="22" t="n">
        <f aca="false">Table134[[#This Row],[Steps]]-C286</f>
        <v>3852</v>
      </c>
      <c r="E287" s="23" t="n">
        <v>201.1</v>
      </c>
      <c r="F287" s="23" t="n">
        <f aca="false">Table134[[#This Row],[Colories]]-E286</f>
        <v>168</v>
      </c>
      <c r="G287" s="6" t="n">
        <v>3.3</v>
      </c>
      <c r="H287" s="24" t="n">
        <f aca="false">Table134[[#This Row],[Distance]]-G286</f>
        <v>2.77</v>
      </c>
      <c r="I287" s="22" t="n">
        <v>52</v>
      </c>
      <c r="J287" s="25" t="n">
        <f aca="false">Table134[[#This Row],[Time]]-I286</f>
        <v>44</v>
      </c>
      <c r="K287" s="1" t="s">
        <v>26</v>
      </c>
      <c r="L287" s="1" t="n">
        <f aca="false">MIN($C$275:$C$305)</f>
        <v>731</v>
      </c>
      <c r="M287" s="1" t="n">
        <f aca="false">MIN($E$275:$E$305)</f>
        <v>33.1</v>
      </c>
      <c r="N287" s="1" t="n">
        <f aca="false">MIN($G$275:$G$305)</f>
        <v>0.53</v>
      </c>
      <c r="O287" s="1" t="n">
        <f aca="false">MIN($I$275:$I$305)</f>
        <v>8</v>
      </c>
    </row>
    <row r="288" customFormat="false" ht="13.8" hidden="false" customHeight="false" outlineLevel="0" collapsed="false">
      <c r="A288" s="20" t="n">
        <v>287</v>
      </c>
      <c r="B288" s="21" t="n">
        <v>43752</v>
      </c>
      <c r="C288" s="22" t="n">
        <v>15877</v>
      </c>
      <c r="D288" s="22" t="n">
        <f aca="false">Table134[[#This Row],[Steps]]-C287</f>
        <v>11294</v>
      </c>
      <c r="E288" s="23" t="n">
        <v>647.3</v>
      </c>
      <c r="F288" s="23" t="n">
        <f aca="false">Table134[[#This Row],[Colories]]-E287</f>
        <v>446.2</v>
      </c>
      <c r="G288" s="6" t="n">
        <v>11.43</v>
      </c>
      <c r="H288" s="24" t="n">
        <f aca="false">Table134[[#This Row],[Distance]]-G287</f>
        <v>8.13</v>
      </c>
      <c r="I288" s="22" t="n">
        <v>148</v>
      </c>
      <c r="J288" s="25" t="n">
        <f aca="false">Table134[[#This Row],[Time]]-I287</f>
        <v>96</v>
      </c>
      <c r="K288" s="1" t="s">
        <v>28</v>
      </c>
      <c r="L288" s="1" t="n">
        <f aca="false">MAX($C$275:$C$305)</f>
        <v>30853</v>
      </c>
      <c r="M288" s="1" t="n">
        <f aca="false">MAX($E$275:$E$305)</f>
        <v>1320.9</v>
      </c>
      <c r="N288" s="1" t="n">
        <f aca="false">MAX($G$275:$G$305)</f>
        <v>22.21</v>
      </c>
      <c r="O288" s="1" t="n">
        <f aca="false">MAX($I$275:$I$305)</f>
        <v>332</v>
      </c>
    </row>
    <row r="289" customFormat="false" ht="13.8" hidden="false" customHeight="false" outlineLevel="0" collapsed="false">
      <c r="A289" s="20" t="n">
        <v>288</v>
      </c>
      <c r="B289" s="21" t="n">
        <v>43753</v>
      </c>
      <c r="C289" s="22" t="n">
        <v>15733</v>
      </c>
      <c r="D289" s="22" t="n">
        <f aca="false">Table134[[#This Row],[Steps]]-C288</f>
        <v>-144</v>
      </c>
      <c r="E289" s="23" t="n">
        <v>654.2</v>
      </c>
      <c r="F289" s="23" t="n">
        <f aca="false">Table134[[#This Row],[Colories]]-E288</f>
        <v>6.90000000000009</v>
      </c>
      <c r="G289" s="6" t="n">
        <v>11.33</v>
      </c>
      <c r="H289" s="24" t="n">
        <f aca="false">Table134[[#This Row],[Distance]]-G288</f>
        <v>-0.0999999999999996</v>
      </c>
      <c r="I289" s="22" t="n">
        <v>157</v>
      </c>
      <c r="J289" s="25" t="n">
        <f aca="false">Table134[[#This Row],[Time]]-I288</f>
        <v>9</v>
      </c>
      <c r="K289" s="1" t="s">
        <v>30</v>
      </c>
      <c r="L289" s="1" t="n">
        <f aca="false">SUM($C$275:$C$305)</f>
        <v>332912</v>
      </c>
      <c r="M289" s="1" t="n">
        <f aca="false">SUM($E$275:$E$305)</f>
        <v>13772.3</v>
      </c>
      <c r="N289" s="1" t="n">
        <f aca="false">SUM($G$275:$G$305)</f>
        <v>239.68</v>
      </c>
      <c r="O289" s="1" t="n">
        <f aca="false">SUM($I$275:$I$305)</f>
        <v>3238</v>
      </c>
    </row>
    <row r="290" customFormat="false" ht="13.8" hidden="false" customHeight="false" outlineLevel="0" collapsed="false">
      <c r="A290" s="20" t="n">
        <v>289</v>
      </c>
      <c r="B290" s="21" t="n">
        <v>43754</v>
      </c>
      <c r="C290" s="22" t="n">
        <v>20276</v>
      </c>
      <c r="D290" s="22" t="n">
        <f aca="false">Table134[[#This Row],[Steps]]-C289</f>
        <v>4543</v>
      </c>
      <c r="E290" s="23" t="n">
        <v>823.1</v>
      </c>
      <c r="F290" s="23" t="n">
        <f aca="false">Table134[[#This Row],[Colories]]-E289</f>
        <v>168.9</v>
      </c>
      <c r="G290" s="6" t="n">
        <v>14.6</v>
      </c>
      <c r="H290" s="24" t="n">
        <f aca="false">Table134[[#This Row],[Distance]]-G289</f>
        <v>3.27</v>
      </c>
      <c r="I290" s="22" t="n">
        <v>187</v>
      </c>
      <c r="J290" s="25" t="n">
        <f aca="false">Table134[[#This Row],[Time]]-I289</f>
        <v>30</v>
      </c>
      <c r="K290" s="1" t="s">
        <v>32</v>
      </c>
      <c r="L290" s="1" t="n">
        <f aca="false">COUNT($C$275:$C$305)</f>
        <v>30</v>
      </c>
      <c r="M290" s="1" t="n">
        <f aca="false">COUNT($E$275:$E$305)</f>
        <v>30</v>
      </c>
      <c r="N290" s="1" t="n">
        <f aca="false">COUNT($G$275:$G$305)</f>
        <v>30</v>
      </c>
      <c r="O290" s="1" t="n">
        <f aca="false">COUNT($I$275:$I$305)</f>
        <v>30</v>
      </c>
    </row>
    <row r="291" customFormat="false" ht="13.8" hidden="false" customHeight="false" outlineLevel="0" collapsed="false">
      <c r="A291" s="20" t="n">
        <v>290</v>
      </c>
      <c r="B291" s="21" t="n">
        <v>43755</v>
      </c>
      <c r="C291" s="22" t="n">
        <v>13926</v>
      </c>
      <c r="D291" s="22" t="n">
        <f aca="false">Table134[[#This Row],[Steps]]-C290</f>
        <v>-6350</v>
      </c>
      <c r="E291" s="23" t="n">
        <v>573.4</v>
      </c>
      <c r="F291" s="23" t="n">
        <f aca="false">Table134[[#This Row],[Colories]]-E290</f>
        <v>-249.7</v>
      </c>
      <c r="G291" s="6" t="n">
        <v>10.03</v>
      </c>
      <c r="H291" s="24" t="n">
        <f aca="false">Table134[[#This Row],[Distance]]-G290</f>
        <v>-4.57</v>
      </c>
      <c r="I291" s="22" t="n">
        <v>135</v>
      </c>
      <c r="J291" s="25" t="n">
        <f aca="false">Table134[[#This Row],[Time]]-I290</f>
        <v>-52</v>
      </c>
    </row>
    <row r="292" customFormat="false" ht="13.8" hidden="false" customHeight="false" outlineLevel="0" collapsed="false">
      <c r="A292" s="20" t="n">
        <v>291</v>
      </c>
      <c r="B292" s="21" t="n">
        <v>43756</v>
      </c>
      <c r="C292" s="22" t="n">
        <v>13110</v>
      </c>
      <c r="D292" s="22" t="n">
        <f aca="false">Table134[[#This Row],[Steps]]-C291</f>
        <v>-816</v>
      </c>
      <c r="E292" s="23" t="n">
        <v>535.6</v>
      </c>
      <c r="F292" s="23" t="n">
        <f aca="false">Table134[[#This Row],[Colories]]-E291</f>
        <v>-37.8</v>
      </c>
      <c r="G292" s="6" t="n">
        <v>9.44</v>
      </c>
      <c r="H292" s="24" t="n">
        <f aca="false">Table134[[#This Row],[Distance]]-G291</f>
        <v>-0.59</v>
      </c>
      <c r="I292" s="22" t="n">
        <v>124</v>
      </c>
      <c r="J292" s="25" t="n">
        <f aca="false">Table134[[#This Row],[Time]]-I291</f>
        <v>-11</v>
      </c>
    </row>
    <row r="293" customFormat="false" ht="13.8" hidden="false" customHeight="false" outlineLevel="0" collapsed="false">
      <c r="A293" s="20" t="n">
        <v>292</v>
      </c>
      <c r="B293" s="21" t="n">
        <v>43757</v>
      </c>
      <c r="C293" s="22" t="n">
        <v>3604</v>
      </c>
      <c r="D293" s="22" t="n">
        <f aca="false">Table134[[#This Row],[Steps]]-C292</f>
        <v>-9506</v>
      </c>
      <c r="E293" s="23" t="n">
        <v>150.2</v>
      </c>
      <c r="F293" s="23" t="n">
        <f aca="false">Table134[[#This Row],[Colories]]-E292</f>
        <v>-385.4</v>
      </c>
      <c r="G293" s="6" t="n">
        <v>2.59</v>
      </c>
      <c r="H293" s="24" t="n">
        <f aca="false">Table134[[#This Row],[Distance]]-G292</f>
        <v>-6.85</v>
      </c>
      <c r="I293" s="22" t="n">
        <v>36</v>
      </c>
      <c r="J293" s="25" t="n">
        <f aca="false">Table134[[#This Row],[Time]]-I292</f>
        <v>-88</v>
      </c>
    </row>
    <row r="294" customFormat="false" ht="13.8" hidden="false" customHeight="false" outlineLevel="0" collapsed="false">
      <c r="A294" s="20" t="n">
        <v>293</v>
      </c>
      <c r="B294" s="21" t="n">
        <v>43758</v>
      </c>
      <c r="C294" s="22"/>
      <c r="D294" s="22" t="n">
        <f aca="false">Table134[[#This Row],[Steps]]-C293</f>
        <v>-3604</v>
      </c>
      <c r="E294" s="23"/>
      <c r="F294" s="23" t="n">
        <f aca="false">Table134[[#This Row],[Colories]]-E293</f>
        <v>-150.2</v>
      </c>
      <c r="G294" s="6"/>
      <c r="H294" s="24" t="n">
        <f aca="false">Table134[[#This Row],[Distance]]-G293</f>
        <v>-2.59</v>
      </c>
      <c r="I294" s="22"/>
      <c r="J294" s="25" t="n">
        <f aca="false">Table134[[#This Row],[Time]]-I293</f>
        <v>-36</v>
      </c>
    </row>
    <row r="295" customFormat="false" ht="13.8" hidden="false" customHeight="false" outlineLevel="0" collapsed="false">
      <c r="A295" s="20" t="n">
        <v>294</v>
      </c>
      <c r="B295" s="21" t="n">
        <v>43759</v>
      </c>
      <c r="C295" s="22" t="n">
        <v>4603</v>
      </c>
      <c r="D295" s="22" t="n">
        <f aca="false">Table134[[#This Row],[Steps]]-C294</f>
        <v>4603</v>
      </c>
      <c r="E295" s="23" t="n">
        <v>187.9</v>
      </c>
      <c r="F295" s="23" t="n">
        <f aca="false">Table134[[#This Row],[Colories]]-E294</f>
        <v>187.9</v>
      </c>
      <c r="G295" s="6" t="n">
        <v>3.31</v>
      </c>
      <c r="H295" s="24" t="n">
        <f aca="false">Table134[[#This Row],[Distance]]-G294</f>
        <v>3.31</v>
      </c>
      <c r="I295" s="22" t="n">
        <v>43</v>
      </c>
      <c r="J295" s="25" t="n">
        <f aca="false">Table134[[#This Row],[Time]]-I294</f>
        <v>43</v>
      </c>
    </row>
    <row r="296" customFormat="false" ht="13.8" hidden="false" customHeight="false" outlineLevel="0" collapsed="false">
      <c r="A296" s="20" t="n">
        <v>295</v>
      </c>
      <c r="B296" s="21" t="n">
        <v>43760</v>
      </c>
      <c r="C296" s="22" t="n">
        <v>3393</v>
      </c>
      <c r="D296" s="22" t="n">
        <f aca="false">Table134[[#This Row],[Steps]]-C295</f>
        <v>-1210</v>
      </c>
      <c r="E296" s="23" t="n">
        <v>140.1</v>
      </c>
      <c r="F296" s="23" t="n">
        <f aca="false">Table134[[#This Row],[Colories]]-E295</f>
        <v>-47.8</v>
      </c>
      <c r="G296" s="6" t="n">
        <v>2.44</v>
      </c>
      <c r="H296" s="24" t="n">
        <f aca="false">Table134[[#This Row],[Distance]]-G295</f>
        <v>-0.87</v>
      </c>
      <c r="I296" s="22" t="n">
        <v>32</v>
      </c>
      <c r="J296" s="25" t="n">
        <f aca="false">Table134[[#This Row],[Time]]-I295</f>
        <v>-11</v>
      </c>
    </row>
    <row r="297" customFormat="false" ht="13.8" hidden="false" customHeight="false" outlineLevel="0" collapsed="false">
      <c r="A297" s="20" t="n">
        <v>296</v>
      </c>
      <c r="B297" s="21" t="n">
        <v>43761</v>
      </c>
      <c r="C297" s="22" t="n">
        <v>4711</v>
      </c>
      <c r="D297" s="22" t="n">
        <f aca="false">Table134[[#This Row],[Steps]]-C296</f>
        <v>1318</v>
      </c>
      <c r="E297" s="23" t="n">
        <v>195.6</v>
      </c>
      <c r="F297" s="23" t="n">
        <f aca="false">Table134[[#This Row],[Colories]]-E296</f>
        <v>55.5</v>
      </c>
      <c r="G297" s="6" t="n">
        <v>3.39</v>
      </c>
      <c r="H297" s="24" t="n">
        <f aca="false">Table134[[#This Row],[Distance]]-G296</f>
        <v>0.95</v>
      </c>
      <c r="I297" s="22" t="n">
        <v>46</v>
      </c>
      <c r="J297" s="25" t="n">
        <f aca="false">Table134[[#This Row],[Time]]-I296</f>
        <v>14</v>
      </c>
    </row>
    <row r="298" customFormat="false" ht="13.8" hidden="false" customHeight="false" outlineLevel="0" collapsed="false">
      <c r="A298" s="20" t="n">
        <v>297</v>
      </c>
      <c r="B298" s="21" t="n">
        <v>43762</v>
      </c>
      <c r="C298" s="22" t="n">
        <v>3184</v>
      </c>
      <c r="D298" s="22" t="n">
        <f aca="false">Table134[[#This Row],[Steps]]-C297</f>
        <v>-1527</v>
      </c>
      <c r="E298" s="23" t="n">
        <v>139.3</v>
      </c>
      <c r="F298" s="23" t="n">
        <f aca="false">Table134[[#This Row],[Colories]]-E297</f>
        <v>-56.3</v>
      </c>
      <c r="G298" s="6" t="n">
        <v>2.29</v>
      </c>
      <c r="H298" s="24" t="n">
        <f aca="false">Table134[[#This Row],[Distance]]-G297</f>
        <v>-1.1</v>
      </c>
      <c r="I298" s="22" t="n">
        <v>36</v>
      </c>
      <c r="J298" s="25" t="n">
        <f aca="false">Table134[[#This Row],[Time]]-I297</f>
        <v>-10</v>
      </c>
    </row>
    <row r="299" customFormat="false" ht="13.8" hidden="false" customHeight="false" outlineLevel="0" collapsed="false">
      <c r="A299" s="20" t="n">
        <v>298</v>
      </c>
      <c r="B299" s="21" t="n">
        <v>43763</v>
      </c>
      <c r="C299" s="22" t="n">
        <v>30853</v>
      </c>
      <c r="D299" s="22" t="n">
        <f aca="false">Table134[[#This Row],[Steps]]-C298</f>
        <v>27669</v>
      </c>
      <c r="E299" s="23" t="n">
        <v>1320.9</v>
      </c>
      <c r="F299" s="23" t="n">
        <f aca="false">Table134[[#This Row],[Colories]]-E298</f>
        <v>1181.6</v>
      </c>
      <c r="G299" s="6" t="n">
        <v>22.21</v>
      </c>
      <c r="H299" s="24" t="n">
        <f aca="false">Table134[[#This Row],[Distance]]-G298</f>
        <v>19.92</v>
      </c>
      <c r="I299" s="22" t="n">
        <v>332</v>
      </c>
      <c r="J299" s="25" t="n">
        <f aca="false">Table134[[#This Row],[Time]]-I298</f>
        <v>296</v>
      </c>
    </row>
    <row r="300" customFormat="false" ht="13.8" hidden="false" customHeight="false" outlineLevel="0" collapsed="false">
      <c r="A300" s="20" t="n">
        <v>299</v>
      </c>
      <c r="B300" s="21" t="n">
        <v>43764</v>
      </c>
      <c r="C300" s="22" t="n">
        <v>6126</v>
      </c>
      <c r="D300" s="22" t="n">
        <f aca="false">Table134[[#This Row],[Steps]]-C299</f>
        <v>-24727</v>
      </c>
      <c r="E300" s="23" t="n">
        <v>257.3</v>
      </c>
      <c r="F300" s="23" t="n">
        <f aca="false">Table134[[#This Row],[Colories]]-E299</f>
        <v>-1063.6</v>
      </c>
      <c r="G300" s="6" t="n">
        <v>4.41</v>
      </c>
      <c r="H300" s="24" t="n">
        <f aca="false">Table134[[#This Row],[Distance]]-G299</f>
        <v>-17.8</v>
      </c>
      <c r="I300" s="22" t="n">
        <v>62</v>
      </c>
      <c r="J300" s="25" t="n">
        <f aca="false">Table134[[#This Row],[Time]]-I299</f>
        <v>-270</v>
      </c>
    </row>
    <row r="301" customFormat="false" ht="13.8" hidden="false" customHeight="false" outlineLevel="0" collapsed="false">
      <c r="A301" s="20" t="n">
        <v>300</v>
      </c>
      <c r="B301" s="21" t="n">
        <v>43765</v>
      </c>
      <c r="C301" s="22" t="n">
        <v>5814</v>
      </c>
      <c r="D301" s="22" t="n">
        <f aca="false">Table134[[#This Row],[Steps]]-C300</f>
        <v>-312</v>
      </c>
      <c r="E301" s="23" t="n">
        <v>244.1</v>
      </c>
      <c r="F301" s="23" t="n">
        <f aca="false">Table134[[#This Row],[Colories]]-E300</f>
        <v>-13.2</v>
      </c>
      <c r="G301" s="6" t="n">
        <v>4.19</v>
      </c>
      <c r="H301" s="24" t="n">
        <f aca="false">Table134[[#This Row],[Distance]]-G300</f>
        <v>-0.22</v>
      </c>
      <c r="I301" s="22" t="n">
        <v>59</v>
      </c>
      <c r="J301" s="25" t="n">
        <f aca="false">Table134[[#This Row],[Time]]-I300</f>
        <v>-3</v>
      </c>
    </row>
    <row r="302" customFormat="false" ht="13.8" hidden="false" customHeight="false" outlineLevel="0" collapsed="false">
      <c r="A302" s="20" t="n">
        <v>301</v>
      </c>
      <c r="B302" s="21" t="n">
        <v>43766</v>
      </c>
      <c r="C302" s="22" t="n">
        <v>15428</v>
      </c>
      <c r="D302" s="22" t="n">
        <f aca="false">Table134[[#This Row],[Steps]]-C301</f>
        <v>9614</v>
      </c>
      <c r="E302" s="23" t="n">
        <v>624.8</v>
      </c>
      <c r="F302" s="23" t="n">
        <f aca="false">Table134[[#This Row],[Colories]]-E301</f>
        <v>380.7</v>
      </c>
      <c r="G302" s="6" t="n">
        <v>11.11</v>
      </c>
      <c r="H302" s="24" t="n">
        <f aca="false">Table134[[#This Row],[Distance]]-G301</f>
        <v>6.92</v>
      </c>
      <c r="I302" s="22" t="n">
        <v>141</v>
      </c>
      <c r="J302" s="25" t="n">
        <f aca="false">Table134[[#This Row],[Time]]-I301</f>
        <v>82</v>
      </c>
    </row>
    <row r="303" customFormat="false" ht="13.8" hidden="false" customHeight="false" outlineLevel="0" collapsed="false">
      <c r="A303" s="20" t="n">
        <v>302</v>
      </c>
      <c r="B303" s="21" t="n">
        <v>43767</v>
      </c>
      <c r="C303" s="22" t="n">
        <v>14438</v>
      </c>
      <c r="D303" s="22" t="n">
        <f aca="false">Table134[[#This Row],[Steps]]-C302</f>
        <v>-990</v>
      </c>
      <c r="E303" s="23" t="n">
        <v>594.2</v>
      </c>
      <c r="F303" s="23" t="n">
        <f aca="false">Table134[[#This Row],[Colories]]-E302</f>
        <v>-30.5999999999999</v>
      </c>
      <c r="G303" s="6" t="n">
        <v>10.4</v>
      </c>
      <c r="H303" s="24" t="n">
        <f aca="false">Table134[[#This Row],[Distance]]-G302</f>
        <v>-0.709999999999999</v>
      </c>
      <c r="I303" s="22" t="n">
        <v>139</v>
      </c>
      <c r="J303" s="25" t="n">
        <f aca="false">Table134[[#This Row],[Time]]-I302</f>
        <v>-2</v>
      </c>
    </row>
    <row r="304" customFormat="false" ht="13.8" hidden="false" customHeight="false" outlineLevel="0" collapsed="false">
      <c r="A304" s="20" t="n">
        <v>303</v>
      </c>
      <c r="B304" s="21" t="n">
        <v>43768</v>
      </c>
      <c r="C304" s="22" t="n">
        <v>13114</v>
      </c>
      <c r="D304" s="22" t="n">
        <f aca="false">Table134[[#This Row],[Steps]]-C303</f>
        <v>-1324</v>
      </c>
      <c r="E304" s="23" t="n">
        <v>527.7</v>
      </c>
      <c r="F304" s="23" t="n">
        <f aca="false">Table134[[#This Row],[Colories]]-E303</f>
        <v>-66.5</v>
      </c>
      <c r="G304" s="6" t="n">
        <v>9.44</v>
      </c>
      <c r="H304" s="24" t="n">
        <f aca="false">Table134[[#This Row],[Distance]]-G303</f>
        <v>-0.960000000000001</v>
      </c>
      <c r="I304" s="22" t="n">
        <v>117</v>
      </c>
      <c r="J304" s="25" t="n">
        <f aca="false">Table134[[#This Row],[Time]]-I303</f>
        <v>-22</v>
      </c>
    </row>
    <row r="305" customFormat="false" ht="13.8" hidden="false" customHeight="false" outlineLevel="0" collapsed="false">
      <c r="A305" s="20" t="n">
        <v>304</v>
      </c>
      <c r="B305" s="21" t="n">
        <v>43769</v>
      </c>
      <c r="C305" s="22" t="n">
        <v>10203</v>
      </c>
      <c r="D305" s="22" t="n">
        <f aca="false">Table134[[#This Row],[Steps]]-C304</f>
        <v>-2911</v>
      </c>
      <c r="E305" s="23" t="n">
        <v>415.3</v>
      </c>
      <c r="F305" s="23" t="n">
        <f aca="false">Table134[[#This Row],[Colories]]-E304</f>
        <v>-112.4</v>
      </c>
      <c r="G305" s="6" t="n">
        <v>7.35</v>
      </c>
      <c r="H305" s="24" t="n">
        <f aca="false">Table134[[#This Row],[Distance]]-G304</f>
        <v>-2.09</v>
      </c>
      <c r="I305" s="22" t="n">
        <v>95</v>
      </c>
      <c r="J305" s="25" t="n">
        <f aca="false">Table134[[#This Row],[Time]]-I304</f>
        <v>-22</v>
      </c>
    </row>
    <row r="306" customFormat="false" ht="13.8" hidden="false" customHeight="false" outlineLevel="0" collapsed="false">
      <c r="A306" s="20" t="n">
        <v>305</v>
      </c>
      <c r="B306" s="21" t="n">
        <v>43770</v>
      </c>
      <c r="C306" s="22" t="n">
        <v>18469</v>
      </c>
      <c r="D306" s="22" t="n">
        <f aca="false">Table134[[#This Row],[Steps]]-C305</f>
        <v>8266</v>
      </c>
      <c r="E306" s="23" t="n">
        <v>748</v>
      </c>
      <c r="F306" s="23" t="n">
        <f aca="false">Table134[[#This Row],[Colories]]-E305</f>
        <v>332.7</v>
      </c>
      <c r="G306" s="6" t="n">
        <v>13.3</v>
      </c>
      <c r="H306" s="24" t="n">
        <f aca="false">Table134[[#This Row],[Distance]]-G305</f>
        <v>5.95</v>
      </c>
      <c r="I306" s="22" t="n">
        <v>168</v>
      </c>
      <c r="J306" s="25" t="n">
        <f aca="false">Table134[[#This Row],[Time]]-I305</f>
        <v>73</v>
      </c>
      <c r="L306" s="1" t="s">
        <v>2</v>
      </c>
      <c r="M306" s="1" t="s">
        <v>179</v>
      </c>
      <c r="N306" s="1" t="s">
        <v>175</v>
      </c>
      <c r="O306" s="1" t="s">
        <v>177</v>
      </c>
    </row>
    <row r="307" customFormat="false" ht="13.8" hidden="false" customHeight="false" outlineLevel="0" collapsed="false">
      <c r="A307" s="20" t="n">
        <v>306</v>
      </c>
      <c r="B307" s="21" t="n">
        <v>43771</v>
      </c>
      <c r="C307" s="22" t="n">
        <v>5618</v>
      </c>
      <c r="D307" s="22" t="n">
        <f aca="false">Table134[[#This Row],[Steps]]-C306</f>
        <v>-12851</v>
      </c>
      <c r="E307" s="23" t="n">
        <v>232.7</v>
      </c>
      <c r="F307" s="23" t="n">
        <f aca="false">Table134[[#This Row],[Colories]]-E306</f>
        <v>-515.3</v>
      </c>
      <c r="G307" s="6" t="n">
        <v>4.04</v>
      </c>
      <c r="H307" s="24" t="n">
        <f aca="false">Table134[[#This Row],[Distance]]-G306</f>
        <v>-9.26</v>
      </c>
      <c r="I307" s="22" t="n">
        <v>55</v>
      </c>
      <c r="J307" s="25" t="n">
        <f aca="false">Table134[[#This Row],[Time]]-I306</f>
        <v>-113</v>
      </c>
      <c r="K307" s="1" t="s">
        <v>8</v>
      </c>
      <c r="L307" s="1" t="n">
        <f aca="false">AVERAGE($C$306:$C$335)</f>
        <v>11711.1</v>
      </c>
      <c r="M307" s="1" t="n">
        <f aca="false">AVERAGE($E$306:$E$335)</f>
        <v>481</v>
      </c>
      <c r="N307" s="1" t="n">
        <f aca="false">AVERAGE($G$306:$G$335)</f>
        <v>8.432</v>
      </c>
      <c r="O307" s="1" t="n">
        <f aca="false">AVERAGE($I$306:$I$335)</f>
        <v>111.733333333333</v>
      </c>
    </row>
    <row r="308" customFormat="false" ht="13.8" hidden="false" customHeight="false" outlineLevel="0" collapsed="false">
      <c r="A308" s="20" t="n">
        <v>307</v>
      </c>
      <c r="B308" s="21" t="n">
        <v>43772</v>
      </c>
      <c r="C308" s="22" t="n">
        <v>6496</v>
      </c>
      <c r="D308" s="22" t="n">
        <f aca="false">Table134[[#This Row],[Steps]]-C307</f>
        <v>878</v>
      </c>
      <c r="E308" s="23" t="n">
        <v>272.7</v>
      </c>
      <c r="F308" s="23" t="n">
        <f aca="false">Table134[[#This Row],[Colories]]-E307</f>
        <v>40</v>
      </c>
      <c r="G308" s="6" t="n">
        <v>4.68</v>
      </c>
      <c r="H308" s="24" t="n">
        <f aca="false">Table134[[#This Row],[Distance]]-G307</f>
        <v>0.64</v>
      </c>
      <c r="I308" s="22" t="n">
        <v>65</v>
      </c>
      <c r="J308" s="25" t="n">
        <f aca="false">Table134[[#This Row],[Time]]-I307</f>
        <v>10</v>
      </c>
      <c r="K308" s="1" t="s">
        <v>10</v>
      </c>
      <c r="L308" s="1" t="n">
        <f aca="false">SQRT(VAR($C$306:$C$335)/COUNT($C$306:$C$335))</f>
        <v>1155.38769862671</v>
      </c>
      <c r="M308" s="1" t="n">
        <f aca="false">SQRT(VAR($E$306:$E$335)/COUNT($E$306:$E$335))</f>
        <v>48.0251875964911</v>
      </c>
      <c r="N308" s="1" t="n">
        <f aca="false">SQRT(VAR($G$306:$G$335)/COUNT($G$306:$G$335))</f>
        <v>0.831955652001086</v>
      </c>
      <c r="O308" s="1" t="n">
        <f aca="false">SQRT(VAR($I$306:$I$335)/COUNT($I$306:$I$335))</f>
        <v>11.4973193610694</v>
      </c>
    </row>
    <row r="309" customFormat="false" ht="13.8" hidden="false" customHeight="false" outlineLevel="0" collapsed="false">
      <c r="A309" s="20" t="n">
        <v>308</v>
      </c>
      <c r="B309" s="21" t="n">
        <v>43773</v>
      </c>
      <c r="C309" s="22" t="n">
        <v>19935</v>
      </c>
      <c r="D309" s="22" t="n">
        <f aca="false">Table134[[#This Row],[Steps]]-C308</f>
        <v>13439</v>
      </c>
      <c r="E309" s="23" t="n">
        <v>810.3</v>
      </c>
      <c r="F309" s="23" t="n">
        <f aca="false">Table134[[#This Row],[Colories]]-E308</f>
        <v>537.6</v>
      </c>
      <c r="G309" s="6" t="n">
        <v>14.35</v>
      </c>
      <c r="H309" s="24" t="n">
        <f aca="false">Table134[[#This Row],[Distance]]-G308</f>
        <v>9.67</v>
      </c>
      <c r="I309" s="22" t="n">
        <v>185</v>
      </c>
      <c r="J309" s="25" t="n">
        <f aca="false">Table134[[#This Row],[Time]]-I308</f>
        <v>120</v>
      </c>
      <c r="K309" s="1" t="s">
        <v>14</v>
      </c>
      <c r="L309" s="1" t="e">
        <f aca="false">MODE($C$306:$C$335)</f>
        <v>#VALUE!</v>
      </c>
      <c r="M309" s="1" t="e">
        <f aca="false">MODE($E$306:$E$335)</f>
        <v>#VALUE!</v>
      </c>
      <c r="N309" s="1" t="e">
        <f aca="false">MODE($G$306:$G$335)</f>
        <v>#VALUE!</v>
      </c>
      <c r="O309" s="1" t="n">
        <f aca="false">MODE($I$306:$I$335)</f>
        <v>94</v>
      </c>
    </row>
    <row r="310" customFormat="false" ht="13.8" hidden="false" customHeight="false" outlineLevel="0" collapsed="false">
      <c r="A310" s="20" t="n">
        <v>309</v>
      </c>
      <c r="B310" s="21" t="n">
        <v>43774</v>
      </c>
      <c r="C310" s="22" t="n">
        <v>13863</v>
      </c>
      <c r="D310" s="22" t="n">
        <f aca="false">Table134[[#This Row],[Steps]]-C309</f>
        <v>-6072</v>
      </c>
      <c r="E310" s="23" t="n">
        <v>566.9</v>
      </c>
      <c r="F310" s="23" t="n">
        <f aca="false">Table134[[#This Row],[Colories]]-E309</f>
        <v>-243.4</v>
      </c>
      <c r="G310" s="6" t="n">
        <v>9.98</v>
      </c>
      <c r="H310" s="24" t="n">
        <f aca="false">Table134[[#This Row],[Distance]]-G309</f>
        <v>-4.37</v>
      </c>
      <c r="I310" s="22" t="n">
        <v>132</v>
      </c>
      <c r="J310" s="25" t="n">
        <f aca="false">Table134[[#This Row],[Time]]-I309</f>
        <v>-53</v>
      </c>
      <c r="K310" s="1" t="s">
        <v>12</v>
      </c>
      <c r="L310" s="1" t="n">
        <f aca="false">MEDIAN($C$306:$C$335)</f>
        <v>10831</v>
      </c>
      <c r="M310" s="1" t="n">
        <f aca="false">MEDIAN($E$306:$E$335)</f>
        <v>440.85</v>
      </c>
      <c r="N310" s="1" t="n">
        <f aca="false">MEDIAN($G$306:$G$335)</f>
        <v>7.8</v>
      </c>
      <c r="O310" s="1" t="n">
        <f aca="false">MEDIAN($I$306:$I$335)</f>
        <v>100</v>
      </c>
    </row>
    <row r="311" customFormat="false" ht="13.8" hidden="false" customHeight="false" outlineLevel="0" collapsed="false">
      <c r="A311" s="20" t="n">
        <v>310</v>
      </c>
      <c r="B311" s="21" t="n">
        <v>43775</v>
      </c>
      <c r="C311" s="22" t="n">
        <v>9297</v>
      </c>
      <c r="D311" s="22" t="n">
        <f aca="false">Table134[[#This Row],[Steps]]-C310</f>
        <v>-4566</v>
      </c>
      <c r="E311" s="23" t="n">
        <v>376.5</v>
      </c>
      <c r="F311" s="23" t="n">
        <f aca="false">Table134[[#This Row],[Colories]]-E310</f>
        <v>-190.4</v>
      </c>
      <c r="G311" s="6" t="n">
        <v>6.69</v>
      </c>
      <c r="H311" s="24" t="n">
        <f aca="false">Table134[[#This Row],[Distance]]-G310</f>
        <v>-3.29</v>
      </c>
      <c r="I311" s="22" t="n">
        <v>85</v>
      </c>
      <c r="J311" s="25" t="n">
        <f aca="false">Table134[[#This Row],[Time]]-I310</f>
        <v>-47</v>
      </c>
      <c r="K311" s="1" t="s">
        <v>180</v>
      </c>
      <c r="L311" s="1" t="n">
        <f aca="false">QUARTILE($C$306:$C$335, 1)</f>
        <v>9032.25</v>
      </c>
      <c r="M311" s="1" t="n">
        <f aca="false">QUARTILE($E$306:$E$335, 1)</f>
        <v>367.2</v>
      </c>
      <c r="N311" s="1" t="n">
        <f aca="false">QUARTILE($G$306:$G$335, 1)</f>
        <v>6.5025</v>
      </c>
      <c r="O311" s="1" t="n">
        <f aca="false">QUARTILE($I$306:$I$335, 1)</f>
        <v>83.5</v>
      </c>
    </row>
    <row r="312" customFormat="false" ht="13.8" hidden="false" customHeight="false" outlineLevel="0" collapsed="false">
      <c r="A312" s="20" t="n">
        <v>311</v>
      </c>
      <c r="B312" s="21" t="n">
        <v>43776</v>
      </c>
      <c r="C312" s="22" t="n">
        <v>10163</v>
      </c>
      <c r="D312" s="22" t="n">
        <f aca="false">Table134[[#This Row],[Steps]]-C311</f>
        <v>866</v>
      </c>
      <c r="E312" s="23" t="n">
        <v>412.8</v>
      </c>
      <c r="F312" s="23" t="n">
        <f aca="false">Table134[[#This Row],[Colories]]-E311</f>
        <v>36.3</v>
      </c>
      <c r="G312" s="6" t="n">
        <v>7.32</v>
      </c>
      <c r="H312" s="24" t="n">
        <f aca="false">Table134[[#This Row],[Distance]]-G311</f>
        <v>0.63</v>
      </c>
      <c r="I312" s="22" t="n">
        <v>94</v>
      </c>
      <c r="J312" s="25" t="n">
        <f aca="false">Table134[[#This Row],[Time]]-I311</f>
        <v>9</v>
      </c>
      <c r="K312" s="1" t="s">
        <v>181</v>
      </c>
      <c r="L312" s="1" t="n">
        <f aca="false">QUARTILE($C$306:$C$335, 3)</f>
        <v>13939.5</v>
      </c>
      <c r="M312" s="1" t="n">
        <f aca="false">QUARTILE($E$306:$E$335, 3)</f>
        <v>566.65</v>
      </c>
      <c r="N312" s="1" t="n">
        <f aca="false">QUARTILE($G$306:$G$335, 3)</f>
        <v>10.0325</v>
      </c>
      <c r="O312" s="1" t="n">
        <f aca="false">QUARTILE($I$306:$I$335, 3)</f>
        <v>130.75</v>
      </c>
    </row>
    <row r="313" customFormat="false" ht="13.8" hidden="false" customHeight="false" outlineLevel="0" collapsed="false">
      <c r="A313" s="20" t="n">
        <v>312</v>
      </c>
      <c r="B313" s="21" t="n">
        <v>43777</v>
      </c>
      <c r="C313" s="22" t="n">
        <v>11270</v>
      </c>
      <c r="D313" s="22" t="n">
        <f aca="false">Table134[[#This Row],[Steps]]-C312</f>
        <v>1107</v>
      </c>
      <c r="E313" s="23" t="n">
        <v>457.8</v>
      </c>
      <c r="F313" s="23" t="n">
        <f aca="false">Table134[[#This Row],[Colories]]-E312</f>
        <v>45</v>
      </c>
      <c r="G313" s="6" t="n">
        <v>8.11</v>
      </c>
      <c r="H313" s="24" t="n">
        <f aca="false">Table134[[#This Row],[Distance]]-G312</f>
        <v>0.789999999999999</v>
      </c>
      <c r="I313" s="22" t="n">
        <v>104</v>
      </c>
      <c r="J313" s="25" t="n">
        <f aca="false">Table134[[#This Row],[Time]]-I312</f>
        <v>10</v>
      </c>
      <c r="K313" s="1" t="s">
        <v>182</v>
      </c>
      <c r="L313" s="1" t="n">
        <f aca="false">VAR($C$306:$C$335)</f>
        <v>40047622.0241379</v>
      </c>
      <c r="M313" s="1" t="n">
        <f aca="false">VAR($E$306:$E$335)</f>
        <v>69192.5593103448</v>
      </c>
      <c r="N313" s="1" t="n">
        <f aca="false">VAR($G$306:$G$335)</f>
        <v>20.7645062068966</v>
      </c>
      <c r="O313" s="1" t="n">
        <f aca="false">VAR($I$306:$I$335)</f>
        <v>3965.65057471264</v>
      </c>
    </row>
    <row r="314" customFormat="false" ht="13.8" hidden="false" customHeight="false" outlineLevel="0" collapsed="false">
      <c r="A314" s="20" t="n">
        <v>313</v>
      </c>
      <c r="B314" s="21" t="n">
        <v>43778</v>
      </c>
      <c r="C314" s="22" t="n">
        <v>10414</v>
      </c>
      <c r="D314" s="22" t="n">
        <f aca="false">Table134[[#This Row],[Steps]]-C313</f>
        <v>-856</v>
      </c>
      <c r="E314" s="23" t="n">
        <v>421.1</v>
      </c>
      <c r="F314" s="23" t="n">
        <f aca="false">Table134[[#This Row],[Colories]]-E313</f>
        <v>-36.7</v>
      </c>
      <c r="G314" s="6" t="n">
        <v>7.5</v>
      </c>
      <c r="H314" s="24" t="n">
        <f aca="false">Table134[[#This Row],[Distance]]-G313</f>
        <v>-0.609999999999999</v>
      </c>
      <c r="I314" s="22" t="n">
        <v>94</v>
      </c>
      <c r="J314" s="25" t="n">
        <f aca="false">Table134[[#This Row],[Time]]-I313</f>
        <v>-10</v>
      </c>
      <c r="K314" s="1" t="s">
        <v>16</v>
      </c>
      <c r="L314" s="1" t="n">
        <f aca="false">STDEV($C$306:$C$335)</f>
        <v>6328.31905201831</v>
      </c>
      <c r="M314" s="1" t="n">
        <f aca="false">STDEV($E$306:$E$335)</f>
        <v>263.044785750155</v>
      </c>
      <c r="N314" s="1" t="n">
        <f aca="false">STDEV($G$306:$G$335)</f>
        <v>4.55680877444913</v>
      </c>
      <c r="O314" s="1" t="n">
        <f aca="false">STDEV($I$306:$I$335)</f>
        <v>62.973411648986</v>
      </c>
    </row>
    <row r="315" customFormat="false" ht="13.8" hidden="false" customHeight="false" outlineLevel="0" collapsed="false">
      <c r="A315" s="20" t="n">
        <v>314</v>
      </c>
      <c r="B315" s="21" t="n">
        <v>43779</v>
      </c>
      <c r="C315" s="22" t="n">
        <v>6035</v>
      </c>
      <c r="D315" s="22" t="n">
        <f aca="false">Table134[[#This Row],[Steps]]-C314</f>
        <v>-4379</v>
      </c>
      <c r="E315" s="23" t="n">
        <v>248.9</v>
      </c>
      <c r="F315" s="23" t="n">
        <f aca="false">Table134[[#This Row],[Colories]]-E314</f>
        <v>-172.2</v>
      </c>
      <c r="G315" s="6" t="n">
        <v>4.35</v>
      </c>
      <c r="H315" s="24" t="n">
        <f aca="false">Table134[[#This Row],[Distance]]-G314</f>
        <v>-3.15</v>
      </c>
      <c r="I315" s="22" t="n">
        <v>58</v>
      </c>
      <c r="J315" s="25" t="n">
        <f aca="false">Table134[[#This Row],[Time]]-I314</f>
        <v>-36</v>
      </c>
      <c r="K315" s="1" t="s">
        <v>20</v>
      </c>
      <c r="L315" s="1" t="n">
        <f aca="false">KURT($C$306:$C$335)</f>
        <v>3.87732825772674</v>
      </c>
      <c r="M315" s="1" t="n">
        <f aca="false">KURT($E$306:$E$335)</f>
        <v>4.57820090369685</v>
      </c>
      <c r="N315" s="1" t="n">
        <f aca="false">KURT($G$306:$G$335)</f>
        <v>3.87708969270848</v>
      </c>
      <c r="O315" s="1" t="n">
        <f aca="false">KURT($I$306:$I$335)</f>
        <v>5.89169617857065</v>
      </c>
    </row>
    <row r="316" customFormat="false" ht="13.8" hidden="false" customHeight="false" outlineLevel="0" collapsed="false">
      <c r="A316" s="20" t="n">
        <v>315</v>
      </c>
      <c r="B316" s="21" t="n">
        <v>43780</v>
      </c>
      <c r="C316" s="22" t="n">
        <v>21647</v>
      </c>
      <c r="D316" s="22" t="n">
        <f aca="false">Table134[[#This Row],[Steps]]-C315</f>
        <v>15612</v>
      </c>
      <c r="E316" s="23" t="n">
        <v>886.9</v>
      </c>
      <c r="F316" s="23" t="n">
        <f aca="false">Table134[[#This Row],[Colories]]-E315</f>
        <v>638</v>
      </c>
      <c r="G316" s="6" t="n">
        <v>15.59</v>
      </c>
      <c r="H316" s="24" t="n">
        <f aca="false">Table134[[#This Row],[Distance]]-G315</f>
        <v>11.24</v>
      </c>
      <c r="I316" s="22" t="n">
        <v>206</v>
      </c>
      <c r="J316" s="25" t="n">
        <f aca="false">Table134[[#This Row],[Time]]-I315</f>
        <v>148</v>
      </c>
      <c r="K316" s="1" t="s">
        <v>22</v>
      </c>
      <c r="L316" s="1" t="n">
        <f aca="false">SKEW($C$306:$C$335)</f>
        <v>1.43554214134929</v>
      </c>
      <c r="M316" s="1" t="n">
        <f aca="false">SKEW($E$306:$E$335)</f>
        <v>1.59240815019449</v>
      </c>
      <c r="N316" s="1" t="n">
        <f aca="false">SKEW($G$306:$G$335)</f>
        <v>1.4358001304832</v>
      </c>
      <c r="O316" s="1" t="n">
        <f aca="false">SKEW($I$306:$I$335)</f>
        <v>1.86989900173611</v>
      </c>
    </row>
    <row r="317" customFormat="false" ht="13.8" hidden="false" customHeight="false" outlineLevel="0" collapsed="false">
      <c r="A317" s="20" t="n">
        <v>316</v>
      </c>
      <c r="B317" s="21" t="n">
        <v>43781</v>
      </c>
      <c r="C317" s="22" t="n">
        <v>10540</v>
      </c>
      <c r="D317" s="22" t="n">
        <f aca="false">Table134[[#This Row],[Steps]]-C316</f>
        <v>-11107</v>
      </c>
      <c r="E317" s="23" t="n">
        <v>431.2</v>
      </c>
      <c r="F317" s="23" t="n">
        <f aca="false">Table134[[#This Row],[Colories]]-E316</f>
        <v>-455.7</v>
      </c>
      <c r="G317" s="6" t="n">
        <v>7.59</v>
      </c>
      <c r="H317" s="24" t="n">
        <f aca="false">Table134[[#This Row],[Distance]]-G316</f>
        <v>-8</v>
      </c>
      <c r="I317" s="22" t="n">
        <v>100</v>
      </c>
      <c r="J317" s="25" t="n">
        <f aca="false">Table134[[#This Row],[Time]]-I316</f>
        <v>-106</v>
      </c>
      <c r="K317" s="1" t="s">
        <v>24</v>
      </c>
      <c r="L317" s="1" t="n">
        <f aca="false">MAX($C$306:$C$335)-MIN($C$306:$C$335)</f>
        <v>31472</v>
      </c>
      <c r="M317" s="1" t="n">
        <f aca="false">MAX($E$306:$E$335)-MIN($E$306:$E$335)</f>
        <v>1328.3</v>
      </c>
      <c r="N317" s="1" t="n">
        <f aca="false">MAX($G$306:$G$335)-MIN($G$306:$G$335)</f>
        <v>22.66</v>
      </c>
      <c r="O317" s="1" t="n">
        <f aca="false">MAX($I$306:$I$335)-MIN($I$306:$I$335)</f>
        <v>325</v>
      </c>
    </row>
    <row r="318" customFormat="false" ht="13.8" hidden="false" customHeight="false" outlineLevel="0" collapsed="false">
      <c r="A318" s="20" t="n">
        <v>317</v>
      </c>
      <c r="B318" s="21" t="n">
        <v>43782</v>
      </c>
      <c r="C318" s="22" t="n">
        <v>11761</v>
      </c>
      <c r="D318" s="22" t="n">
        <f aca="false">Table134[[#This Row],[Steps]]-C317</f>
        <v>1221</v>
      </c>
      <c r="E318" s="23" t="n">
        <v>475.2</v>
      </c>
      <c r="F318" s="23" t="n">
        <f aca="false">Table134[[#This Row],[Colories]]-E317</f>
        <v>44</v>
      </c>
      <c r="G318" s="6" t="n">
        <v>8.47</v>
      </c>
      <c r="H318" s="24" t="n">
        <f aca="false">Table134[[#This Row],[Distance]]-G317</f>
        <v>0.880000000000001</v>
      </c>
      <c r="I318" s="22" t="n">
        <v>106</v>
      </c>
      <c r="J318" s="25" t="n">
        <f aca="false">Table134[[#This Row],[Time]]-I317</f>
        <v>6</v>
      </c>
      <c r="K318" s="1" t="s">
        <v>26</v>
      </c>
      <c r="L318" s="1" t="n">
        <f aca="false">MIN($C$306:$C$335)</f>
        <v>2179</v>
      </c>
      <c r="M318" s="1" t="n">
        <f aca="false">MIN($E$306:$E$335)</f>
        <v>93.1</v>
      </c>
      <c r="N318" s="1" t="n">
        <f aca="false">MIN($G$306:$G$335)</f>
        <v>1.57</v>
      </c>
      <c r="O318" s="1" t="n">
        <f aca="false">MIN($I$306:$I$335)</f>
        <v>23</v>
      </c>
    </row>
    <row r="319" customFormat="false" ht="13.8" hidden="false" customHeight="false" outlineLevel="0" collapsed="false">
      <c r="A319" s="20" t="n">
        <v>318</v>
      </c>
      <c r="B319" s="21" t="n">
        <v>43783</v>
      </c>
      <c r="C319" s="22" t="n">
        <v>10004</v>
      </c>
      <c r="D319" s="22" t="n">
        <f aca="false">Table134[[#This Row],[Steps]]-C318</f>
        <v>-1757</v>
      </c>
      <c r="E319" s="23" t="n">
        <v>403.8</v>
      </c>
      <c r="F319" s="23" t="n">
        <f aca="false">Table134[[#This Row],[Colories]]-E318</f>
        <v>-71.4</v>
      </c>
      <c r="G319" s="6" t="n">
        <v>7.2</v>
      </c>
      <c r="H319" s="24" t="n">
        <f aca="false">Table134[[#This Row],[Distance]]-G318</f>
        <v>-1.27</v>
      </c>
      <c r="I319" s="22" t="n">
        <v>90</v>
      </c>
      <c r="J319" s="25" t="n">
        <f aca="false">Table134[[#This Row],[Time]]-I318</f>
        <v>-16</v>
      </c>
      <c r="K319" s="1" t="s">
        <v>28</v>
      </c>
      <c r="L319" s="1" t="n">
        <f aca="false">MAX($C$306:$C$335)</f>
        <v>33651</v>
      </c>
      <c r="M319" s="1" t="n">
        <f aca="false">MAX($E$306:$E$335)</f>
        <v>1421.4</v>
      </c>
      <c r="N319" s="1" t="n">
        <f aca="false">MAX($G$306:$G$335)</f>
        <v>24.23</v>
      </c>
      <c r="O319" s="1" t="n">
        <f aca="false">MAX($I$306:$I$335)</f>
        <v>348</v>
      </c>
    </row>
    <row r="320" customFormat="false" ht="13.8" hidden="false" customHeight="false" outlineLevel="0" collapsed="false">
      <c r="A320" s="20" t="n">
        <v>319</v>
      </c>
      <c r="B320" s="21" t="n">
        <v>43784</v>
      </c>
      <c r="C320" s="22" t="n">
        <v>11122</v>
      </c>
      <c r="D320" s="22" t="n">
        <f aca="false">Table134[[#This Row],[Steps]]-C319</f>
        <v>1118</v>
      </c>
      <c r="E320" s="23" t="n">
        <v>454</v>
      </c>
      <c r="F320" s="23" t="n">
        <f aca="false">Table134[[#This Row],[Colories]]-E319</f>
        <v>50.2</v>
      </c>
      <c r="G320" s="6" t="n">
        <v>8.01</v>
      </c>
      <c r="H320" s="24" t="n">
        <f aca="false">Table134[[#This Row],[Distance]]-G319</f>
        <v>0.81</v>
      </c>
      <c r="I320" s="22" t="n">
        <v>105</v>
      </c>
      <c r="J320" s="25" t="n">
        <f aca="false">Table134[[#This Row],[Time]]-I319</f>
        <v>15</v>
      </c>
      <c r="K320" s="1" t="s">
        <v>30</v>
      </c>
      <c r="L320" s="1" t="n">
        <f aca="false">SUM($C$306:$C$335)</f>
        <v>351333</v>
      </c>
      <c r="M320" s="1" t="n">
        <f aca="false">SUM($E$306:$E$335)</f>
        <v>14430</v>
      </c>
      <c r="N320" s="1" t="n">
        <f aca="false">SUM($G$306:$G$335)</f>
        <v>252.96</v>
      </c>
      <c r="O320" s="1" t="n">
        <f aca="false">SUM($I$306:$I$335)</f>
        <v>3352</v>
      </c>
    </row>
    <row r="321" customFormat="false" ht="13.8" hidden="false" customHeight="false" outlineLevel="0" collapsed="false">
      <c r="A321" s="20" t="n">
        <v>320</v>
      </c>
      <c r="B321" s="21" t="n">
        <v>43785</v>
      </c>
      <c r="C321" s="22" t="n">
        <v>5226</v>
      </c>
      <c r="D321" s="22" t="n">
        <f aca="false">Table134[[#This Row],[Steps]]-C320</f>
        <v>-5896</v>
      </c>
      <c r="E321" s="23" t="n">
        <v>226.1</v>
      </c>
      <c r="F321" s="23" t="n">
        <f aca="false">Table134[[#This Row],[Colories]]-E320</f>
        <v>-227.9</v>
      </c>
      <c r="G321" s="6" t="n">
        <v>3.76</v>
      </c>
      <c r="H321" s="24" t="n">
        <f aca="false">Table134[[#This Row],[Distance]]-G320</f>
        <v>-4.25</v>
      </c>
      <c r="I321" s="22" t="n">
        <v>57</v>
      </c>
      <c r="J321" s="25" t="n">
        <f aca="false">Table134[[#This Row],[Time]]-I320</f>
        <v>-48</v>
      </c>
      <c r="K321" s="1" t="s">
        <v>32</v>
      </c>
      <c r="L321" s="1" t="n">
        <f aca="false">COUNT($C$306:$C$335)</f>
        <v>30</v>
      </c>
      <c r="M321" s="1" t="n">
        <f aca="false">COUNT($E$306:$E$335)</f>
        <v>30</v>
      </c>
      <c r="N321" s="1" t="n">
        <f aca="false">COUNT($G$306:$G$335)</f>
        <v>30</v>
      </c>
      <c r="O321" s="1" t="n">
        <f aca="false">COUNT($I$306:$I$335)</f>
        <v>30</v>
      </c>
    </row>
    <row r="322" customFormat="false" ht="13.8" hidden="false" customHeight="false" outlineLevel="0" collapsed="false">
      <c r="A322" s="20" t="n">
        <v>321</v>
      </c>
      <c r="B322" s="21" t="n">
        <v>43786</v>
      </c>
      <c r="C322" s="22" t="n">
        <v>4417</v>
      </c>
      <c r="D322" s="22" t="n">
        <f aca="false">Table134[[#This Row],[Steps]]-C321</f>
        <v>-809</v>
      </c>
      <c r="E322" s="23" t="n">
        <v>194.5</v>
      </c>
      <c r="F322" s="23" t="n">
        <f aca="false">Table134[[#This Row],[Colories]]-E321</f>
        <v>-31.6</v>
      </c>
      <c r="G322" s="6" t="n">
        <v>3.18</v>
      </c>
      <c r="H322" s="24" t="n">
        <f aca="false">Table134[[#This Row],[Distance]]-G321</f>
        <v>-0.58</v>
      </c>
      <c r="I322" s="22" t="n">
        <v>50</v>
      </c>
      <c r="J322" s="25" t="n">
        <f aca="false">Table134[[#This Row],[Time]]-I321</f>
        <v>-7</v>
      </c>
    </row>
    <row r="323" customFormat="false" ht="13.8" hidden="false" customHeight="false" outlineLevel="0" collapsed="false">
      <c r="A323" s="20" t="n">
        <v>322</v>
      </c>
      <c r="B323" s="21" t="n">
        <v>43787</v>
      </c>
      <c r="C323" s="22" t="n">
        <v>12636</v>
      </c>
      <c r="D323" s="22" t="n">
        <f aca="false">Table134[[#This Row],[Steps]]-C322</f>
        <v>8219</v>
      </c>
      <c r="E323" s="23" t="n">
        <v>525.3</v>
      </c>
      <c r="F323" s="23" t="n">
        <f aca="false">Table134[[#This Row],[Colories]]-E322</f>
        <v>330.8</v>
      </c>
      <c r="G323" s="6" t="n">
        <v>9.1</v>
      </c>
      <c r="H323" s="24" t="n">
        <f aca="false">Table134[[#This Row],[Distance]]-G322</f>
        <v>5.92</v>
      </c>
      <c r="I323" s="22" t="n">
        <v>125</v>
      </c>
      <c r="J323" s="25" t="n">
        <f aca="false">Table134[[#This Row],[Time]]-I322</f>
        <v>75</v>
      </c>
    </row>
    <row r="324" customFormat="false" ht="13.8" hidden="false" customHeight="false" outlineLevel="0" collapsed="false">
      <c r="A324" s="20" t="n">
        <v>323</v>
      </c>
      <c r="B324" s="21" t="n">
        <v>43788</v>
      </c>
      <c r="C324" s="22" t="n">
        <v>15762</v>
      </c>
      <c r="D324" s="22" t="n">
        <f aca="false">Table134[[#This Row],[Steps]]-C323</f>
        <v>3126</v>
      </c>
      <c r="E324" s="23" t="n">
        <v>647.3</v>
      </c>
      <c r="F324" s="23" t="n">
        <f aca="false">Table134[[#This Row],[Colories]]-E323</f>
        <v>122</v>
      </c>
      <c r="G324" s="6" t="n">
        <v>11.35</v>
      </c>
      <c r="H324" s="24" t="n">
        <f aca="false">Table134[[#This Row],[Distance]]-G323</f>
        <v>2.25</v>
      </c>
      <c r="I324" s="22" t="n">
        <v>152</v>
      </c>
      <c r="J324" s="25" t="n">
        <f aca="false">Table134[[#This Row],[Time]]-I323</f>
        <v>27</v>
      </c>
    </row>
    <row r="325" customFormat="false" ht="13.8" hidden="false" customHeight="false" outlineLevel="0" collapsed="false">
      <c r="A325" s="20" t="n">
        <v>324</v>
      </c>
      <c r="B325" s="21" t="n">
        <v>43789</v>
      </c>
      <c r="C325" s="22" t="n">
        <v>10141</v>
      </c>
      <c r="D325" s="22" t="n">
        <f aca="false">Table134[[#This Row],[Steps]]-C324</f>
        <v>-5621</v>
      </c>
      <c r="E325" s="23" t="n">
        <v>411.6</v>
      </c>
      <c r="F325" s="23" t="n">
        <f aca="false">Table134[[#This Row],[Colories]]-E324</f>
        <v>-235.7</v>
      </c>
      <c r="G325" s="6" t="n">
        <v>7.3</v>
      </c>
      <c r="H325" s="24" t="n">
        <f aca="false">Table134[[#This Row],[Distance]]-G324</f>
        <v>-4.05</v>
      </c>
      <c r="I325" s="22" t="n">
        <v>94</v>
      </c>
      <c r="J325" s="25" t="n">
        <f aca="false">Table134[[#This Row],[Time]]-I324</f>
        <v>-58</v>
      </c>
    </row>
    <row r="326" customFormat="false" ht="13.8" hidden="false" customHeight="false" outlineLevel="0" collapsed="false">
      <c r="A326" s="20" t="n">
        <v>325</v>
      </c>
      <c r="B326" s="21" t="n">
        <v>43790</v>
      </c>
      <c r="C326" s="22" t="n">
        <v>17690</v>
      </c>
      <c r="D326" s="22" t="n">
        <f aca="false">Table134[[#This Row],[Steps]]-C325</f>
        <v>7549</v>
      </c>
      <c r="E326" s="23" t="n">
        <v>730.7</v>
      </c>
      <c r="F326" s="23" t="n">
        <f aca="false">Table134[[#This Row],[Colories]]-E325</f>
        <v>319.1</v>
      </c>
      <c r="G326" s="6" t="n">
        <v>12.74</v>
      </c>
      <c r="H326" s="24" t="n">
        <f aca="false">Table134[[#This Row],[Distance]]-G325</f>
        <v>5.44</v>
      </c>
      <c r="I326" s="22" t="n">
        <v>172</v>
      </c>
      <c r="J326" s="25" t="n">
        <f aca="false">Table134[[#This Row],[Time]]-I325</f>
        <v>78</v>
      </c>
    </row>
    <row r="327" customFormat="false" ht="13.8" hidden="false" customHeight="false" outlineLevel="0" collapsed="false">
      <c r="A327" s="20" t="n">
        <v>326</v>
      </c>
      <c r="B327" s="21" t="n">
        <v>43791</v>
      </c>
      <c r="C327" s="22" t="n">
        <v>13965</v>
      </c>
      <c r="D327" s="22" t="n">
        <f aca="false">Table134[[#This Row],[Steps]]-C326</f>
        <v>-3725</v>
      </c>
      <c r="E327" s="23" t="n">
        <v>565.9</v>
      </c>
      <c r="F327" s="23" t="n">
        <f aca="false">Table134[[#This Row],[Colories]]-E326</f>
        <v>-164.8</v>
      </c>
      <c r="G327" s="6" t="n">
        <v>10.05</v>
      </c>
      <c r="H327" s="24" t="n">
        <f aca="false">Table134[[#This Row],[Distance]]-G326</f>
        <v>-2.69</v>
      </c>
      <c r="I327" s="22" t="n">
        <v>127</v>
      </c>
      <c r="J327" s="25" t="n">
        <f aca="false">Table134[[#This Row],[Time]]-I326</f>
        <v>-45</v>
      </c>
    </row>
    <row r="328" customFormat="false" ht="13.8" hidden="false" customHeight="false" outlineLevel="0" collapsed="false">
      <c r="A328" s="20" t="n">
        <v>327</v>
      </c>
      <c r="B328" s="21" t="n">
        <v>43792</v>
      </c>
      <c r="C328" s="22" t="n">
        <v>2624</v>
      </c>
      <c r="D328" s="22" t="n">
        <f aca="false">Table134[[#This Row],[Steps]]-C327</f>
        <v>-11341</v>
      </c>
      <c r="E328" s="23" t="n">
        <v>107</v>
      </c>
      <c r="F328" s="23" t="n">
        <f aca="false">Table134[[#This Row],[Colories]]-E327</f>
        <v>-458.9</v>
      </c>
      <c r="G328" s="6" t="n">
        <v>1.89</v>
      </c>
      <c r="H328" s="24" t="n">
        <f aca="false">Table134[[#This Row],[Distance]]-G327</f>
        <v>-8.16</v>
      </c>
      <c r="I328" s="22" t="n">
        <v>24</v>
      </c>
      <c r="J328" s="25" t="n">
        <f aca="false">Table134[[#This Row],[Time]]-I327</f>
        <v>-103</v>
      </c>
    </row>
    <row r="329" customFormat="false" ht="13.8" hidden="false" customHeight="false" outlineLevel="0" collapsed="false">
      <c r="A329" s="20" t="n">
        <v>328</v>
      </c>
      <c r="B329" s="21" t="n">
        <v>43793</v>
      </c>
      <c r="C329" s="22" t="n">
        <v>33651</v>
      </c>
      <c r="D329" s="22" t="n">
        <f aca="false">Table134[[#This Row],[Steps]]-C328</f>
        <v>31027</v>
      </c>
      <c r="E329" s="23" t="n">
        <v>1421.4</v>
      </c>
      <c r="F329" s="23" t="n">
        <f aca="false">Table134[[#This Row],[Colories]]-E328</f>
        <v>1314.4</v>
      </c>
      <c r="G329" s="6" t="n">
        <v>24.23</v>
      </c>
      <c r="H329" s="24" t="n">
        <f aca="false">Table134[[#This Row],[Distance]]-G328</f>
        <v>22.34</v>
      </c>
      <c r="I329" s="22" t="n">
        <v>348</v>
      </c>
      <c r="J329" s="25" t="n">
        <f aca="false">Table134[[#This Row],[Time]]-I328</f>
        <v>324</v>
      </c>
    </row>
    <row r="330" customFormat="false" ht="13.8" hidden="false" customHeight="false" outlineLevel="0" collapsed="false">
      <c r="A330" s="20" t="n">
        <v>329</v>
      </c>
      <c r="B330" s="21" t="n">
        <v>43794</v>
      </c>
      <c r="C330" s="22" t="n">
        <v>11167</v>
      </c>
      <c r="D330" s="22" t="n">
        <f aca="false">Table134[[#This Row],[Steps]]-C329</f>
        <v>-22484</v>
      </c>
      <c r="E330" s="23" t="n">
        <v>450.5</v>
      </c>
      <c r="F330" s="23" t="n">
        <f aca="false">Table134[[#This Row],[Colories]]-E329</f>
        <v>-970.9</v>
      </c>
      <c r="G330" s="6" t="n">
        <v>8.04</v>
      </c>
      <c r="H330" s="24" t="n">
        <f aca="false">Table134[[#This Row],[Distance]]-G329</f>
        <v>-16.19</v>
      </c>
      <c r="I330" s="22" t="n">
        <v>100</v>
      </c>
      <c r="J330" s="25" t="n">
        <f aca="false">Table134[[#This Row],[Time]]-I329</f>
        <v>-248</v>
      </c>
    </row>
    <row r="331" customFormat="false" ht="13.8" hidden="false" customHeight="false" outlineLevel="0" collapsed="false">
      <c r="A331" s="20" t="n">
        <v>330</v>
      </c>
      <c r="B331" s="21" t="n">
        <v>43795</v>
      </c>
      <c r="C331" s="22" t="n">
        <v>12032</v>
      </c>
      <c r="D331" s="22" t="n">
        <f aca="false">Table134[[#This Row],[Steps]]-C330</f>
        <v>865</v>
      </c>
      <c r="E331" s="23" t="n">
        <v>491.4</v>
      </c>
      <c r="F331" s="23" t="n">
        <f aca="false">Table134[[#This Row],[Colories]]-E330</f>
        <v>40.9</v>
      </c>
      <c r="G331" s="6" t="n">
        <v>8.66</v>
      </c>
      <c r="H331" s="24" t="n">
        <f aca="false">Table134[[#This Row],[Distance]]-G330</f>
        <v>0.620000000000001</v>
      </c>
      <c r="I331" s="22" t="n">
        <v>114</v>
      </c>
      <c r="J331" s="25" t="n">
        <f aca="false">Table134[[#This Row],[Time]]-I330</f>
        <v>14</v>
      </c>
    </row>
    <row r="332" customFormat="false" ht="13.8" hidden="false" customHeight="false" outlineLevel="0" collapsed="false">
      <c r="A332" s="20" t="n">
        <v>331</v>
      </c>
      <c r="B332" s="21" t="n">
        <v>43796</v>
      </c>
      <c r="C332" s="22" t="n">
        <v>8944</v>
      </c>
      <c r="D332" s="22" t="n">
        <f aca="false">Table134[[#This Row],[Steps]]-C331</f>
        <v>-3088</v>
      </c>
      <c r="E332" s="23" t="n">
        <v>364.1</v>
      </c>
      <c r="F332" s="23" t="n">
        <f aca="false">Table134[[#This Row],[Colories]]-E331</f>
        <v>-127.3</v>
      </c>
      <c r="G332" s="6" t="n">
        <v>6.44</v>
      </c>
      <c r="H332" s="24" t="n">
        <f aca="false">Table134[[#This Row],[Distance]]-G331</f>
        <v>-2.22</v>
      </c>
      <c r="I332" s="22" t="n">
        <v>83</v>
      </c>
      <c r="J332" s="25" t="n">
        <f aca="false">Table134[[#This Row],[Time]]-I331</f>
        <v>-31</v>
      </c>
    </row>
    <row r="333" customFormat="false" ht="13.8" hidden="false" customHeight="false" outlineLevel="0" collapsed="false">
      <c r="A333" s="20" t="n">
        <v>332</v>
      </c>
      <c r="B333" s="21" t="n">
        <v>43797</v>
      </c>
      <c r="C333" s="22" t="n">
        <v>14818</v>
      </c>
      <c r="D333" s="22" t="n">
        <f aca="false">Table134[[#This Row],[Steps]]-C332</f>
        <v>5874</v>
      </c>
      <c r="E333" s="23" t="n">
        <v>614.4</v>
      </c>
      <c r="F333" s="23" t="n">
        <f aca="false">Table134[[#This Row],[Colories]]-E332</f>
        <v>250.3</v>
      </c>
      <c r="G333" s="6" t="n">
        <v>10.67</v>
      </c>
      <c r="H333" s="24" t="n">
        <f aca="false">Table134[[#This Row],[Distance]]-G332</f>
        <v>4.23</v>
      </c>
      <c r="I333" s="22" t="n">
        <v>146</v>
      </c>
      <c r="J333" s="25" t="n">
        <f aca="false">Table134[[#This Row],[Time]]-I332</f>
        <v>63</v>
      </c>
    </row>
    <row r="334" customFormat="false" ht="13.8" hidden="false" customHeight="false" outlineLevel="0" collapsed="false">
      <c r="A334" s="20" t="n">
        <v>333</v>
      </c>
      <c r="B334" s="21" t="n">
        <v>43798</v>
      </c>
      <c r="C334" s="22" t="n">
        <v>9447</v>
      </c>
      <c r="D334" s="22" t="n">
        <f aca="false">Table134[[#This Row],[Steps]]-C333</f>
        <v>-5371</v>
      </c>
      <c r="E334" s="23" t="n">
        <v>387.9</v>
      </c>
      <c r="F334" s="23" t="n">
        <f aca="false">Table134[[#This Row],[Colories]]-E333</f>
        <v>-226.5</v>
      </c>
      <c r="G334" s="6" t="n">
        <v>6.8</v>
      </c>
      <c r="H334" s="24" t="n">
        <f aca="false">Table134[[#This Row],[Distance]]-G333</f>
        <v>-3.87</v>
      </c>
      <c r="I334" s="22" t="n">
        <v>90</v>
      </c>
      <c r="J334" s="25" t="n">
        <f aca="false">Table134[[#This Row],[Time]]-I333</f>
        <v>-56</v>
      </c>
    </row>
    <row r="335" customFormat="false" ht="13.8" hidden="false" customHeight="false" outlineLevel="0" collapsed="false">
      <c r="A335" s="20" t="n">
        <v>334</v>
      </c>
      <c r="B335" s="21" t="n">
        <v>43799</v>
      </c>
      <c r="C335" s="22" t="n">
        <v>2179</v>
      </c>
      <c r="D335" s="22" t="n">
        <f aca="false">Table134[[#This Row],[Steps]]-C334</f>
        <v>-7268</v>
      </c>
      <c r="E335" s="23" t="n">
        <v>93.1</v>
      </c>
      <c r="F335" s="23" t="n">
        <f aca="false">Table134[[#This Row],[Colories]]-E334</f>
        <v>-294.8</v>
      </c>
      <c r="G335" s="6" t="n">
        <v>1.57</v>
      </c>
      <c r="H335" s="24" t="n">
        <f aca="false">Table134[[#This Row],[Distance]]-G334</f>
        <v>-5.23</v>
      </c>
      <c r="I335" s="22" t="n">
        <v>23</v>
      </c>
      <c r="J335" s="25" t="n">
        <f aca="false">Table134[[#This Row],[Time]]-I334</f>
        <v>-67</v>
      </c>
    </row>
    <row r="336" customFormat="false" ht="13.8" hidden="false" customHeight="false" outlineLevel="0" collapsed="false">
      <c r="A336" s="20" t="n">
        <v>335</v>
      </c>
      <c r="B336" s="21" t="n">
        <v>43800</v>
      </c>
      <c r="C336" s="22" t="n">
        <v>11007</v>
      </c>
      <c r="D336" s="22" t="n">
        <f aca="false">Table134[[#This Row],[Steps]]-C335</f>
        <v>8828</v>
      </c>
      <c r="E336" s="23" t="n">
        <v>454.3</v>
      </c>
      <c r="F336" s="23" t="n">
        <f aca="false">Table134[[#This Row],[Colories]]-E335</f>
        <v>361.2</v>
      </c>
      <c r="G336" s="6" t="n">
        <v>7.93</v>
      </c>
      <c r="H336" s="24" t="n">
        <f aca="false">Table134[[#This Row],[Distance]]-G335</f>
        <v>6.36</v>
      </c>
      <c r="I336" s="22" t="n">
        <v>104</v>
      </c>
      <c r="J336" s="25" t="n">
        <f aca="false">Table134[[#This Row],[Time]]-I335</f>
        <v>81</v>
      </c>
      <c r="L336" s="1" t="s">
        <v>2</v>
      </c>
      <c r="M336" s="1" t="s">
        <v>179</v>
      </c>
      <c r="N336" s="1" t="s">
        <v>175</v>
      </c>
      <c r="O336" s="1" t="s">
        <v>177</v>
      </c>
    </row>
    <row r="337" customFormat="false" ht="13.8" hidden="false" customHeight="false" outlineLevel="0" collapsed="false">
      <c r="A337" s="20" t="n">
        <v>336</v>
      </c>
      <c r="B337" s="21" t="n">
        <v>43801</v>
      </c>
      <c r="C337" s="22" t="n">
        <v>15405</v>
      </c>
      <c r="D337" s="22" t="n">
        <f aca="false">Table134[[#This Row],[Steps]]-C336</f>
        <v>4398</v>
      </c>
      <c r="E337" s="23" t="n">
        <v>635.7</v>
      </c>
      <c r="F337" s="23" t="n">
        <f aca="false">Table134[[#This Row],[Colories]]-E336</f>
        <v>181.4</v>
      </c>
      <c r="G337" s="6" t="n">
        <v>11.09</v>
      </c>
      <c r="H337" s="24" t="n">
        <f aca="false">Table134[[#This Row],[Distance]]-G336</f>
        <v>3.16</v>
      </c>
      <c r="I337" s="22" t="n">
        <v>148</v>
      </c>
      <c r="J337" s="25" t="n">
        <f aca="false">Table134[[#This Row],[Time]]-I336</f>
        <v>44</v>
      </c>
      <c r="K337" s="1" t="s">
        <v>8</v>
      </c>
      <c r="L337" s="1" t="n">
        <f aca="false">AVERAGE($C$336:$C$366)</f>
        <v>8297.86666666667</v>
      </c>
      <c r="M337" s="1" t="n">
        <f aca="false">AVERAGE($E$336:$E$366)</f>
        <v>343.006666666667</v>
      </c>
      <c r="N337" s="1" t="n">
        <f aca="false">AVERAGE($G$336:$G$366)</f>
        <v>5.97366666666667</v>
      </c>
      <c r="O337" s="1" t="n">
        <f aca="false">AVERAGE($I$336:$I$366)</f>
        <v>80.3333333333333</v>
      </c>
    </row>
    <row r="338" customFormat="false" ht="13.8" hidden="false" customHeight="false" outlineLevel="0" collapsed="false">
      <c r="A338" s="20" t="n">
        <v>337</v>
      </c>
      <c r="B338" s="21" t="n">
        <v>43802</v>
      </c>
      <c r="C338" s="22" t="n">
        <v>11018</v>
      </c>
      <c r="D338" s="22" t="n">
        <f aca="false">Table134[[#This Row],[Steps]]-C337</f>
        <v>-4387</v>
      </c>
      <c r="E338" s="23" t="n">
        <v>449.6</v>
      </c>
      <c r="F338" s="23" t="n">
        <f aca="false">Table134[[#This Row],[Colories]]-E337</f>
        <v>-186.1</v>
      </c>
      <c r="G338" s="6" t="n">
        <v>7.93</v>
      </c>
      <c r="H338" s="24" t="n">
        <f aca="false">Table134[[#This Row],[Distance]]-G337</f>
        <v>-3.16</v>
      </c>
      <c r="I338" s="22" t="n">
        <v>103</v>
      </c>
      <c r="J338" s="25" t="n">
        <f aca="false">Table134[[#This Row],[Time]]-I337</f>
        <v>-45</v>
      </c>
      <c r="K338" s="1" t="s">
        <v>10</v>
      </c>
      <c r="L338" s="1" t="n">
        <f aca="false">SQRT(VAR($C$336:$C$366)/COUNT($C$336:$C$366))</f>
        <v>953.868285002756</v>
      </c>
      <c r="M338" s="1" t="n">
        <f aca="false">SQRT(VAR($E$336:$E$366)/COUNT($E$336:$E$366))</f>
        <v>38.8144522003964</v>
      </c>
      <c r="N338" s="1" t="n">
        <f aca="false">SQRT(VAR($G$336:$G$366)/COUNT($G$336:$G$366))</f>
        <v>0.68672577861848</v>
      </c>
      <c r="O338" s="1" t="n">
        <f aca="false">SQRT(VAR($I$336:$I$366)/COUNT($I$336:$I$366))</f>
        <v>8.89146993178815</v>
      </c>
    </row>
    <row r="339" customFormat="false" ht="13.8" hidden="false" customHeight="false" outlineLevel="0" collapsed="false">
      <c r="A339" s="20" t="n">
        <v>338</v>
      </c>
      <c r="B339" s="21" t="n">
        <v>43803</v>
      </c>
      <c r="C339" s="22" t="n">
        <v>9933</v>
      </c>
      <c r="D339" s="22" t="n">
        <f aca="false">Table134[[#This Row],[Steps]]-C338</f>
        <v>-1085</v>
      </c>
      <c r="E339" s="23" t="n">
        <v>408.6</v>
      </c>
      <c r="F339" s="23" t="n">
        <f aca="false">Table134[[#This Row],[Colories]]-E338</f>
        <v>-41</v>
      </c>
      <c r="G339" s="6" t="n">
        <v>7.15</v>
      </c>
      <c r="H339" s="24" t="n">
        <f aca="false">Table134[[#This Row],[Distance]]-G338</f>
        <v>-0.779999999999999</v>
      </c>
      <c r="I339" s="22" t="n">
        <v>96</v>
      </c>
      <c r="J339" s="25" t="n">
        <f aca="false">Table134[[#This Row],[Time]]-I338</f>
        <v>-7</v>
      </c>
      <c r="K339" s="1" t="s">
        <v>14</v>
      </c>
      <c r="L339" s="1" t="e">
        <f aca="false">MODE($C$336:$C$366)</f>
        <v>#VALUE!</v>
      </c>
      <c r="M339" s="1" t="e">
        <f aca="false">MODE($E$336:$E$366)</f>
        <v>#VALUE!</v>
      </c>
      <c r="N339" s="1" t="n">
        <f aca="false">MODE($G$336:$G$366)</f>
        <v>7.93</v>
      </c>
      <c r="O339" s="1" t="n">
        <f aca="false">MODE($I$336:$I$366)</f>
        <v>96</v>
      </c>
    </row>
    <row r="340" customFormat="false" ht="13.8" hidden="false" customHeight="false" outlineLevel="0" collapsed="false">
      <c r="A340" s="20" t="n">
        <v>339</v>
      </c>
      <c r="B340" s="21" t="n">
        <v>43804</v>
      </c>
      <c r="C340" s="22" t="n">
        <v>14409</v>
      </c>
      <c r="D340" s="22" t="n">
        <f aca="false">Table134[[#This Row],[Steps]]-C339</f>
        <v>4476</v>
      </c>
      <c r="E340" s="23" t="n">
        <v>591.4</v>
      </c>
      <c r="F340" s="23" t="n">
        <f aca="false">Table134[[#This Row],[Colories]]-E339</f>
        <v>182.8</v>
      </c>
      <c r="G340" s="6" t="n">
        <v>10.37</v>
      </c>
      <c r="H340" s="24" t="n">
        <f aca="false">Table134[[#This Row],[Distance]]-G339</f>
        <v>3.22</v>
      </c>
      <c r="I340" s="22" t="n">
        <v>138</v>
      </c>
      <c r="J340" s="25" t="n">
        <f aca="false">Table134[[#This Row],[Time]]-I339</f>
        <v>42</v>
      </c>
      <c r="K340" s="1" t="s">
        <v>12</v>
      </c>
      <c r="L340" s="1" t="n">
        <f aca="false">MEDIAN($C$336:$C$366)</f>
        <v>8171.5</v>
      </c>
      <c r="M340" s="1" t="n">
        <f aca="false">MEDIAN($E$336:$E$366)</f>
        <v>339.55</v>
      </c>
      <c r="N340" s="1" t="n">
        <f aca="false">MEDIAN($G$336:$G$366)</f>
        <v>5.88</v>
      </c>
      <c r="O340" s="1" t="n">
        <f aca="false">MEDIAN($I$336:$I$366)</f>
        <v>80</v>
      </c>
    </row>
    <row r="341" customFormat="false" ht="13.8" hidden="false" customHeight="false" outlineLevel="0" collapsed="false">
      <c r="A341" s="20" t="n">
        <v>340</v>
      </c>
      <c r="B341" s="21" t="n">
        <v>43805</v>
      </c>
      <c r="C341" s="22" t="n">
        <v>11371</v>
      </c>
      <c r="D341" s="22" t="n">
        <f aca="false">Table134[[#This Row],[Steps]]-C340</f>
        <v>-3038</v>
      </c>
      <c r="E341" s="23" t="n">
        <v>467.3</v>
      </c>
      <c r="F341" s="23" t="n">
        <f aca="false">Table134[[#This Row],[Colories]]-E340</f>
        <v>-124.1</v>
      </c>
      <c r="G341" s="6" t="n">
        <v>8.19</v>
      </c>
      <c r="H341" s="24" t="n">
        <f aca="false">Table134[[#This Row],[Distance]]-G340</f>
        <v>-2.18</v>
      </c>
      <c r="I341" s="22" t="n">
        <v>109</v>
      </c>
      <c r="J341" s="25" t="n">
        <f aca="false">Table134[[#This Row],[Time]]-I340</f>
        <v>-29</v>
      </c>
      <c r="K341" s="1" t="s">
        <v>180</v>
      </c>
      <c r="L341" s="1" t="n">
        <f aca="false">QUARTILE($C$336:$C$366, 1)</f>
        <v>4481.5</v>
      </c>
      <c r="M341" s="1" t="n">
        <f aca="false">QUARTILE($E$336:$E$366, 1)</f>
        <v>187.75</v>
      </c>
      <c r="N341" s="1" t="n">
        <f aca="false">QUARTILE($G$336:$G$366, 1)</f>
        <v>3.2275</v>
      </c>
      <c r="O341" s="1" t="n">
        <f aca="false">QUARTILE($I$336:$I$366, 1)</f>
        <v>45</v>
      </c>
    </row>
    <row r="342" customFormat="false" ht="13.8" hidden="false" customHeight="false" outlineLevel="0" collapsed="false">
      <c r="A342" s="20" t="n">
        <v>341</v>
      </c>
      <c r="B342" s="21" t="n">
        <v>43806</v>
      </c>
      <c r="C342" s="22" t="n">
        <v>4844</v>
      </c>
      <c r="D342" s="22" t="n">
        <f aca="false">Table134[[#This Row],[Steps]]-C341</f>
        <v>-6527</v>
      </c>
      <c r="E342" s="23" t="n">
        <v>216</v>
      </c>
      <c r="F342" s="23" t="n">
        <f aca="false">Table134[[#This Row],[Colories]]-E341</f>
        <v>-251.3</v>
      </c>
      <c r="G342" s="6" t="n">
        <v>3.49</v>
      </c>
      <c r="H342" s="24" t="n">
        <f aca="false">Table134[[#This Row],[Distance]]-G341</f>
        <v>-4.7</v>
      </c>
      <c r="I342" s="22" t="n">
        <v>57</v>
      </c>
      <c r="J342" s="25" t="n">
        <f aca="false">Table134[[#This Row],[Time]]-I341</f>
        <v>-52</v>
      </c>
      <c r="K342" s="1" t="s">
        <v>181</v>
      </c>
      <c r="L342" s="1" t="n">
        <f aca="false">QUARTILE($C$336:$C$366, 3)</f>
        <v>12957.25</v>
      </c>
      <c r="M342" s="1" t="n">
        <f aca="false">QUARTILE($E$336:$E$366, 3)</f>
        <v>528.525</v>
      </c>
      <c r="N342" s="1" t="n">
        <f aca="false">QUARTILE($G$336:$G$366, 3)</f>
        <v>9.33</v>
      </c>
      <c r="O342" s="1" t="n">
        <f aca="false">QUARTILE($I$336:$I$366, 3)</f>
        <v>120.5</v>
      </c>
    </row>
    <row r="343" customFormat="false" ht="13.8" hidden="false" customHeight="false" outlineLevel="0" collapsed="false">
      <c r="A343" s="20" t="n">
        <v>342</v>
      </c>
      <c r="B343" s="21" t="n">
        <v>43807</v>
      </c>
      <c r="C343" s="22" t="n">
        <v>4519</v>
      </c>
      <c r="D343" s="22" t="n">
        <f aca="false">Table134[[#This Row],[Steps]]-C342</f>
        <v>-325</v>
      </c>
      <c r="E343" s="23" t="n">
        <v>193</v>
      </c>
      <c r="F343" s="23" t="n">
        <f aca="false">Table134[[#This Row],[Colories]]-E342</f>
        <v>-23</v>
      </c>
      <c r="G343" s="6" t="n">
        <v>3.25</v>
      </c>
      <c r="H343" s="24" t="n">
        <f aca="false">Table134[[#This Row],[Distance]]-G342</f>
        <v>-0.24</v>
      </c>
      <c r="I343" s="22" t="n">
        <v>48</v>
      </c>
      <c r="J343" s="25" t="n">
        <f aca="false">Table134[[#This Row],[Time]]-I342</f>
        <v>-9</v>
      </c>
      <c r="K343" s="1" t="s">
        <v>182</v>
      </c>
      <c r="L343" s="1" t="n">
        <f aca="false">VAR($C$336:$C$366)</f>
        <v>27295941.154023</v>
      </c>
      <c r="M343" s="1" t="n">
        <f aca="false">VAR($E$336:$E$366)</f>
        <v>45196.8509885058</v>
      </c>
      <c r="N343" s="1" t="n">
        <f aca="false">VAR($G$336:$G$366)</f>
        <v>14.1477688505747</v>
      </c>
      <c r="O343" s="1" t="n">
        <f aca="false">VAR($I$336:$I$366)</f>
        <v>2371.74712643678</v>
      </c>
    </row>
    <row r="344" customFormat="false" ht="13.8" hidden="false" customHeight="false" outlineLevel="0" collapsed="false">
      <c r="A344" s="20" t="n">
        <v>343</v>
      </c>
      <c r="B344" s="21" t="n">
        <v>43808</v>
      </c>
      <c r="C344" s="22" t="n">
        <v>16124</v>
      </c>
      <c r="D344" s="22" t="n">
        <f aca="false">Table134[[#This Row],[Steps]]-C343</f>
        <v>11605</v>
      </c>
      <c r="E344" s="23" t="n">
        <v>659.5</v>
      </c>
      <c r="F344" s="23" t="n">
        <f aca="false">Table134[[#This Row],[Colories]]-E343</f>
        <v>466.5</v>
      </c>
      <c r="G344" s="6" t="n">
        <v>11.61</v>
      </c>
      <c r="H344" s="24" t="n">
        <f aca="false">Table134[[#This Row],[Distance]]-G343</f>
        <v>8.36</v>
      </c>
      <c r="I344" s="22" t="n">
        <v>153</v>
      </c>
      <c r="J344" s="25" t="n">
        <f aca="false">Table134[[#This Row],[Time]]-I343</f>
        <v>105</v>
      </c>
      <c r="K344" s="1" t="s">
        <v>16</v>
      </c>
      <c r="L344" s="1" t="n">
        <f aca="false">STDEV($C$336:$C$366)</f>
        <v>5224.55176584776</v>
      </c>
      <c r="M344" s="1" t="n">
        <f aca="false">STDEV($E$336:$E$366)</f>
        <v>212.595510273631</v>
      </c>
      <c r="N344" s="1" t="n">
        <f aca="false">STDEV($G$336:$G$366)</f>
        <v>3.7613519976964</v>
      </c>
      <c r="O344" s="1" t="n">
        <f aca="false">STDEV($I$336:$I$366)</f>
        <v>48.7005865101929</v>
      </c>
    </row>
    <row r="345" customFormat="false" ht="13.8" hidden="false" customHeight="false" outlineLevel="0" collapsed="false">
      <c r="A345" s="20" t="n">
        <v>344</v>
      </c>
      <c r="B345" s="21" t="n">
        <v>43809</v>
      </c>
      <c r="C345" s="22" t="n">
        <v>7112</v>
      </c>
      <c r="D345" s="22" t="n">
        <f aca="false">Table134[[#This Row],[Steps]]-C344</f>
        <v>-9012</v>
      </c>
      <c r="E345" s="23" t="n">
        <v>293.1</v>
      </c>
      <c r="F345" s="23" t="n">
        <f aca="false">Table134[[#This Row],[Colories]]-E344</f>
        <v>-366.4</v>
      </c>
      <c r="G345" s="6" t="n">
        <v>5.12</v>
      </c>
      <c r="H345" s="24" t="n">
        <f aca="false">Table134[[#This Row],[Distance]]-G344</f>
        <v>-6.49</v>
      </c>
      <c r="I345" s="22" t="n">
        <v>69</v>
      </c>
      <c r="J345" s="25" t="n">
        <f aca="false">Table134[[#This Row],[Time]]-I344</f>
        <v>-84</v>
      </c>
      <c r="K345" s="1" t="s">
        <v>20</v>
      </c>
      <c r="L345" s="1" t="n">
        <f aca="false">KURT($C$336:$C$366)</f>
        <v>-1.1469466333491</v>
      </c>
      <c r="M345" s="1" t="n">
        <f aca="false">KURT($E$336:$E$366)</f>
        <v>-1.11719279355518</v>
      </c>
      <c r="N345" s="1" t="n">
        <f aca="false">KURT($G$336:$G$366)</f>
        <v>-1.14654373176295</v>
      </c>
      <c r="O345" s="1" t="n">
        <f aca="false">KURT($I$336:$I$366)</f>
        <v>-1.05028146849001</v>
      </c>
    </row>
    <row r="346" customFormat="false" ht="13.8" hidden="false" customHeight="false" outlineLevel="0" collapsed="false">
      <c r="A346" s="20" t="n">
        <v>345</v>
      </c>
      <c r="B346" s="21" t="n">
        <v>43810</v>
      </c>
      <c r="C346" s="22" t="n">
        <v>6992</v>
      </c>
      <c r="D346" s="22" t="n">
        <f aca="false">Table134[[#This Row],[Steps]]-C345</f>
        <v>-120</v>
      </c>
      <c r="E346" s="23" t="n">
        <v>286.2</v>
      </c>
      <c r="F346" s="23" t="n">
        <f aca="false">Table134[[#This Row],[Colories]]-E345</f>
        <v>-6.90000000000003</v>
      </c>
      <c r="G346" s="6" t="n">
        <v>5.03</v>
      </c>
      <c r="H346" s="24" t="n">
        <f aca="false">Table134[[#This Row],[Distance]]-G345</f>
        <v>-0.0899999999999999</v>
      </c>
      <c r="I346" s="22" t="n">
        <v>66</v>
      </c>
      <c r="J346" s="25" t="n">
        <f aca="false">Table134[[#This Row],[Time]]-I345</f>
        <v>-3</v>
      </c>
      <c r="K346" s="1" t="s">
        <v>22</v>
      </c>
      <c r="L346" s="1" t="n">
        <f aca="false">SKEW($C$336:$C$366)</f>
        <v>-0.0410377433934964</v>
      </c>
      <c r="M346" s="1" t="n">
        <f aca="false">SKEW($E$336:$E$366)</f>
        <v>-0.0535091950585035</v>
      </c>
      <c r="N346" s="1" t="n">
        <f aca="false">SKEW($G$336:$G$366)</f>
        <v>-0.0411793801864864</v>
      </c>
      <c r="O346" s="1" t="n">
        <f aca="false">SKEW($I$336:$I$366)</f>
        <v>-0.0774020552872298</v>
      </c>
    </row>
    <row r="347" customFormat="false" ht="13.8" hidden="false" customHeight="false" outlineLevel="0" collapsed="false">
      <c r="A347" s="20" t="n">
        <v>346</v>
      </c>
      <c r="B347" s="21" t="n">
        <v>43811</v>
      </c>
      <c r="C347" s="22" t="n">
        <v>17434</v>
      </c>
      <c r="D347" s="22" t="n">
        <f aca="false">Table134[[#This Row],[Steps]]-C346</f>
        <v>10442</v>
      </c>
      <c r="E347" s="23" t="n">
        <v>715.4</v>
      </c>
      <c r="F347" s="23" t="n">
        <f aca="false">Table134[[#This Row],[Colories]]-E346</f>
        <v>429.2</v>
      </c>
      <c r="G347" s="6" t="n">
        <v>12.55</v>
      </c>
      <c r="H347" s="24" t="n">
        <f aca="false">Table134[[#This Row],[Distance]]-G346</f>
        <v>7.52</v>
      </c>
      <c r="I347" s="22" t="n">
        <v>166</v>
      </c>
      <c r="J347" s="25" t="n">
        <f aca="false">Table134[[#This Row],[Time]]-I346</f>
        <v>100</v>
      </c>
      <c r="K347" s="1" t="s">
        <v>24</v>
      </c>
      <c r="L347" s="1" t="n">
        <f aca="false">MAX($C$336:$C$366)-MIN($C$336:$C$366)</f>
        <v>17392</v>
      </c>
      <c r="M347" s="1" t="n">
        <f aca="false">MAX($E$336:$E$366)-MIN($E$336:$E$366)</f>
        <v>713.6</v>
      </c>
      <c r="N347" s="1" t="n">
        <f aca="false">MAX($G$336:$G$366)-MIN($G$336:$G$366)</f>
        <v>12.52</v>
      </c>
      <c r="O347" s="1" t="n">
        <f aca="false">MAX($I$336:$I$366)-MIN($I$336:$I$366)</f>
        <v>166</v>
      </c>
    </row>
    <row r="348" customFormat="false" ht="13.8" hidden="false" customHeight="false" outlineLevel="0" collapsed="false">
      <c r="A348" s="20" t="n">
        <v>347</v>
      </c>
      <c r="B348" s="21" t="n">
        <v>43812</v>
      </c>
      <c r="C348" s="22" t="n">
        <v>13486</v>
      </c>
      <c r="D348" s="22" t="n">
        <f aca="false">Table134[[#This Row],[Steps]]-C347</f>
        <v>-3948</v>
      </c>
      <c r="E348" s="23" t="n">
        <v>548.4</v>
      </c>
      <c r="F348" s="23" t="n">
        <f aca="false">Table134[[#This Row],[Colories]]-E347</f>
        <v>-167</v>
      </c>
      <c r="G348" s="6" t="n">
        <v>9.71</v>
      </c>
      <c r="H348" s="24" t="n">
        <f aca="false">Table134[[#This Row],[Distance]]-G347</f>
        <v>-2.84</v>
      </c>
      <c r="I348" s="22" t="n">
        <v>124</v>
      </c>
      <c r="J348" s="25" t="n">
        <f aca="false">Table134[[#This Row],[Time]]-I347</f>
        <v>-42</v>
      </c>
      <c r="K348" s="1" t="s">
        <v>26</v>
      </c>
      <c r="L348" s="1" t="n">
        <f aca="false">MIN($C$336:$C$366)</f>
        <v>42</v>
      </c>
      <c r="M348" s="1" t="n">
        <f aca="false">MIN($E$336:$E$366)</f>
        <v>1.8</v>
      </c>
      <c r="N348" s="1" t="n">
        <f aca="false">MIN($G$336:$G$366)</f>
        <v>0.03</v>
      </c>
      <c r="O348" s="1" t="n">
        <f aca="false">MIN($I$336:$I$366)</f>
        <v>0</v>
      </c>
    </row>
    <row r="349" customFormat="false" ht="13.8" hidden="false" customHeight="false" outlineLevel="0" collapsed="false">
      <c r="A349" s="20" t="n">
        <v>348</v>
      </c>
      <c r="B349" s="21" t="n">
        <v>43813</v>
      </c>
      <c r="C349" s="22" t="n">
        <v>11339</v>
      </c>
      <c r="D349" s="22" t="n">
        <f aca="false">Table134[[#This Row],[Steps]]-C348</f>
        <v>-2147</v>
      </c>
      <c r="E349" s="23" t="n">
        <v>468.9</v>
      </c>
      <c r="F349" s="23" t="n">
        <f aca="false">Table134[[#This Row],[Colories]]-E348</f>
        <v>-79.5</v>
      </c>
      <c r="G349" s="6" t="n">
        <v>8.16</v>
      </c>
      <c r="H349" s="24" t="n">
        <f aca="false">Table134[[#This Row],[Distance]]-G348</f>
        <v>-1.55</v>
      </c>
      <c r="I349" s="22" t="n">
        <v>110</v>
      </c>
      <c r="J349" s="25" t="n">
        <f aca="false">Table134[[#This Row],[Time]]-I348</f>
        <v>-14</v>
      </c>
      <c r="K349" s="1" t="s">
        <v>28</v>
      </c>
      <c r="L349" s="1" t="n">
        <f aca="false">MAX($C$336:$C$366)</f>
        <v>17434</v>
      </c>
      <c r="M349" s="1" t="n">
        <f aca="false">MAX($E$336:$E$366)</f>
        <v>715.4</v>
      </c>
      <c r="N349" s="1" t="n">
        <f aca="false">MAX($G$336:$G$366)</f>
        <v>12.55</v>
      </c>
      <c r="O349" s="1" t="n">
        <f aca="false">MAX($I$336:$I$366)</f>
        <v>166</v>
      </c>
    </row>
    <row r="350" customFormat="false" ht="13.8" hidden="false" customHeight="false" outlineLevel="0" collapsed="false">
      <c r="A350" s="20" t="n">
        <v>349</v>
      </c>
      <c r="B350" s="21" t="n">
        <v>43814</v>
      </c>
      <c r="C350" s="22" t="n">
        <v>5735</v>
      </c>
      <c r="D350" s="22" t="n">
        <f aca="false">Table134[[#This Row],[Steps]]-C349</f>
        <v>-5604</v>
      </c>
      <c r="E350" s="23" t="n">
        <v>232.8</v>
      </c>
      <c r="F350" s="23" t="n">
        <f aca="false">Table134[[#This Row],[Colories]]-E349</f>
        <v>-236.1</v>
      </c>
      <c r="G350" s="6" t="n">
        <v>4.13</v>
      </c>
      <c r="H350" s="24" t="n">
        <f aca="false">Table134[[#This Row],[Distance]]-G349</f>
        <v>-4.03</v>
      </c>
      <c r="I350" s="22" t="n">
        <v>52</v>
      </c>
      <c r="J350" s="25" t="n">
        <f aca="false">Table134[[#This Row],[Time]]-I349</f>
        <v>-58</v>
      </c>
      <c r="K350" s="1" t="s">
        <v>30</v>
      </c>
      <c r="L350" s="1" t="n">
        <f aca="false">SUM($C$336:$C$366)</f>
        <v>248936</v>
      </c>
      <c r="M350" s="1" t="n">
        <f aca="false">SUM($E$336:$E$366)</f>
        <v>10290.2</v>
      </c>
      <c r="N350" s="1" t="n">
        <f aca="false">SUM($G$336:$G$366)</f>
        <v>179.21</v>
      </c>
      <c r="O350" s="1" t="n">
        <f aca="false">SUM($I$336:$I$366)</f>
        <v>2410</v>
      </c>
    </row>
    <row r="351" customFormat="false" ht="13.8" hidden="false" customHeight="false" outlineLevel="0" collapsed="false">
      <c r="A351" s="20" t="n">
        <v>350</v>
      </c>
      <c r="B351" s="21" t="n">
        <v>43815</v>
      </c>
      <c r="C351" s="22" t="n">
        <v>7631</v>
      </c>
      <c r="D351" s="22" t="n">
        <f aca="false">Table134[[#This Row],[Steps]]-C350</f>
        <v>1896</v>
      </c>
      <c r="E351" s="23" t="n">
        <v>317.8</v>
      </c>
      <c r="F351" s="23" t="n">
        <f aca="false">Table134[[#This Row],[Colories]]-E350</f>
        <v>85</v>
      </c>
      <c r="G351" s="6" t="n">
        <v>5.49</v>
      </c>
      <c r="H351" s="24" t="n">
        <f aca="false">Table134[[#This Row],[Distance]]-G350</f>
        <v>1.36</v>
      </c>
      <c r="I351" s="22" t="n">
        <v>75</v>
      </c>
      <c r="J351" s="25" t="n">
        <f aca="false">Table134[[#This Row],[Time]]-I350</f>
        <v>23</v>
      </c>
      <c r="K351" s="1" t="s">
        <v>32</v>
      </c>
      <c r="L351" s="1" t="n">
        <f aca="false">COUNT($C$336:$C$366)</f>
        <v>30</v>
      </c>
      <c r="M351" s="1" t="n">
        <f aca="false">COUNT($E$336:$E$366)</f>
        <v>30</v>
      </c>
      <c r="N351" s="1" t="n">
        <f aca="false">COUNT($G$336:$G$366)</f>
        <v>30</v>
      </c>
      <c r="O351" s="1" t="n">
        <f aca="false">COUNT($I$336:$I$366)</f>
        <v>30</v>
      </c>
    </row>
    <row r="352" customFormat="false" ht="13.8" hidden="false" customHeight="false" outlineLevel="0" collapsed="false">
      <c r="A352" s="20" t="n">
        <v>351</v>
      </c>
      <c r="B352" s="21" t="n">
        <v>43816</v>
      </c>
      <c r="C352" s="22" t="n">
        <v>8712</v>
      </c>
      <c r="D352" s="22" t="n">
        <f aca="false">Table134[[#This Row],[Steps]]-C351</f>
        <v>1081</v>
      </c>
      <c r="E352" s="23" t="n">
        <v>361.3</v>
      </c>
      <c r="F352" s="23" t="n">
        <f aca="false">Table134[[#This Row],[Colories]]-E351</f>
        <v>43.5</v>
      </c>
      <c r="G352" s="6" t="n">
        <v>6.27</v>
      </c>
      <c r="H352" s="24" t="n">
        <f aca="false">Table134[[#This Row],[Distance]]-G351</f>
        <v>0.779999999999999</v>
      </c>
      <c r="I352" s="22" t="n">
        <v>85</v>
      </c>
      <c r="J352" s="25" t="n">
        <f aca="false">Table134[[#This Row],[Time]]-I351</f>
        <v>10</v>
      </c>
    </row>
    <row r="353" customFormat="false" ht="13.8" hidden="false" customHeight="false" outlineLevel="0" collapsed="false">
      <c r="A353" s="20" t="n">
        <v>352</v>
      </c>
      <c r="B353" s="21" t="n">
        <v>43817</v>
      </c>
      <c r="C353" s="22" t="n">
        <v>13851</v>
      </c>
      <c r="D353" s="22" t="n">
        <f aca="false">Table134[[#This Row],[Steps]]-C352</f>
        <v>5139</v>
      </c>
      <c r="E353" s="23" t="n">
        <v>560.3</v>
      </c>
      <c r="F353" s="23" t="n">
        <f aca="false">Table134[[#This Row],[Colories]]-E352</f>
        <v>199</v>
      </c>
      <c r="G353" s="6" t="n">
        <v>9.97</v>
      </c>
      <c r="H353" s="24" t="n">
        <f aca="false">Table134[[#This Row],[Distance]]-G352</f>
        <v>3.7</v>
      </c>
      <c r="I353" s="22" t="n">
        <v>126</v>
      </c>
      <c r="J353" s="25" t="n">
        <f aca="false">Table134[[#This Row],[Time]]-I352</f>
        <v>41</v>
      </c>
    </row>
    <row r="354" customFormat="false" ht="13.8" hidden="false" customHeight="false" outlineLevel="0" collapsed="false">
      <c r="A354" s="20" t="n">
        <v>353</v>
      </c>
      <c r="B354" s="21" t="n">
        <v>43818</v>
      </c>
      <c r="C354" s="22" t="n">
        <v>4469</v>
      </c>
      <c r="D354" s="22" t="n">
        <f aca="false">Table134[[#This Row],[Steps]]-C353</f>
        <v>-9382</v>
      </c>
      <c r="E354" s="23" t="n">
        <v>186</v>
      </c>
      <c r="F354" s="23" t="n">
        <f aca="false">Table134[[#This Row],[Colories]]-E353</f>
        <v>-374.3</v>
      </c>
      <c r="G354" s="6" t="n">
        <v>3.22</v>
      </c>
      <c r="H354" s="24" t="n">
        <f aca="false">Table134[[#This Row],[Distance]]-G353</f>
        <v>-6.75</v>
      </c>
      <c r="I354" s="22" t="n">
        <v>44</v>
      </c>
      <c r="J354" s="25" t="n">
        <f aca="false">Table134[[#This Row],[Time]]-I353</f>
        <v>-82</v>
      </c>
    </row>
    <row r="355" customFormat="false" ht="13.8" hidden="false" customHeight="false" outlineLevel="0" collapsed="false">
      <c r="A355" s="20" t="n">
        <v>354</v>
      </c>
      <c r="B355" s="21" t="n">
        <v>43819</v>
      </c>
      <c r="C355" s="22" t="n">
        <v>128</v>
      </c>
      <c r="D355" s="22" t="n">
        <f aca="false">Table134[[#This Row],[Steps]]-C354</f>
        <v>-4341</v>
      </c>
      <c r="E355" s="23" t="n">
        <v>5.2</v>
      </c>
      <c r="F355" s="23" t="n">
        <f aca="false">Table134[[#This Row],[Colories]]-E354</f>
        <v>-180.8</v>
      </c>
      <c r="G355" s="6" t="n">
        <v>0.09</v>
      </c>
      <c r="H355" s="24" t="n">
        <f aca="false">Table134[[#This Row],[Distance]]-G354</f>
        <v>-3.13</v>
      </c>
      <c r="I355" s="22" t="n">
        <v>1</v>
      </c>
      <c r="J355" s="25" t="n">
        <f aca="false">Table134[[#This Row],[Time]]-I354</f>
        <v>-43</v>
      </c>
    </row>
    <row r="356" customFormat="false" ht="13.8" hidden="false" customHeight="false" outlineLevel="0" collapsed="false">
      <c r="A356" s="20" t="n">
        <v>355</v>
      </c>
      <c r="B356" s="21" t="n">
        <v>43820</v>
      </c>
      <c r="C356" s="22" t="n">
        <v>7040</v>
      </c>
      <c r="D356" s="22" t="n">
        <f aca="false">Table134[[#This Row],[Steps]]-C355</f>
        <v>6912</v>
      </c>
      <c r="E356" s="23" t="n">
        <v>293.5</v>
      </c>
      <c r="F356" s="23" t="n">
        <f aca="false">Table134[[#This Row],[Colories]]-E355</f>
        <v>288.3</v>
      </c>
      <c r="G356" s="6" t="n">
        <v>5.07</v>
      </c>
      <c r="H356" s="24" t="n">
        <f aca="false">Table134[[#This Row],[Distance]]-G355</f>
        <v>4.98</v>
      </c>
      <c r="I356" s="22" t="n">
        <v>70</v>
      </c>
      <c r="J356" s="25" t="n">
        <f aca="false">Table134[[#This Row],[Time]]-I355</f>
        <v>69</v>
      </c>
    </row>
    <row r="357" customFormat="false" ht="13.8" hidden="false" customHeight="false" outlineLevel="0" collapsed="false">
      <c r="A357" s="20" t="n">
        <v>356</v>
      </c>
      <c r="B357" s="21" t="n">
        <v>43821</v>
      </c>
      <c r="C357" s="22" t="n">
        <v>9407</v>
      </c>
      <c r="D357" s="22" t="n">
        <f aca="false">Table134[[#This Row],[Steps]]-C356</f>
        <v>2367</v>
      </c>
      <c r="E357" s="23" t="n">
        <v>394.5</v>
      </c>
      <c r="F357" s="23" t="n">
        <f aca="false">Table134[[#This Row],[Colories]]-E356</f>
        <v>101</v>
      </c>
      <c r="G357" s="6" t="n">
        <v>6.77</v>
      </c>
      <c r="H357" s="24" t="n">
        <f aca="false">Table134[[#This Row],[Distance]]-G356</f>
        <v>1.7</v>
      </c>
      <c r="I357" s="22" t="n">
        <v>96</v>
      </c>
      <c r="J357" s="25" t="n">
        <f aca="false">Table134[[#This Row],[Time]]-I356</f>
        <v>26</v>
      </c>
    </row>
    <row r="358" customFormat="false" ht="13.8" hidden="false" customHeight="false" outlineLevel="0" collapsed="false">
      <c r="A358" s="20" t="n">
        <v>357</v>
      </c>
      <c r="B358" s="21" t="n">
        <v>43822</v>
      </c>
      <c r="C358" s="22" t="n">
        <v>2733</v>
      </c>
      <c r="D358" s="22" t="n">
        <f aca="false">Table134[[#This Row],[Steps]]-C357</f>
        <v>-6674</v>
      </c>
      <c r="E358" s="23" t="n">
        <v>115</v>
      </c>
      <c r="F358" s="23" t="n">
        <f aca="false">Table134[[#This Row],[Colories]]-E357</f>
        <v>-279.5</v>
      </c>
      <c r="G358" s="6" t="n">
        <v>1.97</v>
      </c>
      <c r="H358" s="24" t="n">
        <f aca="false">Table134[[#This Row],[Distance]]-G357</f>
        <v>-4.8</v>
      </c>
      <c r="I358" s="22" t="n">
        <v>28</v>
      </c>
      <c r="J358" s="25" t="n">
        <f aca="false">Table134[[#This Row],[Time]]-I357</f>
        <v>-68</v>
      </c>
    </row>
    <row r="359" customFormat="false" ht="13.8" hidden="false" customHeight="false" outlineLevel="0" collapsed="false">
      <c r="A359" s="20" t="n">
        <v>358</v>
      </c>
      <c r="B359" s="21" t="n">
        <v>43823</v>
      </c>
      <c r="J359" s="25" t="n">
        <f aca="false">Table134[[#This Row],[Time]]-I358</f>
        <v>-28</v>
      </c>
    </row>
    <row r="360" customFormat="false" ht="13.8" hidden="false" customHeight="false" outlineLevel="0" collapsed="false">
      <c r="A360" s="20" t="n">
        <v>359</v>
      </c>
      <c r="B360" s="21" t="n">
        <v>43824</v>
      </c>
      <c r="C360" s="22" t="n">
        <v>42</v>
      </c>
      <c r="D360" s="22" t="n">
        <f aca="false">Table134[[#This Row],[Steps]]-C358</f>
        <v>-2691</v>
      </c>
      <c r="E360" s="23" t="n">
        <v>1.8</v>
      </c>
      <c r="F360" s="23" t="n">
        <f aca="false">Table134[[#This Row],[Colories]]-E358</f>
        <v>-113.2</v>
      </c>
      <c r="G360" s="6" t="n">
        <v>0.03</v>
      </c>
      <c r="H360" s="24" t="n">
        <f aca="false">Table134[[#This Row],[Distance]]-G358</f>
        <v>-1.94</v>
      </c>
      <c r="I360" s="22" t="n">
        <v>0</v>
      </c>
      <c r="J360" s="25" t="n">
        <f aca="false">Table134[[#This Row],[Time]]-I360</f>
        <v>0</v>
      </c>
    </row>
    <row r="361" customFormat="false" ht="13.8" hidden="false" customHeight="false" outlineLevel="0" collapsed="false">
      <c r="A361" s="20" t="n">
        <v>360</v>
      </c>
      <c r="B361" s="21" t="n">
        <v>43825</v>
      </c>
      <c r="C361" s="22" t="n">
        <v>312</v>
      </c>
      <c r="D361" s="22" t="n">
        <f aca="false">Table134[[#This Row],[Steps]]-C360</f>
        <v>270</v>
      </c>
      <c r="E361" s="23" t="n">
        <v>14.7</v>
      </c>
      <c r="F361" s="23" t="n">
        <f aca="false">Table134[[#This Row],[Colories]]-E360</f>
        <v>12.9</v>
      </c>
      <c r="G361" s="6" t="n">
        <v>0.22</v>
      </c>
      <c r="H361" s="24" t="n">
        <f aca="false">Table134[[#This Row],[Distance]]-G360</f>
        <v>0.19</v>
      </c>
      <c r="I361" s="22" t="n">
        <v>4</v>
      </c>
      <c r="J361" s="25" t="n">
        <f aca="false">Table134[[#This Row],[Time]]-I361</f>
        <v>0</v>
      </c>
    </row>
    <row r="362" customFormat="false" ht="13.8" hidden="false" customHeight="false" outlineLevel="0" collapsed="false">
      <c r="A362" s="20" t="n">
        <v>361</v>
      </c>
      <c r="B362" s="21" t="n">
        <v>43826</v>
      </c>
      <c r="C362" s="22" t="n">
        <v>1407</v>
      </c>
      <c r="D362" s="22" t="n">
        <f aca="false">Table134[[#This Row],[Steps]]-C361</f>
        <v>1095</v>
      </c>
      <c r="E362" s="23" t="n">
        <v>66.4</v>
      </c>
      <c r="F362" s="23" t="n">
        <f aca="false">Table134[[#This Row],[Colories]]-E361</f>
        <v>51.7</v>
      </c>
      <c r="G362" s="6" t="n">
        <v>1.01</v>
      </c>
      <c r="H362" s="24" t="n">
        <f aca="false">Table134[[#This Row],[Distance]]-G361</f>
        <v>0.79</v>
      </c>
      <c r="I362" s="22" t="n">
        <v>18</v>
      </c>
      <c r="J362" s="25" t="n">
        <f aca="false">Table134[[#This Row],[Time]]-I361</f>
        <v>14</v>
      </c>
    </row>
    <row r="363" customFormat="false" ht="13.8" hidden="false" customHeight="false" outlineLevel="0" collapsed="false">
      <c r="A363" s="20" t="n">
        <v>362</v>
      </c>
      <c r="B363" s="21" t="n">
        <v>43827</v>
      </c>
      <c r="C363" s="22" t="n">
        <v>13680</v>
      </c>
      <c r="D363" s="22" t="n">
        <f aca="false">Table134[[#This Row],[Steps]]-C362</f>
        <v>12273</v>
      </c>
      <c r="E363" s="23" t="n">
        <v>555.8</v>
      </c>
      <c r="F363" s="23" t="n">
        <f aca="false">Table134[[#This Row],[Colories]]-E362</f>
        <v>489.4</v>
      </c>
      <c r="G363" s="6" t="n">
        <v>9.85</v>
      </c>
      <c r="H363" s="24" t="n">
        <f aca="false">Table134[[#This Row],[Distance]]-G362</f>
        <v>8.84</v>
      </c>
      <c r="I363" s="22" t="n">
        <v>127</v>
      </c>
      <c r="J363" s="25" t="n">
        <f aca="false">Table134[[#This Row],[Time]]-I362</f>
        <v>109</v>
      </c>
    </row>
    <row r="364" customFormat="false" ht="13.8" hidden="false" customHeight="false" outlineLevel="0" collapsed="false">
      <c r="A364" s="20" t="n">
        <v>363</v>
      </c>
      <c r="B364" s="21" t="n">
        <v>43828</v>
      </c>
      <c r="C364" s="22" t="n">
        <v>3454</v>
      </c>
      <c r="D364" s="22" t="n">
        <f aca="false">Table134[[#This Row],[Steps]]-C363</f>
        <v>-10226</v>
      </c>
      <c r="E364" s="23" t="n">
        <v>152</v>
      </c>
      <c r="F364" s="23" t="n">
        <f aca="false">Table134[[#This Row],[Colories]]-E363</f>
        <v>-403.8</v>
      </c>
      <c r="G364" s="6" t="n">
        <v>2.49</v>
      </c>
      <c r="H364" s="24" t="n">
        <f aca="false">Table134[[#This Row],[Distance]]-G363</f>
        <v>-7.36</v>
      </c>
      <c r="I364" s="22" t="n">
        <v>39</v>
      </c>
      <c r="J364" s="25" t="n">
        <f aca="false">Table134[[#This Row],[Time]]-I363</f>
        <v>-88</v>
      </c>
    </row>
    <row r="365" customFormat="false" ht="13.8" hidden="false" customHeight="false" outlineLevel="0" collapsed="false">
      <c r="A365" s="20" t="n">
        <v>364</v>
      </c>
      <c r="B365" s="21" t="n">
        <v>43829</v>
      </c>
      <c r="C365" s="22" t="n">
        <v>1314</v>
      </c>
      <c r="D365" s="22" t="n">
        <f aca="false">Table134[[#This Row],[Steps]]-C364</f>
        <v>-2140</v>
      </c>
      <c r="E365" s="23" t="n">
        <v>59.1</v>
      </c>
      <c r="F365" s="23" t="n">
        <f aca="false">Table134[[#This Row],[Colories]]-E364</f>
        <v>-92.9</v>
      </c>
      <c r="G365" s="6" t="n">
        <v>0.95</v>
      </c>
      <c r="H365" s="24" t="n">
        <f aca="false">Table134[[#This Row],[Distance]]-G364</f>
        <v>-1.54</v>
      </c>
      <c r="I365" s="22" t="n">
        <v>15</v>
      </c>
      <c r="J365" s="25" t="n">
        <f aca="false">Table134[[#This Row],[Time]]-I364</f>
        <v>-24</v>
      </c>
    </row>
    <row r="366" customFormat="false" ht="13.8" hidden="false" customHeight="false" outlineLevel="0" collapsed="false">
      <c r="A366" s="20" t="n">
        <v>365</v>
      </c>
      <c r="B366" s="21" t="n">
        <v>43830</v>
      </c>
      <c r="C366" s="22" t="n">
        <v>14028</v>
      </c>
      <c r="D366" s="22" t="n">
        <f aca="false">Table134[[#This Row],[Steps]]-C365</f>
        <v>12714</v>
      </c>
      <c r="E366" s="23" t="n">
        <v>586.6</v>
      </c>
      <c r="F366" s="23" t="n">
        <f aca="false">Table134[[#This Row],[Colories]]-E365</f>
        <v>527.5</v>
      </c>
      <c r="G366" s="6" t="n">
        <v>10.1</v>
      </c>
      <c r="H366" s="24" t="n">
        <f aca="false">Table134[[#This Row],[Distance]]-G365</f>
        <v>9.15</v>
      </c>
      <c r="I366" s="22" t="n">
        <v>139</v>
      </c>
      <c r="J366" s="25" t="n">
        <f aca="false">Table134[[#This Row],[Time]]-I365</f>
        <v>124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J1" activeCellId="0" sqref="J1"/>
    </sheetView>
  </sheetViews>
  <sheetFormatPr defaultColWidth="9.18359375" defaultRowHeight="13.8" customHeight="true" zeroHeight="false" outlineLevelRow="0" outlineLevelCol="0"/>
  <cols>
    <col collapsed="false" customWidth="false" hidden="false" outlineLevel="0" max="2" min="2" style="30" width="9.14"/>
  </cols>
  <sheetData>
    <row r="1" customFormat="false" ht="13.8" hidden="false" customHeight="false" outlineLevel="0" collapsed="false">
      <c r="A1" s="1" t="s">
        <v>0</v>
      </c>
      <c r="B1" s="30" t="s">
        <v>1</v>
      </c>
      <c r="C1" s="1" t="s">
        <v>2</v>
      </c>
      <c r="D1" s="1" t="s">
        <v>3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  <c r="J1" s="1" t="s">
        <v>178</v>
      </c>
    </row>
    <row r="2" customFormat="false" ht="13.8" hidden="false" customHeight="false" outlineLevel="0" collapsed="false">
      <c r="A2" s="1" t="n">
        <v>1</v>
      </c>
      <c r="B2" s="30" t="n">
        <v>43831</v>
      </c>
      <c r="C2" s="1" t="n">
        <v>7392</v>
      </c>
      <c r="D2" s="1" t="s">
        <v>194</v>
      </c>
      <c r="E2" s="1" t="n">
        <v>306.4</v>
      </c>
      <c r="F2" s="1" t="s">
        <v>194</v>
      </c>
      <c r="G2" s="1" t="n">
        <v>5.32</v>
      </c>
      <c r="H2" s="1" t="s">
        <v>194</v>
      </c>
      <c r="I2" s="1" t="n">
        <v>73</v>
      </c>
      <c r="J2" s="1" t="s">
        <v>194</v>
      </c>
      <c r="L2" s="1" t="s">
        <v>2</v>
      </c>
      <c r="M2" s="1" t="s">
        <v>173</v>
      </c>
      <c r="N2" s="1" t="s">
        <v>175</v>
      </c>
      <c r="O2" s="1" t="s">
        <v>177</v>
      </c>
    </row>
    <row r="3" customFormat="false" ht="13.8" hidden="false" customHeight="false" outlineLevel="0" collapsed="false">
      <c r="A3" s="1" t="n">
        <v>2</v>
      </c>
      <c r="B3" s="30" t="n">
        <v>43832</v>
      </c>
      <c r="C3" s="1" t="n">
        <v>3298</v>
      </c>
      <c r="D3" s="1" t="n">
        <f aca="false">C3-C2</f>
        <v>-4094</v>
      </c>
      <c r="E3" s="1" t="n">
        <v>137.5</v>
      </c>
      <c r="F3" s="1" t="n">
        <f aca="false">E3-E2</f>
        <v>-168.9</v>
      </c>
      <c r="G3" s="1" t="n">
        <v>2.37</v>
      </c>
      <c r="H3" s="1" t="n">
        <f aca="false">G3-G2</f>
        <v>-2.95</v>
      </c>
      <c r="I3" s="1" t="n">
        <v>32</v>
      </c>
      <c r="J3" s="1" t="n">
        <f aca="false">I3-I2</f>
        <v>-41</v>
      </c>
      <c r="K3" s="1" t="s">
        <v>8</v>
      </c>
      <c r="L3" s="1" t="n">
        <f aca="false">AVERAGE($C$2:$C$32)</f>
        <v>7946.67741935484</v>
      </c>
      <c r="M3" s="1" t="n">
        <f aca="false">AVERAGE($E$1:$E$32)</f>
        <v>329.706451612903</v>
      </c>
      <c r="N3" s="1" t="n">
        <f aca="false">AVERAGE($G$2:$G$32)</f>
        <v>5.72096774193548</v>
      </c>
      <c r="O3" s="1" t="n">
        <f aca="false">AVERAGE($I$2:$I$32)</f>
        <v>77.741935483871</v>
      </c>
    </row>
    <row r="4" customFormat="false" ht="13.8" hidden="false" customHeight="false" outlineLevel="0" collapsed="false">
      <c r="A4" s="1" t="n">
        <v>3</v>
      </c>
      <c r="B4" s="30" t="n">
        <v>43833</v>
      </c>
      <c r="C4" s="1" t="n">
        <v>7385</v>
      </c>
      <c r="D4" s="1" t="n">
        <f aca="false">C4-C3</f>
        <v>4087</v>
      </c>
      <c r="E4" s="1" t="n">
        <v>306.3</v>
      </c>
      <c r="F4" s="1" t="n">
        <f aca="false">E4-E3</f>
        <v>168.8</v>
      </c>
      <c r="G4" s="1" t="n">
        <v>5.32</v>
      </c>
      <c r="H4" s="1" t="n">
        <f aca="false">G4-G3</f>
        <v>2.95</v>
      </c>
      <c r="I4" s="1" t="n">
        <v>73</v>
      </c>
      <c r="J4" s="1" t="n">
        <f aca="false">I4-I3</f>
        <v>41</v>
      </c>
      <c r="K4" s="1" t="s">
        <v>10</v>
      </c>
      <c r="L4" s="1" t="n">
        <f aca="false">SQRT(VAR($C$2:$C$32)/COUNT($C$2:$C$32))</f>
        <v>868.401784254836</v>
      </c>
      <c r="M4" s="1" t="n">
        <f aca="false">SQRT(VAR($E$1:$E$32)/COUNT($E$1:$E$32))</f>
        <v>35.449730555563</v>
      </c>
      <c r="N4" s="1" t="n">
        <f aca="false">SQRT(VAR($G$2:$G$32)/COUNT($G$2:$G$32))</f>
        <v>0.625458172679649</v>
      </c>
      <c r="O4" s="1" t="n">
        <f aca="false">SQRT(VAR($I$2:$I$32)/COUNT($I$2:$I$32))</f>
        <v>8.25402707082323</v>
      </c>
    </row>
    <row r="5" customFormat="false" ht="13.8" hidden="false" customHeight="false" outlineLevel="0" collapsed="false">
      <c r="A5" s="1" t="n">
        <v>4</v>
      </c>
      <c r="B5" s="30" t="n">
        <v>43834</v>
      </c>
      <c r="C5" s="1" t="n">
        <v>10426</v>
      </c>
      <c r="D5" s="1" t="n">
        <f aca="false">C5-C4</f>
        <v>3041</v>
      </c>
      <c r="E5" s="1" t="n">
        <v>428.6</v>
      </c>
      <c r="F5" s="1" t="n">
        <f aca="false">E5-E4</f>
        <v>122.3</v>
      </c>
      <c r="G5" s="1" t="n">
        <v>7.51</v>
      </c>
      <c r="H5" s="1" t="n">
        <f aca="false">G5-G4</f>
        <v>2.19</v>
      </c>
      <c r="I5" s="1" t="n">
        <v>98</v>
      </c>
      <c r="J5" s="1" t="n">
        <f aca="false">I5-I4</f>
        <v>25</v>
      </c>
      <c r="K5" s="1" t="s">
        <v>14</v>
      </c>
      <c r="L5" s="1" t="e">
        <f aca="false">MODE($C$2:$C$32)</f>
        <v>#VALUE!</v>
      </c>
      <c r="M5" s="1" t="e">
        <f aca="false">MODE($E$1:$E$32)</f>
        <v>#VALUE!</v>
      </c>
      <c r="N5" s="1" t="n">
        <f aca="false">MODE($G$2:$G$32)</f>
        <v>5.32</v>
      </c>
      <c r="O5" s="1" t="n">
        <f aca="false">MODE($I$2:$I$32)</f>
        <v>73</v>
      </c>
    </row>
    <row r="6" customFormat="false" ht="13.8" hidden="false" customHeight="false" outlineLevel="0" collapsed="false">
      <c r="A6" s="1" t="n">
        <v>5</v>
      </c>
      <c r="B6" s="30" t="n">
        <v>43835</v>
      </c>
      <c r="C6" s="1" t="n">
        <v>2415</v>
      </c>
      <c r="D6" s="1" t="n">
        <f aca="false">C6-C5</f>
        <v>-8011</v>
      </c>
      <c r="E6" s="1" t="n">
        <v>110.9</v>
      </c>
      <c r="F6" s="1" t="n">
        <f aca="false">E6-E5</f>
        <v>-317.7</v>
      </c>
      <c r="G6" s="1" t="n">
        <v>1.74</v>
      </c>
      <c r="H6" s="1" t="n">
        <f aca="false">G6-G5</f>
        <v>-5.77</v>
      </c>
      <c r="I6" s="1" t="n">
        <v>29</v>
      </c>
      <c r="J6" s="1" t="n">
        <f aca="false">I6-I5</f>
        <v>-69</v>
      </c>
      <c r="K6" s="1" t="s">
        <v>12</v>
      </c>
      <c r="L6" s="1" t="n">
        <f aca="false">MEDIAN($C$2:$C$32)</f>
        <v>7385</v>
      </c>
      <c r="M6" s="1" t="n">
        <f aca="false">MEDIAN($E$1:$E$32)</f>
        <v>306.3</v>
      </c>
      <c r="N6" s="1" t="n">
        <f aca="false">MEDIAN($G$2:$G$32)</f>
        <v>5.32</v>
      </c>
      <c r="O6" s="1" t="n">
        <f aca="false">MEDIAN($I$2:$I$32)</f>
        <v>73</v>
      </c>
    </row>
    <row r="7" customFormat="false" ht="13.8" hidden="false" customHeight="false" outlineLevel="0" collapsed="false">
      <c r="A7" s="1" t="n">
        <v>6</v>
      </c>
      <c r="B7" s="30" t="n">
        <v>43836</v>
      </c>
      <c r="C7" s="1" t="n">
        <v>2019</v>
      </c>
      <c r="D7" s="1" t="n">
        <f aca="false">C7-C6</f>
        <v>-396</v>
      </c>
      <c r="E7" s="1" t="n">
        <v>87.8</v>
      </c>
      <c r="F7" s="1" t="n">
        <f aca="false">E7-E6</f>
        <v>-23.1</v>
      </c>
      <c r="G7" s="1" t="n">
        <v>1.45</v>
      </c>
      <c r="H7" s="1" t="n">
        <f aca="false">G7-G6</f>
        <v>-0.29</v>
      </c>
      <c r="I7" s="1" t="n">
        <v>22</v>
      </c>
      <c r="J7" s="1" t="n">
        <f aca="false">I7-I6</f>
        <v>-7</v>
      </c>
      <c r="K7" s="1" t="s">
        <v>180</v>
      </c>
      <c r="L7" s="1" t="n">
        <f aca="false">QUARTILE($C$2:$C$32, 1)</f>
        <v>4061.5</v>
      </c>
      <c r="M7" s="1" t="n">
        <f aca="false">QUARTILE($E$1:$E$32, 1)</f>
        <v>165.3</v>
      </c>
      <c r="N7" s="1" t="n">
        <f aca="false">QUARTILE($G$2:$G$32, 1)</f>
        <v>2.925</v>
      </c>
      <c r="O7" s="1" t="n">
        <f aca="false">QUARTILE($I$2:$I$32, 1)</f>
        <v>39</v>
      </c>
    </row>
    <row r="8" customFormat="false" ht="13.8" hidden="false" customHeight="false" outlineLevel="0" collapsed="false">
      <c r="A8" s="1" t="n">
        <v>7</v>
      </c>
      <c r="B8" s="30" t="n">
        <v>43837</v>
      </c>
      <c r="C8" s="1" t="n">
        <v>12783</v>
      </c>
      <c r="D8" s="1" t="n">
        <f aca="false">C8-C7</f>
        <v>10764</v>
      </c>
      <c r="E8" s="1" t="n">
        <v>524.8</v>
      </c>
      <c r="F8" s="1" t="n">
        <f aca="false">E8-E7</f>
        <v>437</v>
      </c>
      <c r="G8" s="1" t="n">
        <v>9.2</v>
      </c>
      <c r="H8" s="1" t="n">
        <f aca="false">G8-G7</f>
        <v>7.75</v>
      </c>
      <c r="I8" s="1" t="n">
        <v>122</v>
      </c>
      <c r="J8" s="1" t="n">
        <f aca="false">I8-I7</f>
        <v>100</v>
      </c>
      <c r="K8" s="1" t="s">
        <v>181</v>
      </c>
      <c r="L8" s="1" t="n">
        <f aca="false">QUARTILE($C$2:$C$32, 3)</f>
        <v>11128.5</v>
      </c>
      <c r="M8" s="1" t="n">
        <f aca="false">QUARTILE($E$1:$E$32, 3)</f>
        <v>463.85</v>
      </c>
      <c r="N8" s="1" t="n">
        <f aca="false">QUARTILE($G$2:$G$32, 3)</f>
        <v>8.015</v>
      </c>
      <c r="O8" s="1" t="n">
        <f aca="false">QUARTILE($I$2:$I$32, 3)</f>
        <v>111</v>
      </c>
    </row>
    <row r="9" customFormat="false" ht="13.8" hidden="false" customHeight="false" outlineLevel="0" collapsed="false">
      <c r="A9" s="1" t="n">
        <v>8</v>
      </c>
      <c r="B9" s="30" t="n">
        <v>43838</v>
      </c>
      <c r="C9" s="1" t="n">
        <v>13738</v>
      </c>
      <c r="D9" s="1" t="n">
        <f aca="false">C9-C8</f>
        <v>955</v>
      </c>
      <c r="E9" s="1" t="n">
        <v>558.8</v>
      </c>
      <c r="F9" s="1" t="n">
        <f aca="false">E9-E8</f>
        <v>34</v>
      </c>
      <c r="G9" s="1" t="n">
        <v>9.89</v>
      </c>
      <c r="H9" s="1" t="n">
        <f aca="false">G9-G8</f>
        <v>0.690000000000001</v>
      </c>
      <c r="I9" s="1" t="n">
        <v>128</v>
      </c>
      <c r="J9" s="1" t="n">
        <f aca="false">I9-I8</f>
        <v>6</v>
      </c>
      <c r="K9" s="1" t="s">
        <v>182</v>
      </c>
      <c r="L9" s="1" t="n">
        <f aca="false">VAR($C$2:$C$32)</f>
        <v>23377771.4258065</v>
      </c>
      <c r="M9" s="1" t="n">
        <f aca="false">VAR($E$1:$E$32)</f>
        <v>38957.1852903226</v>
      </c>
      <c r="N9" s="1" t="n">
        <f aca="false">VAR($G$2:$G$32)</f>
        <v>12.1271356989247</v>
      </c>
      <c r="O9" s="1" t="n">
        <f aca="false">VAR($I$2:$I$32)</f>
        <v>2111.99784946237</v>
      </c>
    </row>
    <row r="10" customFormat="false" ht="13.8" hidden="false" customHeight="false" outlineLevel="0" collapsed="false">
      <c r="A10" s="1" t="n">
        <v>9</v>
      </c>
      <c r="B10" s="30" t="n">
        <v>43839</v>
      </c>
      <c r="C10" s="1" t="n">
        <v>5493</v>
      </c>
      <c r="D10" s="1" t="n">
        <f aca="false">C10-C9</f>
        <v>-8245</v>
      </c>
      <c r="E10" s="1" t="n">
        <v>231</v>
      </c>
      <c r="F10" s="1" t="n">
        <f aca="false">E10-E9</f>
        <v>-327.8</v>
      </c>
      <c r="G10" s="1" t="n">
        <v>3.95</v>
      </c>
      <c r="H10" s="1" t="n">
        <f aca="false">G10-G9</f>
        <v>-5.94</v>
      </c>
      <c r="I10" s="1" t="n">
        <v>56</v>
      </c>
      <c r="J10" s="1" t="n">
        <f aca="false">I10-I9</f>
        <v>-72</v>
      </c>
      <c r="K10" s="1" t="s">
        <v>16</v>
      </c>
      <c r="L10" s="1" t="n">
        <f aca="false">STDEV($C$2:$C$32)</f>
        <v>4835.05650699208</v>
      </c>
      <c r="M10" s="1" t="n">
        <f aca="false">STDEV($E$1:$E$32)</f>
        <v>197.37574645919</v>
      </c>
      <c r="N10" s="1" t="n">
        <f aca="false">STDEV($G$2:$G$32)</f>
        <v>3.48240372428654</v>
      </c>
      <c r="O10" s="1" t="n">
        <f aca="false">STDEV($I$2:$I$32)</f>
        <v>45.9564777747639</v>
      </c>
    </row>
    <row r="11" customFormat="false" ht="13.8" hidden="false" customHeight="false" outlineLevel="0" collapsed="false">
      <c r="A11" s="1" t="n">
        <v>10</v>
      </c>
      <c r="B11" s="30" t="n">
        <v>43840</v>
      </c>
      <c r="C11" s="1" t="n">
        <v>7253</v>
      </c>
      <c r="D11" s="1" t="n">
        <f aca="false">C11-C10</f>
        <v>1760</v>
      </c>
      <c r="E11" s="1" t="n">
        <v>296.4</v>
      </c>
      <c r="F11" s="1" t="n">
        <f aca="false">E11-E10</f>
        <v>65.4</v>
      </c>
      <c r="G11" s="1" t="n">
        <v>5.22</v>
      </c>
      <c r="H11" s="1" t="n">
        <f aca="false">G11-G10</f>
        <v>1.27</v>
      </c>
      <c r="I11" s="1" t="n">
        <v>68</v>
      </c>
      <c r="J11" s="1" t="n">
        <f aca="false">I11-I10</f>
        <v>12</v>
      </c>
      <c r="K11" s="1" t="s">
        <v>20</v>
      </c>
      <c r="L11" s="1" t="n">
        <f aca="false">KURT($C$2:$C$32)</f>
        <v>-0.654190669294931</v>
      </c>
      <c r="M11" s="1" t="n">
        <f aca="false">KURT($E$1:$E$32)</f>
        <v>-0.615209640401822</v>
      </c>
      <c r="N11" s="1" t="n">
        <f aca="false">KURT($G$2:$G$32)</f>
        <v>-0.653628821976642</v>
      </c>
      <c r="O11" s="1" t="n">
        <f aca="false">KURT($I$2:$I$32)</f>
        <v>-0.547629606297591</v>
      </c>
    </row>
    <row r="12" customFormat="false" ht="13.8" hidden="false" customHeight="false" outlineLevel="0" collapsed="false">
      <c r="A12" s="1" t="n">
        <v>11</v>
      </c>
      <c r="B12" s="30" t="n">
        <v>43841</v>
      </c>
      <c r="C12" s="1" t="n">
        <v>11480</v>
      </c>
      <c r="D12" s="1" t="n">
        <f aca="false">C12-C11</f>
        <v>4227</v>
      </c>
      <c r="E12" s="1" t="n">
        <v>469.7</v>
      </c>
      <c r="F12" s="1" t="n">
        <f aca="false">E12-E11</f>
        <v>173.3</v>
      </c>
      <c r="G12" s="1" t="n">
        <v>8.27</v>
      </c>
      <c r="H12" s="1" t="n">
        <f aca="false">G12-G11</f>
        <v>3.05</v>
      </c>
      <c r="I12" s="1" t="n">
        <v>109</v>
      </c>
      <c r="J12" s="1" t="n">
        <f aca="false">I12-I11</f>
        <v>41</v>
      </c>
      <c r="K12" s="1" t="s">
        <v>22</v>
      </c>
      <c r="L12" s="1" t="n">
        <f aca="false">SKEW($C$2:$C$32)</f>
        <v>0.600285158792478</v>
      </c>
      <c r="M12" s="1" t="n">
        <f aca="false">SKEW($E$1:$E$32)</f>
        <v>0.603274815924808</v>
      </c>
      <c r="N12" s="1" t="n">
        <f aca="false">SKEW($G$2:$G$32)</f>
        <v>0.600372893960784</v>
      </c>
      <c r="O12" s="1" t="n">
        <f aca="false">SKEW($I$2:$I$32)</f>
        <v>0.610562093448699</v>
      </c>
    </row>
    <row r="13" customFormat="false" ht="13.8" hidden="false" customHeight="false" outlineLevel="0" collapsed="false">
      <c r="A13" s="1" t="n">
        <v>12</v>
      </c>
      <c r="B13" s="30" t="n">
        <v>43842</v>
      </c>
      <c r="C13" s="1" t="n">
        <v>4205</v>
      </c>
      <c r="D13" s="1" t="n">
        <f aca="false">C13-C12</f>
        <v>-7275</v>
      </c>
      <c r="E13" s="1" t="n">
        <v>169.7</v>
      </c>
      <c r="F13" s="1" t="n">
        <f aca="false">E13-E12</f>
        <v>-300</v>
      </c>
      <c r="G13" s="1" t="n">
        <v>3.03</v>
      </c>
      <c r="H13" s="1" t="n">
        <f aca="false">G13-G12</f>
        <v>-5.24</v>
      </c>
      <c r="I13" s="1" t="n">
        <v>38</v>
      </c>
      <c r="J13" s="1" t="n">
        <f aca="false">I13-I12</f>
        <v>-71</v>
      </c>
      <c r="K13" s="1" t="s">
        <v>24</v>
      </c>
      <c r="L13" s="1" t="n">
        <f aca="false">MAX($C$2:$C$32)-MIN($C$2:$C$32)</f>
        <v>17211</v>
      </c>
      <c r="M13" s="1" t="n">
        <f aca="false">MAX($E$1:$E$32)-MIN($E$1:$E$32)</f>
        <v>704.8</v>
      </c>
      <c r="N13" s="1" t="n">
        <f aca="false">MAX($G$2:$G$32)-MIN($G$2:$G$32)</f>
        <v>12.4</v>
      </c>
      <c r="O13" s="1" t="n">
        <f aca="false">MAX($I$2:$I$32)-MIN($I$2:$I$32)</f>
        <v>164</v>
      </c>
    </row>
    <row r="14" customFormat="false" ht="13.8" hidden="false" customHeight="false" outlineLevel="0" collapsed="false">
      <c r="A14" s="1" t="n">
        <v>13</v>
      </c>
      <c r="B14" s="30" t="n">
        <v>43843</v>
      </c>
      <c r="C14" s="1" t="n">
        <v>17371</v>
      </c>
      <c r="D14" s="1" t="n">
        <f aca="false">C14-C13</f>
        <v>13166</v>
      </c>
      <c r="E14" s="1" t="n">
        <v>721.7</v>
      </c>
      <c r="F14" s="1" t="n">
        <f aca="false">E14-E13</f>
        <v>552</v>
      </c>
      <c r="G14" s="1" t="n">
        <v>12.51</v>
      </c>
      <c r="H14" s="1" t="n">
        <f aca="false">G14-G13</f>
        <v>9.48</v>
      </c>
      <c r="I14" s="1" t="n">
        <v>172</v>
      </c>
      <c r="J14" s="1" t="n">
        <f aca="false">I14-I13</f>
        <v>134</v>
      </c>
      <c r="K14" s="1" t="s">
        <v>26</v>
      </c>
      <c r="L14" s="1" t="n">
        <f aca="false">MIN($C$2:$C$32)</f>
        <v>713</v>
      </c>
      <c r="M14" s="1" t="n">
        <f aca="false">MIN($E$1:$E$32)</f>
        <v>33.9</v>
      </c>
      <c r="N14" s="1" t="n">
        <f aca="false">MIN($G$2:$G$32)</f>
        <v>0.51</v>
      </c>
      <c r="O14" s="1" t="n">
        <f aca="false">MIN($I$2:$I$32)</f>
        <v>9</v>
      </c>
    </row>
    <row r="15" customFormat="false" ht="13.8" hidden="false" customHeight="false" outlineLevel="0" collapsed="false">
      <c r="A15" s="1" t="n">
        <v>14</v>
      </c>
      <c r="B15" s="30" t="n">
        <v>43844</v>
      </c>
      <c r="C15" s="1" t="n">
        <v>3918</v>
      </c>
      <c r="D15" s="1" t="n">
        <f aca="false">C15-C14</f>
        <v>-13453</v>
      </c>
      <c r="E15" s="1" t="n">
        <v>160.9</v>
      </c>
      <c r="F15" s="1" t="n">
        <f aca="false">E15-E14</f>
        <v>-560.8</v>
      </c>
      <c r="G15" s="1" t="n">
        <v>2.82</v>
      </c>
      <c r="H15" s="1" t="n">
        <f aca="false">G15-G14</f>
        <v>-9.69</v>
      </c>
      <c r="I15" s="1" t="n">
        <v>37</v>
      </c>
      <c r="J15" s="1" t="n">
        <f aca="false">I15-I14</f>
        <v>-135</v>
      </c>
      <c r="K15" s="1" t="s">
        <v>28</v>
      </c>
      <c r="L15" s="1" t="n">
        <f aca="false">MAX($C$2:$C$32)</f>
        <v>17924</v>
      </c>
      <c r="M15" s="1" t="n">
        <f aca="false">MAX($E$1:$E$32)</f>
        <v>738.7</v>
      </c>
      <c r="N15" s="1" t="n">
        <f aca="false">MAX($G$2:$G$32)</f>
        <v>12.91</v>
      </c>
      <c r="O15" s="1" t="n">
        <f aca="false">MAX($I$2:$I$32)</f>
        <v>173</v>
      </c>
    </row>
    <row r="16" customFormat="false" ht="13.8" hidden="false" customHeight="false" outlineLevel="0" collapsed="false">
      <c r="A16" s="1" t="n">
        <v>15</v>
      </c>
      <c r="B16" s="30" t="n">
        <v>43845</v>
      </c>
      <c r="C16" s="1" t="n">
        <v>7726</v>
      </c>
      <c r="D16" s="1" t="n">
        <f aca="false">C16-C15</f>
        <v>3808</v>
      </c>
      <c r="E16" s="1" t="n">
        <v>317.2</v>
      </c>
      <c r="F16" s="1" t="n">
        <f aca="false">E16-E15</f>
        <v>156.3</v>
      </c>
      <c r="G16" s="1" t="n">
        <v>5.56</v>
      </c>
      <c r="H16" s="1" t="n">
        <f aca="false">G16-G15</f>
        <v>2.74</v>
      </c>
      <c r="I16" s="1" t="n">
        <v>74</v>
      </c>
      <c r="J16" s="1" t="n">
        <f aca="false">I16-I15</f>
        <v>37</v>
      </c>
      <c r="K16" s="1" t="s">
        <v>30</v>
      </c>
      <c r="L16" s="1" t="n">
        <f aca="false">SUM($C$2:$C$32)</f>
        <v>246347</v>
      </c>
      <c r="M16" s="1" t="n">
        <f aca="false">SUM($E$1:$E$32)</f>
        <v>10220.9</v>
      </c>
      <c r="N16" s="1" t="n">
        <f aca="false">SUM($G$2:$G$32)</f>
        <v>177.35</v>
      </c>
      <c r="O16" s="1" t="n">
        <f aca="false">SUM($I$2:$I$32)</f>
        <v>2410</v>
      </c>
    </row>
    <row r="17" customFormat="false" ht="13.8" hidden="false" customHeight="false" outlineLevel="0" collapsed="false">
      <c r="A17" s="1" t="n">
        <v>16</v>
      </c>
      <c r="B17" s="30" t="n">
        <v>43846</v>
      </c>
      <c r="C17" s="1" t="n">
        <v>8123</v>
      </c>
      <c r="D17" s="1" t="n">
        <f aca="false">C17-C16</f>
        <v>397</v>
      </c>
      <c r="E17" s="1" t="n">
        <v>331.8</v>
      </c>
      <c r="F17" s="1" t="n">
        <f aca="false">E17-E16</f>
        <v>14.6</v>
      </c>
      <c r="G17" s="1" t="n">
        <v>5.85</v>
      </c>
      <c r="H17" s="1" t="n">
        <f aca="false">G17-G16</f>
        <v>0.29</v>
      </c>
      <c r="I17" s="1" t="n">
        <v>76</v>
      </c>
      <c r="J17" s="1" t="n">
        <f aca="false">I17-I16</f>
        <v>2</v>
      </c>
      <c r="K17" s="1" t="s">
        <v>32</v>
      </c>
      <c r="L17" s="1" t="n">
        <f aca="false">COUNT($C$2:$C$32)</f>
        <v>31</v>
      </c>
      <c r="M17" s="1" t="n">
        <f aca="false">COUNT($E$1:$E$32)</f>
        <v>31</v>
      </c>
      <c r="N17" s="1" t="n">
        <f aca="false">COUNT($G$2:$G$32)</f>
        <v>31</v>
      </c>
      <c r="O17" s="1" t="n">
        <f aca="false">COUNT($I$2:$I$32)</f>
        <v>31</v>
      </c>
    </row>
    <row r="18" customFormat="false" ht="13.8" hidden="false" customHeight="false" outlineLevel="0" collapsed="false">
      <c r="A18" s="1" t="n">
        <v>17</v>
      </c>
      <c r="B18" s="30" t="n">
        <v>43847</v>
      </c>
      <c r="C18" s="1" t="n">
        <v>14058</v>
      </c>
      <c r="D18" s="1" t="n">
        <f aca="false">C18-C17</f>
        <v>5935</v>
      </c>
      <c r="E18" s="1" t="n">
        <v>574.3</v>
      </c>
      <c r="F18" s="1" t="n">
        <f aca="false">E18-E17</f>
        <v>242.5</v>
      </c>
      <c r="G18" s="1" t="n">
        <v>10.12</v>
      </c>
      <c r="H18" s="1" t="n">
        <f aca="false">G18-G17</f>
        <v>4.27</v>
      </c>
      <c r="I18" s="1" t="n">
        <v>132</v>
      </c>
      <c r="J18" s="1" t="n">
        <f aca="false">I18-I17</f>
        <v>56</v>
      </c>
    </row>
    <row r="19" customFormat="false" ht="13.8" hidden="false" customHeight="false" outlineLevel="0" collapsed="false">
      <c r="A19" s="1" t="n">
        <v>18</v>
      </c>
      <c r="B19" s="30" t="n">
        <v>43848</v>
      </c>
      <c r="C19" s="1" t="n">
        <v>3847</v>
      </c>
      <c r="D19" s="1" t="n">
        <f aca="false">C19-C18</f>
        <v>-10211</v>
      </c>
      <c r="E19" s="1" t="n">
        <v>158.4</v>
      </c>
      <c r="F19" s="1" t="n">
        <f aca="false">E19-E18</f>
        <v>-415.9</v>
      </c>
      <c r="G19" s="1" t="n">
        <v>2.77</v>
      </c>
      <c r="H19" s="1" t="n">
        <f aca="false">G19-G18</f>
        <v>-7.35</v>
      </c>
      <c r="I19" s="1" t="n">
        <v>36</v>
      </c>
      <c r="J19" s="1" t="n">
        <f aca="false">I19-I18</f>
        <v>-96</v>
      </c>
    </row>
    <row r="20" customFormat="false" ht="13.8" hidden="false" customHeight="false" outlineLevel="0" collapsed="false">
      <c r="A20" s="1" t="n">
        <v>19</v>
      </c>
      <c r="B20" s="30" t="n">
        <v>43849</v>
      </c>
      <c r="C20" s="1" t="n">
        <v>713</v>
      </c>
      <c r="D20" s="1" t="n">
        <f aca="false">C20-C19</f>
        <v>-3134</v>
      </c>
      <c r="E20" s="1" t="n">
        <v>33.9</v>
      </c>
      <c r="F20" s="1" t="n">
        <f aca="false">E20-E19</f>
        <v>-124.5</v>
      </c>
      <c r="G20" s="1" t="n">
        <v>0.51</v>
      </c>
      <c r="H20" s="1" t="n">
        <f aca="false">G20-G19</f>
        <v>-2.26</v>
      </c>
      <c r="I20" s="1" t="n">
        <v>9</v>
      </c>
      <c r="J20" s="1" t="n">
        <f aca="false">I20-I19</f>
        <v>-27</v>
      </c>
    </row>
    <row r="21" customFormat="false" ht="13.8" hidden="false" customHeight="false" outlineLevel="0" collapsed="false">
      <c r="A21" s="1" t="n">
        <v>20</v>
      </c>
      <c r="B21" s="30" t="n">
        <v>43850</v>
      </c>
      <c r="C21" s="1" t="n">
        <v>3617</v>
      </c>
      <c r="D21" s="1" t="n">
        <f aca="false">C21-C20</f>
        <v>2904</v>
      </c>
      <c r="E21" s="1" t="n">
        <v>156.7</v>
      </c>
      <c r="F21" s="1" t="n">
        <f aca="false">E21-E20</f>
        <v>122.8</v>
      </c>
      <c r="G21" s="1" t="n">
        <v>2.6</v>
      </c>
      <c r="H21" s="1" t="n">
        <f aca="false">G21-G20</f>
        <v>2.09</v>
      </c>
      <c r="I21" s="1" t="n">
        <v>40</v>
      </c>
      <c r="J21" s="1" t="n">
        <f aca="false">I21-I20</f>
        <v>31</v>
      </c>
    </row>
    <row r="22" customFormat="false" ht="13.8" hidden="false" customHeight="false" outlineLevel="0" collapsed="false">
      <c r="A22" s="1" t="n">
        <v>21</v>
      </c>
      <c r="B22" s="30" t="n">
        <v>43851</v>
      </c>
      <c r="C22" s="1" t="n">
        <v>8344</v>
      </c>
      <c r="D22" s="1" t="n">
        <f aca="false">C22-C21</f>
        <v>4727</v>
      </c>
      <c r="E22" s="1" t="n">
        <v>356.1</v>
      </c>
      <c r="F22" s="1" t="n">
        <f aca="false">E22-E21</f>
        <v>199.4</v>
      </c>
      <c r="G22" s="1" t="n">
        <v>6.01</v>
      </c>
      <c r="H22" s="1" t="n">
        <f aca="false">G22-G21</f>
        <v>3.41</v>
      </c>
      <c r="I22" s="1" t="n">
        <v>87</v>
      </c>
      <c r="J22" s="1" t="n">
        <f aca="false">I22-I21</f>
        <v>47</v>
      </c>
    </row>
    <row r="23" customFormat="false" ht="13.8" hidden="false" customHeight="false" outlineLevel="0" collapsed="false">
      <c r="A23" s="1" t="n">
        <v>22</v>
      </c>
      <c r="B23" s="30" t="n">
        <v>43852</v>
      </c>
      <c r="C23" s="1" t="n">
        <v>16291</v>
      </c>
      <c r="D23" s="1" t="n">
        <f aca="false">C23-C22</f>
        <v>7947</v>
      </c>
      <c r="E23" s="1" t="n">
        <v>672.1</v>
      </c>
      <c r="F23" s="1" t="n">
        <f aca="false">E23-E22</f>
        <v>316</v>
      </c>
      <c r="G23" s="1" t="n">
        <v>11.73</v>
      </c>
      <c r="H23" s="1" t="n">
        <f aca="false">G23-G22</f>
        <v>5.72</v>
      </c>
      <c r="I23" s="1" t="n">
        <v>159</v>
      </c>
      <c r="J23" s="1" t="n">
        <f aca="false">I23-I22</f>
        <v>72</v>
      </c>
    </row>
    <row r="24" customFormat="false" ht="13.8" hidden="false" customHeight="false" outlineLevel="0" collapsed="false">
      <c r="A24" s="1" t="n">
        <v>23</v>
      </c>
      <c r="B24" s="30" t="n">
        <v>43853</v>
      </c>
      <c r="C24" s="1" t="n">
        <v>4794</v>
      </c>
      <c r="D24" s="1" t="n">
        <f aca="false">C24-C23</f>
        <v>-11497</v>
      </c>
      <c r="E24" s="1" t="n">
        <v>195.6</v>
      </c>
      <c r="F24" s="1" t="n">
        <f aca="false">E24-E23</f>
        <v>-476.5</v>
      </c>
      <c r="G24" s="1" t="n">
        <v>3.45</v>
      </c>
      <c r="H24" s="1" t="n">
        <f aca="false">G24-G23</f>
        <v>-8.28</v>
      </c>
      <c r="I24" s="1" t="n">
        <v>44</v>
      </c>
      <c r="J24" s="1" t="n">
        <f aca="false">I24-I23</f>
        <v>-115</v>
      </c>
    </row>
    <row r="25" customFormat="false" ht="13.8" hidden="false" customHeight="false" outlineLevel="0" collapsed="false">
      <c r="A25" s="1" t="n">
        <v>24</v>
      </c>
      <c r="B25" s="30" t="n">
        <v>43854</v>
      </c>
      <c r="C25" s="1" t="n">
        <v>10777</v>
      </c>
      <c r="D25" s="1" t="n">
        <f aca="false">C25-C24</f>
        <v>5983</v>
      </c>
      <c r="E25" s="1" t="n">
        <v>458</v>
      </c>
      <c r="F25" s="1" t="n">
        <f aca="false">E25-E24</f>
        <v>262.4</v>
      </c>
      <c r="G25" s="1" t="n">
        <v>7.76</v>
      </c>
      <c r="H25" s="1" t="n">
        <f aca="false">G25-G24</f>
        <v>4.31</v>
      </c>
      <c r="I25" s="1" t="n">
        <v>113</v>
      </c>
      <c r="J25" s="1" t="n">
        <f aca="false">I25-I24</f>
        <v>69</v>
      </c>
    </row>
    <row r="26" customFormat="false" ht="13.8" hidden="false" customHeight="false" outlineLevel="0" collapsed="false">
      <c r="A26" s="1" t="n">
        <v>25</v>
      </c>
      <c r="B26" s="30" t="n">
        <v>43855</v>
      </c>
      <c r="C26" s="1" t="n">
        <v>5256</v>
      </c>
      <c r="D26" s="1" t="n">
        <f aca="false">C26-C25</f>
        <v>-5521</v>
      </c>
      <c r="E26" s="1" t="n">
        <v>250.8</v>
      </c>
      <c r="F26" s="1" t="n">
        <f aca="false">E26-E25</f>
        <v>-207.2</v>
      </c>
      <c r="G26" s="1" t="n">
        <v>3.78</v>
      </c>
      <c r="H26" s="1" t="n">
        <f aca="false">G26-G25</f>
        <v>-3.98</v>
      </c>
      <c r="I26" s="1" t="n">
        <v>70</v>
      </c>
      <c r="J26" s="1" t="n">
        <f aca="false">I26-I25</f>
        <v>-43</v>
      </c>
    </row>
    <row r="27" customFormat="false" ht="13.8" hidden="false" customHeight="false" outlineLevel="0" collapsed="false">
      <c r="A27" s="1" t="n">
        <v>26</v>
      </c>
      <c r="B27" s="30" t="n">
        <v>43856</v>
      </c>
      <c r="C27" s="1" t="n">
        <v>2165</v>
      </c>
      <c r="D27" s="1" t="n">
        <f aca="false">C27-C26</f>
        <v>-3091</v>
      </c>
      <c r="E27" s="1" t="n">
        <v>89.2</v>
      </c>
      <c r="F27" s="1" t="n">
        <f aca="false">E27-E26</f>
        <v>-161.6</v>
      </c>
      <c r="G27" s="1" t="n">
        <v>1.56</v>
      </c>
      <c r="H27" s="1" t="n">
        <f aca="false">G27-G26</f>
        <v>-2.22</v>
      </c>
      <c r="I27" s="1" t="n">
        <v>21</v>
      </c>
      <c r="J27" s="1" t="n">
        <f aca="false">I27-I26</f>
        <v>-49</v>
      </c>
    </row>
    <row r="28" customFormat="false" ht="13.8" hidden="false" customHeight="false" outlineLevel="0" collapsed="false">
      <c r="A28" s="1" t="n">
        <v>27</v>
      </c>
      <c r="B28" s="30" t="n">
        <v>43857</v>
      </c>
      <c r="C28" s="1" t="n">
        <v>17924</v>
      </c>
      <c r="D28" s="1" t="n">
        <f aca="false">C28-C27</f>
        <v>15759</v>
      </c>
      <c r="E28" s="1" t="n">
        <v>738.7</v>
      </c>
      <c r="F28" s="1" t="n">
        <f aca="false">E28-E27</f>
        <v>649.5</v>
      </c>
      <c r="G28" s="1" t="n">
        <v>12.91</v>
      </c>
      <c r="H28" s="1" t="n">
        <f aca="false">G28-G27</f>
        <v>11.35</v>
      </c>
      <c r="I28" s="1" t="n">
        <v>173</v>
      </c>
      <c r="J28" s="1" t="n">
        <f aca="false">I28-I27</f>
        <v>152</v>
      </c>
    </row>
    <row r="29" customFormat="false" ht="13.8" hidden="false" customHeight="false" outlineLevel="0" collapsed="false">
      <c r="A29" s="1" t="n">
        <v>28</v>
      </c>
      <c r="B29" s="30" t="n">
        <v>43858</v>
      </c>
      <c r="C29" s="1" t="n">
        <v>14627</v>
      </c>
      <c r="D29" s="1" t="n">
        <f aca="false">C29-C28</f>
        <v>-3297</v>
      </c>
      <c r="E29" s="1" t="n">
        <v>595.9</v>
      </c>
      <c r="F29" s="1" t="n">
        <f aca="false">E29-E28</f>
        <v>-142.8</v>
      </c>
      <c r="G29" s="1" t="n">
        <v>10.53</v>
      </c>
      <c r="H29" s="1" t="n">
        <f aca="false">G29-G28</f>
        <v>-2.38</v>
      </c>
      <c r="I29" s="1" t="n">
        <v>137</v>
      </c>
      <c r="J29" s="1" t="n">
        <f aca="false">I29-I28</f>
        <v>-36</v>
      </c>
    </row>
    <row r="30" customFormat="false" ht="13.8" hidden="false" customHeight="false" outlineLevel="0" collapsed="false">
      <c r="A30" s="1" t="n">
        <v>29</v>
      </c>
      <c r="B30" s="30" t="n">
        <v>43859</v>
      </c>
      <c r="C30" s="1" t="n">
        <v>4948</v>
      </c>
      <c r="D30" s="1" t="n">
        <f aca="false">C30-C29</f>
        <v>-9679</v>
      </c>
      <c r="E30" s="1" t="n">
        <v>200.6</v>
      </c>
      <c r="F30" s="1" t="n">
        <f aca="false">E30-E29</f>
        <v>-395.3</v>
      </c>
      <c r="G30" s="1" t="n">
        <v>3.56</v>
      </c>
      <c r="H30" s="1" t="n">
        <f aca="false">G30-G29</f>
        <v>-6.97</v>
      </c>
      <c r="I30" s="1" t="n">
        <v>45</v>
      </c>
      <c r="J30" s="1" t="n">
        <f aca="false">I30-I29</f>
        <v>-92</v>
      </c>
    </row>
    <row r="31" customFormat="false" ht="13.8" hidden="false" customHeight="false" outlineLevel="0" collapsed="false">
      <c r="A31" s="1" t="n">
        <v>30</v>
      </c>
      <c r="B31" s="30" t="n">
        <v>43860</v>
      </c>
      <c r="C31" s="1" t="n">
        <v>8305</v>
      </c>
      <c r="D31" s="1" t="n">
        <f aca="false">C31-C30</f>
        <v>3357</v>
      </c>
      <c r="E31" s="1" t="n">
        <v>338.9</v>
      </c>
      <c r="F31" s="1" t="n">
        <f aca="false">E31-E30</f>
        <v>138.3</v>
      </c>
      <c r="G31" s="1" t="n">
        <v>5.98</v>
      </c>
      <c r="H31" s="1" t="n">
        <f aca="false">G31-G30</f>
        <v>2.42</v>
      </c>
      <c r="I31" s="1" t="n">
        <v>77</v>
      </c>
      <c r="J31" s="1" t="n">
        <f aca="false">I31-I30</f>
        <v>32</v>
      </c>
    </row>
    <row r="32" customFormat="false" ht="13.8" hidden="false" customHeight="false" outlineLevel="0" collapsed="false">
      <c r="A32" s="1" t="n">
        <v>31</v>
      </c>
      <c r="B32" s="30" t="n">
        <v>43861</v>
      </c>
      <c r="C32" s="1" t="n">
        <v>5656</v>
      </c>
      <c r="D32" s="1" t="n">
        <f aca="false">C32-C31</f>
        <v>-2649</v>
      </c>
      <c r="E32" s="1" t="n">
        <v>242.2</v>
      </c>
      <c r="F32" s="1" t="n">
        <f aca="false">E32-E31</f>
        <v>-96.7</v>
      </c>
      <c r="G32" s="1" t="n">
        <v>4.07</v>
      </c>
      <c r="H32" s="1" t="n">
        <f aca="false">G32-G31</f>
        <v>-1.91</v>
      </c>
      <c r="I32" s="1" t="n">
        <v>60</v>
      </c>
      <c r="J32" s="1" t="n">
        <f aca="false">I32-I31</f>
        <v>-17</v>
      </c>
    </row>
    <row r="33" customFormat="false" ht="13.8" hidden="false" customHeight="false" outlineLevel="0" collapsed="false">
      <c r="A33" s="1" t="n">
        <v>32</v>
      </c>
      <c r="B33" s="30" t="n">
        <v>43862</v>
      </c>
      <c r="C33" s="1" t="n">
        <v>19449</v>
      </c>
      <c r="D33" s="1" t="n">
        <f aca="false">C33-C32</f>
        <v>13793</v>
      </c>
      <c r="E33" s="1" t="n">
        <v>835.7</v>
      </c>
      <c r="F33" s="1" t="n">
        <f aca="false">E33-E32</f>
        <v>593.5</v>
      </c>
      <c r="G33" s="1" t="n">
        <v>14</v>
      </c>
      <c r="H33" s="1" t="n">
        <f aca="false">G33-G32</f>
        <v>9.93</v>
      </c>
      <c r="I33" s="1" t="n">
        <v>211</v>
      </c>
      <c r="J33" s="1" t="n">
        <f aca="false">I33-I32</f>
        <v>151</v>
      </c>
      <c r="L33" s="1" t="s">
        <v>2</v>
      </c>
      <c r="M33" s="1" t="s">
        <v>173</v>
      </c>
      <c r="N33" s="1" t="s">
        <v>175</v>
      </c>
      <c r="O33" s="1" t="s">
        <v>177</v>
      </c>
    </row>
    <row r="34" customFormat="false" ht="13.8" hidden="false" customHeight="false" outlineLevel="0" collapsed="false">
      <c r="A34" s="1" t="n">
        <v>33</v>
      </c>
      <c r="B34" s="30" t="n">
        <v>43863</v>
      </c>
      <c r="C34" s="1" t="n">
        <v>25099</v>
      </c>
      <c r="D34" s="1" t="n">
        <f aca="false">C34-C33</f>
        <v>5650</v>
      </c>
      <c r="E34" s="1" t="n">
        <v>1074.9</v>
      </c>
      <c r="F34" s="1" t="n">
        <f aca="false">E34-E33</f>
        <v>239.2</v>
      </c>
      <c r="G34" s="1" t="n">
        <v>18.07</v>
      </c>
      <c r="H34" s="1" t="n">
        <f aca="false">G34-G33</f>
        <v>4.07</v>
      </c>
      <c r="I34" s="1" t="n">
        <v>270</v>
      </c>
      <c r="J34" s="1" t="n">
        <f aca="false">I34-I33</f>
        <v>59</v>
      </c>
      <c r="K34" s="1" t="s">
        <v>8</v>
      </c>
      <c r="L34" s="1" t="n">
        <f aca="false">AVERAGE($C$33:$C$61)</f>
        <v>7782.13793103448</v>
      </c>
      <c r="M34" s="1" t="n">
        <f aca="false">AVERAGE($E$33:$E$61)</f>
        <v>332.613793103448</v>
      </c>
      <c r="N34" s="1" t="n">
        <f aca="false">AVERAGE($G$33:$G$61)</f>
        <v>5.60275862068966</v>
      </c>
      <c r="O34" s="1" t="n">
        <f aca="false">AVERAGE($I$33:$I$61)</f>
        <v>81.1034482758621</v>
      </c>
    </row>
    <row r="35" customFormat="false" ht="13.8" hidden="false" customHeight="false" outlineLevel="0" collapsed="false">
      <c r="A35" s="1" t="n">
        <v>34</v>
      </c>
      <c r="B35" s="30" t="n">
        <v>43864</v>
      </c>
      <c r="C35" s="1" t="n">
        <v>4834</v>
      </c>
      <c r="D35" s="1" t="n">
        <f aca="false">C35-C34</f>
        <v>-20265</v>
      </c>
      <c r="E35" s="1" t="n">
        <v>202.4</v>
      </c>
      <c r="F35" s="1" t="n">
        <f aca="false">E35-E34</f>
        <v>-872.5</v>
      </c>
      <c r="G35" s="1" t="n">
        <v>3.48</v>
      </c>
      <c r="H35" s="1" t="n">
        <f aca="false">G35-G34</f>
        <v>-14.59</v>
      </c>
      <c r="I35" s="1" t="n">
        <v>48</v>
      </c>
      <c r="J35" s="1" t="n">
        <f aca="false">I35-I34</f>
        <v>-222</v>
      </c>
      <c r="K35" s="1" t="s">
        <v>10</v>
      </c>
      <c r="L35" s="1" t="n">
        <f aca="false">SQRT(VAR($C$33:$C$61)/COUNT($C$33:$C$61))</f>
        <v>1097.2950841882</v>
      </c>
      <c r="M35" s="1" t="n">
        <f aca="false">SQRT(VAR($E$33:$E$61)/COUNT($E$33:$E$61))</f>
        <v>46.730436417678</v>
      </c>
      <c r="N35" s="1" t="n">
        <f aca="false">SQRT(VAR($G$33:$G$61)/COUNT($G$33:$G$61))</f>
        <v>0.790023990493081</v>
      </c>
      <c r="O35" s="1" t="n">
        <f aca="false">SQRT(VAR($I$33:$I$61)/COUNT($I$33:$I$61))</f>
        <v>11.8808063147514</v>
      </c>
    </row>
    <row r="36" customFormat="false" ht="13.8" hidden="false" customHeight="false" outlineLevel="0" collapsed="false">
      <c r="A36" s="1" t="n">
        <v>35</v>
      </c>
      <c r="B36" s="30" t="n">
        <v>43865</v>
      </c>
      <c r="C36" s="1" t="n">
        <v>9142</v>
      </c>
      <c r="D36" s="1" t="n">
        <f aca="false">C36-C35</f>
        <v>4308</v>
      </c>
      <c r="E36" s="1" t="n">
        <v>380.9</v>
      </c>
      <c r="F36" s="1" t="n">
        <f aca="false">E36-E35</f>
        <v>178.5</v>
      </c>
      <c r="G36" s="1" t="n">
        <v>6.58</v>
      </c>
      <c r="H36" s="1" t="n">
        <f aca="false">G36-G35</f>
        <v>3.1</v>
      </c>
      <c r="I36" s="1" t="n">
        <v>90</v>
      </c>
      <c r="J36" s="1" t="n">
        <f aca="false">I36-I35</f>
        <v>42</v>
      </c>
      <c r="K36" s="1" t="s">
        <v>14</v>
      </c>
      <c r="L36" s="1" t="e">
        <f aca="false">MODE($C$33:$C$61)</f>
        <v>#VALUE!</v>
      </c>
      <c r="M36" s="1" t="n">
        <f aca="false">MODE($E$33:$E$61)</f>
        <v>178.1</v>
      </c>
      <c r="N36" s="1" t="n">
        <f aca="false">MODE($G$33:$G$61)</f>
        <v>5.68</v>
      </c>
      <c r="O36" s="1" t="n">
        <f aca="false">MODE($I$33:$I$61)</f>
        <v>64</v>
      </c>
    </row>
    <row r="37" customFormat="false" ht="13.8" hidden="false" customHeight="false" outlineLevel="0" collapsed="false">
      <c r="A37" s="1" t="n">
        <v>36</v>
      </c>
      <c r="B37" s="30" t="n">
        <v>43866</v>
      </c>
      <c r="C37" s="1" t="n">
        <v>4069</v>
      </c>
      <c r="D37" s="1" t="n">
        <f aca="false">C37-C36</f>
        <v>-5073</v>
      </c>
      <c r="E37" s="1" t="n">
        <v>168.4</v>
      </c>
      <c r="F37" s="1" t="n">
        <f aca="false">E37-E36</f>
        <v>-212.5</v>
      </c>
      <c r="G37" s="1" t="n">
        <v>2.93</v>
      </c>
      <c r="H37" s="1" t="n">
        <f aca="false">G37-G36</f>
        <v>-3.65</v>
      </c>
      <c r="I37" s="1" t="n">
        <v>40</v>
      </c>
      <c r="J37" s="1" t="n">
        <f aca="false">I37-I36</f>
        <v>-50</v>
      </c>
      <c r="K37" s="1" t="s">
        <v>12</v>
      </c>
      <c r="L37" s="1" t="n">
        <f aca="false">MEDIAN($C$33:$C$61)</f>
        <v>6017</v>
      </c>
      <c r="M37" s="1" t="n">
        <f aca="false">MEDIAN($E$33:$E$61)</f>
        <v>258.8</v>
      </c>
      <c r="N37" s="1" t="n">
        <f aca="false">MEDIAN($G$33:$G$61)</f>
        <v>4.33</v>
      </c>
      <c r="O37" s="1" t="n">
        <f aca="false">MEDIAN($I$33:$I$61)</f>
        <v>65</v>
      </c>
    </row>
    <row r="38" customFormat="false" ht="13.8" hidden="false" customHeight="false" outlineLevel="0" collapsed="false">
      <c r="A38" s="1" t="n">
        <v>37</v>
      </c>
      <c r="B38" s="30" t="n">
        <v>43867</v>
      </c>
      <c r="C38" s="1" t="n">
        <v>2769</v>
      </c>
      <c r="D38" s="1" t="n">
        <f aca="false">C38-C37</f>
        <v>-1300</v>
      </c>
      <c r="E38" s="1" t="n">
        <v>178.1</v>
      </c>
      <c r="F38" s="1" t="n">
        <f aca="false">E38-E37</f>
        <v>9.69999999999999</v>
      </c>
      <c r="G38" s="1" t="n">
        <v>1.99</v>
      </c>
      <c r="H38" s="1" t="n">
        <f aca="false">G38-G37</f>
        <v>-0.94</v>
      </c>
      <c r="I38" s="1" t="n">
        <v>27</v>
      </c>
      <c r="J38" s="1" t="n">
        <f aca="false">I38-I37</f>
        <v>-13</v>
      </c>
      <c r="K38" s="1" t="s">
        <v>180</v>
      </c>
      <c r="L38" s="1" t="n">
        <f aca="false">QUARTILE($C$33:$C$61, 1)</f>
        <v>4352</v>
      </c>
      <c r="M38" s="1" t="n">
        <f aca="false">QUARTILE($E$33:$E$61, 1)</f>
        <v>178.1</v>
      </c>
      <c r="N38" s="1" t="n">
        <f aca="false">QUARTILE($G$33:$G$61, 1)</f>
        <v>3.13</v>
      </c>
      <c r="O38" s="1" t="n">
        <f aca="false">QUARTILE($I$33:$I$61, 1)</f>
        <v>41</v>
      </c>
    </row>
    <row r="39" customFormat="false" ht="13.8" hidden="false" customHeight="false" outlineLevel="0" collapsed="false">
      <c r="A39" s="1" t="n">
        <v>38</v>
      </c>
      <c r="B39" s="30" t="n">
        <v>43868</v>
      </c>
      <c r="C39" s="1" t="n">
        <v>4352</v>
      </c>
      <c r="D39" s="1" t="n">
        <f aca="false">C39-C38</f>
        <v>1583</v>
      </c>
      <c r="E39" s="1" t="n">
        <v>178.1</v>
      </c>
      <c r="F39" s="1" t="n">
        <f aca="false">E39-E38</f>
        <v>0</v>
      </c>
      <c r="G39" s="1" t="n">
        <v>3.13</v>
      </c>
      <c r="H39" s="1" t="n">
        <f aca="false">G39-G38</f>
        <v>1.14</v>
      </c>
      <c r="I39" s="1" t="n">
        <v>41</v>
      </c>
      <c r="J39" s="1" t="n">
        <f aca="false">I39-I38</f>
        <v>14</v>
      </c>
      <c r="K39" s="1" t="s">
        <v>181</v>
      </c>
      <c r="L39" s="1" t="n">
        <f aca="false">QUARTILE($C$33:$C$61, 3)</f>
        <v>9142</v>
      </c>
      <c r="M39" s="1" t="n">
        <f aca="false">QUARTILE($E$33:$E$61, 3)</f>
        <v>381.1</v>
      </c>
      <c r="N39" s="1" t="n">
        <f aca="false">QUARTILE($G$33:$G$61, 3)</f>
        <v>6.58</v>
      </c>
      <c r="O39" s="1" t="n">
        <f aca="false">QUARTILE($I$33:$I$61, 3)</f>
        <v>90</v>
      </c>
    </row>
    <row r="40" customFormat="false" ht="13.8" hidden="false" customHeight="false" outlineLevel="0" collapsed="false">
      <c r="A40" s="1" t="n">
        <v>39</v>
      </c>
      <c r="B40" s="30" t="n">
        <v>43869</v>
      </c>
      <c r="C40" s="1" t="n">
        <v>5354</v>
      </c>
      <c r="D40" s="1" t="n">
        <f aca="false">C40-C39</f>
        <v>1002</v>
      </c>
      <c r="E40" s="1" t="n">
        <v>227.3</v>
      </c>
      <c r="F40" s="1" t="n">
        <f aca="false">E40-E39</f>
        <v>49.2</v>
      </c>
      <c r="G40" s="1" t="n">
        <v>3.85</v>
      </c>
      <c r="H40" s="1" t="n">
        <f aca="false">G40-G39</f>
        <v>0.72</v>
      </c>
      <c r="I40" s="1" t="n">
        <v>55</v>
      </c>
      <c r="J40" s="1" t="n">
        <f aca="false">I40-I39</f>
        <v>14</v>
      </c>
      <c r="K40" s="1" t="s">
        <v>182</v>
      </c>
      <c r="L40" s="1" t="n">
        <f aca="false">VAR($C$33:$C$61)</f>
        <v>34917638.5517241</v>
      </c>
      <c r="M40" s="1" t="n">
        <f aca="false">VAR($E$33:$E$61)</f>
        <v>63328.2769458128</v>
      </c>
      <c r="N40" s="1" t="n">
        <f aca="false">VAR($G$33:$G$61)</f>
        <v>18.0999992610837</v>
      </c>
      <c r="O40" s="1" t="n">
        <f aca="false">VAR($I$33:$I$61)</f>
        <v>4093.45320197044</v>
      </c>
    </row>
    <row r="41" customFormat="false" ht="13.8" hidden="false" customHeight="false" outlineLevel="0" collapsed="false">
      <c r="A41" s="1" t="n">
        <v>40</v>
      </c>
      <c r="B41" s="30" t="n">
        <v>43870</v>
      </c>
      <c r="C41" s="1" t="n">
        <v>5961</v>
      </c>
      <c r="D41" s="1" t="n">
        <f aca="false">C41-C40</f>
        <v>607</v>
      </c>
      <c r="E41" s="1" t="n">
        <v>258</v>
      </c>
      <c r="F41" s="1" t="n">
        <f aca="false">E41-E40</f>
        <v>30.7</v>
      </c>
      <c r="G41" s="1" t="n">
        <v>4.29</v>
      </c>
      <c r="H41" s="1" t="n">
        <f aca="false">G41-G40</f>
        <v>0.44</v>
      </c>
      <c r="I41" s="1" t="n">
        <v>64</v>
      </c>
      <c r="J41" s="1" t="n">
        <f aca="false">I41-I40</f>
        <v>9</v>
      </c>
      <c r="K41" s="1" t="s">
        <v>16</v>
      </c>
      <c r="L41" s="1" t="n">
        <f aca="false">STDEV($C$33:$C$61)</f>
        <v>5909.11487041199</v>
      </c>
      <c r="M41" s="1" t="n">
        <f aca="false">STDEV($E$33:$E$61)</f>
        <v>251.651101618516</v>
      </c>
      <c r="N41" s="1" t="n">
        <f aca="false">STDEV($G$33:$G$61)</f>
        <v>4.2544093903953</v>
      </c>
      <c r="O41" s="1" t="n">
        <f aca="false">STDEV($I$33:$I$61)</f>
        <v>63.9801000465804</v>
      </c>
    </row>
    <row r="42" customFormat="false" ht="13.8" hidden="false" customHeight="false" outlineLevel="0" collapsed="false">
      <c r="A42" s="1" t="n">
        <v>41</v>
      </c>
      <c r="B42" s="30" t="n">
        <v>43871</v>
      </c>
      <c r="C42" s="1" t="n">
        <v>9302</v>
      </c>
      <c r="D42" s="1" t="n">
        <f aca="false">C42-C41</f>
        <v>3341</v>
      </c>
      <c r="E42" s="1" t="n">
        <v>382.6</v>
      </c>
      <c r="F42" s="1" t="n">
        <f aca="false">E42-E41</f>
        <v>124.6</v>
      </c>
      <c r="G42" s="1" t="n">
        <v>6.7</v>
      </c>
      <c r="H42" s="1" t="n">
        <f aca="false">G42-G41</f>
        <v>2.41</v>
      </c>
      <c r="I42" s="1" t="n">
        <v>89</v>
      </c>
      <c r="J42" s="1" t="n">
        <f aca="false">I42-I41</f>
        <v>25</v>
      </c>
      <c r="K42" s="1" t="s">
        <v>20</v>
      </c>
      <c r="L42" s="1" t="n">
        <f aca="false">KURT($C$33:$C$61)</f>
        <v>2.31360641719102</v>
      </c>
      <c r="M42" s="1" t="n">
        <f aca="false">KURT($E$33:$E$61)</f>
        <v>2.67082034567672</v>
      </c>
      <c r="N42" s="1" t="n">
        <f aca="false">KURT($G$33:$G$61)</f>
        <v>2.31342788782906</v>
      </c>
      <c r="O42" s="1" t="n">
        <f aca="false">KURT($I$33:$I$61)</f>
        <v>3.06044254580138</v>
      </c>
    </row>
    <row r="43" customFormat="false" ht="13.8" hidden="false" customHeight="false" outlineLevel="0" collapsed="false">
      <c r="A43" s="1" t="n">
        <v>42</v>
      </c>
      <c r="B43" s="30" t="n">
        <v>43872</v>
      </c>
      <c r="C43" s="1" t="n">
        <v>14553</v>
      </c>
      <c r="D43" s="1" t="n">
        <f aca="false">C43-C42</f>
        <v>5251</v>
      </c>
      <c r="E43" s="1" t="n">
        <v>594.8</v>
      </c>
      <c r="F43" s="1" t="n">
        <f aca="false">E43-E42</f>
        <v>212.2</v>
      </c>
      <c r="G43" s="1" t="n">
        <v>10.48</v>
      </c>
      <c r="H43" s="1" t="n">
        <f aca="false">G43-G42</f>
        <v>3.78</v>
      </c>
      <c r="I43" s="1" t="n">
        <v>137</v>
      </c>
      <c r="J43" s="1" t="n">
        <f aca="false">I43-I42</f>
        <v>48</v>
      </c>
      <c r="K43" s="1" t="s">
        <v>22</v>
      </c>
      <c r="L43" s="1" t="n">
        <f aca="false">SKEW($C$33:$C$61)</f>
        <v>1.54850107861159</v>
      </c>
      <c r="M43" s="1" t="n">
        <f aca="false">SKEW($E$33:$E$61)</f>
        <v>1.64932921371644</v>
      </c>
      <c r="N43" s="1" t="n">
        <f aca="false">SKEW($G$33:$G$61)</f>
        <v>1.54856724045368</v>
      </c>
      <c r="O43" s="1" t="n">
        <f aca="false">SKEW($I$33:$I$61)</f>
        <v>1.76121390668929</v>
      </c>
    </row>
    <row r="44" customFormat="false" ht="13.8" hidden="false" customHeight="false" outlineLevel="0" collapsed="false">
      <c r="A44" s="1" t="n">
        <v>43</v>
      </c>
      <c r="B44" s="30" t="n">
        <v>43873</v>
      </c>
      <c r="C44" s="1" t="n">
        <v>1017</v>
      </c>
      <c r="D44" s="1" t="n">
        <f aca="false">C44-C43</f>
        <v>-13536</v>
      </c>
      <c r="E44" s="1" t="n">
        <v>42.3</v>
      </c>
      <c r="F44" s="1" t="n">
        <f aca="false">E44-E43</f>
        <v>-552.5</v>
      </c>
      <c r="G44" s="1" t="n">
        <v>0.73</v>
      </c>
      <c r="H44" s="1" t="n">
        <f aca="false">G44-G43</f>
        <v>-9.75</v>
      </c>
      <c r="I44" s="1" t="n">
        <v>10</v>
      </c>
      <c r="J44" s="1" t="n">
        <f aca="false">I44-I43</f>
        <v>-127</v>
      </c>
      <c r="K44" s="1" t="s">
        <v>24</v>
      </c>
      <c r="L44" s="1" t="n">
        <f aca="false">MAX($C$33:$C$61)-MIN($C$33:$C$61)</f>
        <v>24184</v>
      </c>
      <c r="M44" s="1" t="n">
        <f aca="false">MAX($E$33:$E$61)-MIN($E$33:$E$61)</f>
        <v>1032.6</v>
      </c>
      <c r="N44" s="1" t="n">
        <f aca="false">MAX($G$33:$G$61)-MIN($G$33:$G$61)</f>
        <v>17.41</v>
      </c>
      <c r="O44" s="1" t="n">
        <f aca="false">MAX($I$33:$I$61)-MIN($I$33:$I$61)</f>
        <v>260</v>
      </c>
    </row>
    <row r="45" customFormat="false" ht="13.8" hidden="false" customHeight="false" outlineLevel="0" collapsed="false">
      <c r="A45" s="1" t="n">
        <v>44</v>
      </c>
      <c r="B45" s="30" t="n">
        <v>43874</v>
      </c>
      <c r="C45" s="1" t="n">
        <v>11657</v>
      </c>
      <c r="D45" s="1" t="n">
        <f aca="false">C45-C44</f>
        <v>10640</v>
      </c>
      <c r="E45" s="1" t="n">
        <v>473.3</v>
      </c>
      <c r="F45" s="1" t="n">
        <f aca="false">E45-E44</f>
        <v>431</v>
      </c>
      <c r="G45" s="1" t="n">
        <v>8.39</v>
      </c>
      <c r="H45" s="1" t="n">
        <f aca="false">G45-G44</f>
        <v>7.66</v>
      </c>
      <c r="I45" s="1" t="n">
        <v>107</v>
      </c>
      <c r="J45" s="1" t="n">
        <f aca="false">I45-I44</f>
        <v>97</v>
      </c>
      <c r="K45" s="1" t="s">
        <v>26</v>
      </c>
      <c r="L45" s="1" t="n">
        <f aca="false">MIN($C$33:$C$61)</f>
        <v>915</v>
      </c>
      <c r="M45" s="1" t="n">
        <f aca="false">MIN($E$33:$E$61)</f>
        <v>42.3</v>
      </c>
      <c r="N45" s="1" t="n">
        <f aca="false">MIN($G$33:$G$61)</f>
        <v>0.66</v>
      </c>
      <c r="O45" s="1" t="n">
        <f aca="false">MIN($I$33:$I$61)</f>
        <v>10</v>
      </c>
    </row>
    <row r="46" customFormat="false" ht="13.8" hidden="false" customHeight="false" outlineLevel="0" collapsed="false">
      <c r="A46" s="1" t="n">
        <v>45</v>
      </c>
      <c r="B46" s="30" t="n">
        <v>43875</v>
      </c>
      <c r="C46" s="1" t="n">
        <v>3359</v>
      </c>
      <c r="D46" s="1" t="n">
        <f aca="false">C46-C45</f>
        <v>-8298</v>
      </c>
      <c r="E46" s="1" t="n">
        <v>138.7</v>
      </c>
      <c r="F46" s="1" t="n">
        <f aca="false">E46-E45</f>
        <v>-334.6</v>
      </c>
      <c r="G46" s="1" t="n">
        <v>2.42</v>
      </c>
      <c r="H46" s="1" t="n">
        <f aca="false">G46-G45</f>
        <v>-5.97</v>
      </c>
      <c r="I46" s="1" t="n">
        <v>33</v>
      </c>
      <c r="J46" s="1" t="n">
        <f aca="false">I46-I45</f>
        <v>-74</v>
      </c>
      <c r="K46" s="1" t="s">
        <v>28</v>
      </c>
      <c r="L46" s="1" t="n">
        <f aca="false">MAX($C$33:$C$61)</f>
        <v>25099</v>
      </c>
      <c r="M46" s="1" t="n">
        <f aca="false">MAX($E$33:$E$61)</f>
        <v>1074.9</v>
      </c>
      <c r="N46" s="1" t="n">
        <f aca="false">MAX($G$33:$G$61)</f>
        <v>18.07</v>
      </c>
      <c r="O46" s="1" t="n">
        <f aca="false">MAX($I$33:$I$61)</f>
        <v>270</v>
      </c>
    </row>
    <row r="47" customFormat="false" ht="13.8" hidden="false" customHeight="false" outlineLevel="0" collapsed="false">
      <c r="A47" s="1" t="n">
        <v>46</v>
      </c>
      <c r="B47" s="30" t="n">
        <v>43876</v>
      </c>
      <c r="C47" s="1" t="n">
        <v>4559</v>
      </c>
      <c r="D47" s="1" t="n">
        <f aca="false">C47-C46</f>
        <v>1200</v>
      </c>
      <c r="E47" s="1" t="n">
        <v>208.9</v>
      </c>
      <c r="F47" s="1" t="n">
        <f aca="false">E47-E46</f>
        <v>70.2</v>
      </c>
      <c r="G47" s="1" t="n">
        <v>3.28</v>
      </c>
      <c r="H47" s="1" t="n">
        <f aca="false">G47-G46</f>
        <v>0.86</v>
      </c>
      <c r="I47" s="1" t="n">
        <v>56</v>
      </c>
      <c r="J47" s="1" t="n">
        <f aca="false">I47-I46</f>
        <v>23</v>
      </c>
      <c r="K47" s="1" t="s">
        <v>30</v>
      </c>
      <c r="L47" s="1" t="n">
        <f aca="false">SUM($C$33:$C$61)</f>
        <v>225682</v>
      </c>
      <c r="M47" s="1" t="n">
        <f aca="false">SUM($E$33:$E$61)</f>
        <v>9645.8</v>
      </c>
      <c r="N47" s="1" t="n">
        <f aca="false">SUM($G$33:$G$61)</f>
        <v>162.48</v>
      </c>
      <c r="O47" s="1" t="n">
        <f aca="false">SUM($I$33:$I$61)</f>
        <v>2352</v>
      </c>
    </row>
    <row r="48" customFormat="false" ht="13.8" hidden="false" customHeight="false" outlineLevel="0" collapsed="false">
      <c r="A48" s="1" t="n">
        <v>47</v>
      </c>
      <c r="B48" s="30" t="n">
        <v>43877</v>
      </c>
      <c r="C48" s="1" t="n">
        <v>5039</v>
      </c>
      <c r="D48" s="1" t="n">
        <f aca="false">C48-C47</f>
        <v>480</v>
      </c>
      <c r="E48" s="1" t="n">
        <v>234.2</v>
      </c>
      <c r="F48" s="1" t="n">
        <f aca="false">E48-E47</f>
        <v>25.3</v>
      </c>
      <c r="G48" s="1" t="n">
        <v>3.63</v>
      </c>
      <c r="H48" s="1" t="n">
        <f aca="false">G48-G47</f>
        <v>0.35</v>
      </c>
      <c r="I48" s="1" t="n">
        <v>64</v>
      </c>
      <c r="J48" s="1" t="n">
        <f aca="false">I48-I47</f>
        <v>8</v>
      </c>
      <c r="K48" s="1" t="s">
        <v>32</v>
      </c>
      <c r="L48" s="1" t="n">
        <f aca="false">COUNT($C$33:$C$61)</f>
        <v>29</v>
      </c>
      <c r="M48" s="1" t="n">
        <f aca="false">COUNT($E$33:$E$61)</f>
        <v>29</v>
      </c>
      <c r="N48" s="1" t="n">
        <f aca="false">COUNT($G$33:$G$61)</f>
        <v>29</v>
      </c>
      <c r="O48" s="1" t="n">
        <f aca="false">COUNT($I$33:$I$61)</f>
        <v>29</v>
      </c>
    </row>
    <row r="49" customFormat="false" ht="13.8" hidden="false" customHeight="false" outlineLevel="0" collapsed="false">
      <c r="A49" s="1" t="n">
        <v>48</v>
      </c>
      <c r="B49" s="30" t="n">
        <v>43878</v>
      </c>
      <c r="C49" s="1" t="n">
        <v>7885</v>
      </c>
      <c r="D49" s="1" t="n">
        <f aca="false">C49-C48</f>
        <v>2846</v>
      </c>
      <c r="E49" s="1" t="n">
        <v>330.5</v>
      </c>
      <c r="F49" s="1" t="n">
        <f aca="false">E49-E48</f>
        <v>96.3</v>
      </c>
      <c r="G49" s="1" t="n">
        <v>5.68</v>
      </c>
      <c r="H49" s="1" t="n">
        <f aca="false">G49-G48</f>
        <v>2.05</v>
      </c>
      <c r="I49" s="1" t="n">
        <v>80</v>
      </c>
      <c r="J49" s="1" t="n">
        <f aca="false">I49-I48</f>
        <v>16</v>
      </c>
    </row>
    <row r="50" customFormat="false" ht="13.8" hidden="false" customHeight="false" outlineLevel="0" collapsed="false">
      <c r="A50" s="1" t="n">
        <v>49</v>
      </c>
      <c r="B50" s="30" t="n">
        <v>43879</v>
      </c>
      <c r="C50" s="1" t="n">
        <v>7682</v>
      </c>
      <c r="D50" s="1" t="n">
        <f aca="false">C50-C49</f>
        <v>-203</v>
      </c>
      <c r="E50" s="1" t="n">
        <v>318.9</v>
      </c>
      <c r="F50" s="1" t="n">
        <f aca="false">E50-E49</f>
        <v>-11.6</v>
      </c>
      <c r="G50" s="1" t="n">
        <v>5.53</v>
      </c>
      <c r="H50" s="1" t="n">
        <f aca="false">G50-G49</f>
        <v>-0.149999999999999</v>
      </c>
      <c r="I50" s="1" t="n">
        <v>76</v>
      </c>
      <c r="J50" s="1" t="n">
        <f aca="false">I50-I49</f>
        <v>-4</v>
      </c>
    </row>
    <row r="51" customFormat="false" ht="13.8" hidden="false" customHeight="false" outlineLevel="0" collapsed="false">
      <c r="A51" s="1" t="n">
        <v>50</v>
      </c>
      <c r="B51" s="30" t="n">
        <v>43880</v>
      </c>
      <c r="C51" s="1" t="n">
        <v>8911</v>
      </c>
      <c r="D51" s="1" t="n">
        <f aca="false">C51-C50</f>
        <v>1229</v>
      </c>
      <c r="E51" s="1" t="n">
        <v>381.1</v>
      </c>
      <c r="F51" s="1" t="n">
        <f aca="false">E51-E50</f>
        <v>62.2</v>
      </c>
      <c r="G51" s="1" t="n">
        <v>6.42</v>
      </c>
      <c r="H51" s="1" t="n">
        <f aca="false">G51-G50</f>
        <v>0.89</v>
      </c>
      <c r="I51" s="1" t="n">
        <v>95</v>
      </c>
      <c r="J51" s="1" t="n">
        <f aca="false">I51-I50</f>
        <v>19</v>
      </c>
    </row>
    <row r="52" customFormat="false" ht="13.8" hidden="false" customHeight="false" outlineLevel="0" collapsed="false">
      <c r="A52" s="1" t="n">
        <v>51</v>
      </c>
      <c r="B52" s="30" t="n">
        <v>43881</v>
      </c>
      <c r="C52" s="1" t="n">
        <v>2165</v>
      </c>
      <c r="D52" s="1" t="n">
        <f aca="false">C52-C51</f>
        <v>-6746</v>
      </c>
      <c r="E52" s="1" t="n">
        <v>95</v>
      </c>
      <c r="F52" s="1" t="n">
        <f aca="false">E52-E51</f>
        <v>-286.1</v>
      </c>
      <c r="G52" s="1" t="n">
        <v>1.56</v>
      </c>
      <c r="H52" s="1" t="n">
        <f aca="false">G52-G51</f>
        <v>-4.86</v>
      </c>
      <c r="I52" s="1" t="n">
        <v>24</v>
      </c>
      <c r="J52" s="1" t="n">
        <f aca="false">I52-I51</f>
        <v>-71</v>
      </c>
    </row>
    <row r="53" customFormat="false" ht="13.8" hidden="false" customHeight="false" outlineLevel="0" collapsed="false">
      <c r="A53" s="1" t="n">
        <v>52</v>
      </c>
      <c r="B53" s="30" t="n">
        <v>43882</v>
      </c>
      <c r="C53" s="1" t="n">
        <v>6017</v>
      </c>
      <c r="D53" s="1" t="n">
        <f aca="false">C53-C52</f>
        <v>3852</v>
      </c>
      <c r="E53" s="1" t="n">
        <v>258.8</v>
      </c>
      <c r="F53" s="1" t="n">
        <f aca="false">E53-E52</f>
        <v>163.8</v>
      </c>
      <c r="G53" s="1" t="n">
        <v>4.33</v>
      </c>
      <c r="H53" s="1" t="n">
        <f aca="false">G53-G52</f>
        <v>2.77</v>
      </c>
      <c r="I53" s="1" t="n">
        <v>65</v>
      </c>
      <c r="J53" s="1" t="n">
        <f aca="false">I53-I52</f>
        <v>41</v>
      </c>
    </row>
    <row r="54" customFormat="false" ht="13.8" hidden="false" customHeight="false" outlineLevel="0" collapsed="false">
      <c r="A54" s="1" t="n">
        <v>53</v>
      </c>
      <c r="B54" s="30" t="n">
        <v>43883</v>
      </c>
      <c r="C54" s="1" t="n">
        <v>915</v>
      </c>
      <c r="D54" s="1" t="n">
        <f aca="false">C54-C53</f>
        <v>-5102</v>
      </c>
      <c r="E54" s="1" t="n">
        <v>44.2</v>
      </c>
      <c r="F54" s="1" t="n">
        <f aca="false">E54-E53</f>
        <v>-214.6</v>
      </c>
      <c r="G54" s="1" t="n">
        <v>0.66</v>
      </c>
      <c r="H54" s="1" t="n">
        <f aca="false">G54-G53</f>
        <v>-3.67</v>
      </c>
      <c r="I54" s="1" t="n">
        <v>12</v>
      </c>
      <c r="J54" s="1" t="n">
        <f aca="false">I54-I53</f>
        <v>-53</v>
      </c>
    </row>
    <row r="55" customFormat="false" ht="13.8" hidden="false" customHeight="false" outlineLevel="0" collapsed="false">
      <c r="A55" s="1" t="n">
        <v>54</v>
      </c>
      <c r="B55" s="30" t="n">
        <v>43884</v>
      </c>
      <c r="C55" s="1" t="n">
        <v>21623</v>
      </c>
      <c r="D55" s="1" t="n">
        <f aca="false">C55-C54</f>
        <v>20708</v>
      </c>
      <c r="E55" s="1" t="n">
        <v>950.8</v>
      </c>
      <c r="F55" s="1" t="n">
        <f aca="false">E55-E54</f>
        <v>906.6</v>
      </c>
      <c r="G55" s="1" t="n">
        <v>15.57</v>
      </c>
      <c r="H55" s="1" t="n">
        <f aca="false">G55-G54</f>
        <v>14.91</v>
      </c>
      <c r="I55" s="1" t="n">
        <v>247</v>
      </c>
      <c r="J55" s="1" t="n">
        <f aca="false">I55-I54</f>
        <v>235</v>
      </c>
    </row>
    <row r="56" customFormat="false" ht="13.8" hidden="false" customHeight="false" outlineLevel="0" collapsed="false">
      <c r="A56" s="1" t="n">
        <v>55</v>
      </c>
      <c r="B56" s="30" t="n">
        <v>43885</v>
      </c>
      <c r="C56" s="1" t="n">
        <v>4958</v>
      </c>
      <c r="D56" s="1" t="n">
        <f aca="false">C56-C55</f>
        <v>-16665</v>
      </c>
      <c r="E56" s="1" t="n">
        <v>222.4</v>
      </c>
      <c r="F56" s="1" t="n">
        <f aca="false">E56-E55</f>
        <v>-728.4</v>
      </c>
      <c r="G56" s="1" t="n">
        <v>3.57</v>
      </c>
      <c r="H56" s="1" t="n">
        <f aca="false">G56-G55</f>
        <v>-12</v>
      </c>
      <c r="I56" s="1" t="n">
        <v>58</v>
      </c>
      <c r="J56" s="1" t="n">
        <f aca="false">I56-I55</f>
        <v>-189</v>
      </c>
    </row>
    <row r="57" customFormat="false" ht="13.8" hidden="false" customHeight="false" outlineLevel="0" collapsed="false">
      <c r="A57" s="1" t="n">
        <v>56</v>
      </c>
      <c r="B57" s="30" t="n">
        <v>43886</v>
      </c>
      <c r="C57" s="1" t="n">
        <v>7916</v>
      </c>
      <c r="D57" s="1" t="n">
        <f aca="false">C57-C56</f>
        <v>2958</v>
      </c>
      <c r="E57" s="1" t="n">
        <v>331.6</v>
      </c>
      <c r="F57" s="1" t="n">
        <f aca="false">E57-E56</f>
        <v>109.2</v>
      </c>
      <c r="G57" s="1" t="n">
        <v>5.7</v>
      </c>
      <c r="H57" s="1" t="n">
        <f aca="false">G57-G56</f>
        <v>2.13</v>
      </c>
      <c r="I57" s="1" t="n">
        <v>80</v>
      </c>
      <c r="J57" s="1" t="n">
        <f aca="false">I57-I56</f>
        <v>22</v>
      </c>
    </row>
    <row r="58" customFormat="false" ht="13.8" hidden="false" customHeight="false" outlineLevel="0" collapsed="false">
      <c r="A58" s="1" t="n">
        <v>57</v>
      </c>
      <c r="B58" s="30" t="n">
        <v>43887</v>
      </c>
      <c r="C58" s="1" t="n">
        <v>8077</v>
      </c>
      <c r="D58" s="1" t="n">
        <f aca="false">C58-C57</f>
        <v>161</v>
      </c>
      <c r="E58" s="1" t="n">
        <v>336.1</v>
      </c>
      <c r="F58" s="1" t="n">
        <f aca="false">E58-E57</f>
        <v>4.5</v>
      </c>
      <c r="G58" s="1" t="n">
        <v>5.82</v>
      </c>
      <c r="H58" s="1" t="n">
        <f aca="false">G58-G57</f>
        <v>0.12</v>
      </c>
      <c r="I58" s="1" t="n">
        <v>81</v>
      </c>
      <c r="J58" s="1" t="n">
        <f aca="false">I58-I57</f>
        <v>1</v>
      </c>
    </row>
    <row r="59" customFormat="false" ht="13.8" hidden="false" customHeight="false" outlineLevel="0" collapsed="false">
      <c r="A59" s="1" t="n">
        <v>58</v>
      </c>
      <c r="B59" s="30" t="n">
        <v>43888</v>
      </c>
      <c r="C59" s="1" t="n">
        <v>7893</v>
      </c>
      <c r="D59" s="1" t="n">
        <f aca="false">C59-C58</f>
        <v>-184</v>
      </c>
      <c r="E59" s="1" t="n">
        <v>325.7</v>
      </c>
      <c r="F59" s="1" t="n">
        <f aca="false">E59-E58</f>
        <v>-10.4</v>
      </c>
      <c r="G59" s="1" t="n">
        <v>5.68</v>
      </c>
      <c r="H59" s="1" t="n">
        <f aca="false">G59-G58</f>
        <v>-0.140000000000001</v>
      </c>
      <c r="I59" s="1" t="n">
        <v>76</v>
      </c>
      <c r="J59" s="1" t="n">
        <f aca="false">I59-I58</f>
        <v>-5</v>
      </c>
    </row>
    <row r="60" customFormat="false" ht="13.8" hidden="false" customHeight="false" outlineLevel="0" collapsed="false">
      <c r="A60" s="1" t="n">
        <v>59</v>
      </c>
      <c r="B60" s="30" t="n">
        <v>43889</v>
      </c>
      <c r="C60" s="1" t="n">
        <v>1549</v>
      </c>
      <c r="D60" s="1" t="n">
        <f aca="false">C60-C59</f>
        <v>-6344</v>
      </c>
      <c r="E60" s="1" t="n">
        <v>63</v>
      </c>
      <c r="F60" s="1" t="n">
        <f aca="false">E60-E59</f>
        <v>-262.7</v>
      </c>
      <c r="G60" s="1" t="n">
        <v>1.12</v>
      </c>
      <c r="H60" s="1" t="n">
        <f aca="false">G60-G59</f>
        <v>-4.56</v>
      </c>
      <c r="I60" s="1" t="n">
        <v>14</v>
      </c>
      <c r="J60" s="1" t="n">
        <f aca="false">I60-I59</f>
        <v>-62</v>
      </c>
    </row>
    <row r="61" customFormat="false" ht="13.8" hidden="false" customHeight="false" outlineLevel="0" collapsed="false">
      <c r="A61" s="1" t="n">
        <v>60</v>
      </c>
      <c r="B61" s="30" t="n">
        <v>43890</v>
      </c>
      <c r="C61" s="1" t="n">
        <v>9576</v>
      </c>
      <c r="D61" s="1" t="n">
        <f aca="false">C61-C60</f>
        <v>8027</v>
      </c>
      <c r="E61" s="1" t="n">
        <v>409.1</v>
      </c>
      <c r="F61" s="1" t="n">
        <f aca="false">E61-E60</f>
        <v>346.1</v>
      </c>
      <c r="G61" s="1" t="n">
        <v>6.89</v>
      </c>
      <c r="H61" s="1" t="n">
        <f aca="false">G61-G60</f>
        <v>5.77</v>
      </c>
      <c r="I61" s="1" t="n">
        <v>102</v>
      </c>
      <c r="J61" s="1" t="n">
        <f aca="false">I61-I60</f>
        <v>88</v>
      </c>
    </row>
    <row r="62" customFormat="false" ht="13.8" hidden="false" customHeight="false" outlineLevel="0" collapsed="false">
      <c r="A62" s="1" t="n">
        <v>61</v>
      </c>
      <c r="B62" s="30" t="n">
        <v>43891</v>
      </c>
      <c r="C62" s="1" t="n">
        <v>7107</v>
      </c>
      <c r="D62" s="1" t="n">
        <f aca="false">C62-C61</f>
        <v>-2469</v>
      </c>
      <c r="E62" s="1" t="n">
        <v>300.3</v>
      </c>
      <c r="F62" s="1" t="n">
        <f aca="false">E62-E61</f>
        <v>-108.8</v>
      </c>
      <c r="G62" s="1" t="n">
        <v>5.12</v>
      </c>
      <c r="H62" s="1" t="n">
        <f aca="false">G62-G61</f>
        <v>-1.77</v>
      </c>
      <c r="I62" s="1" t="n">
        <v>74</v>
      </c>
      <c r="J62" s="1" t="n">
        <f aca="false">I62-I61</f>
        <v>-28</v>
      </c>
      <c r="L62" s="1" t="s">
        <v>2</v>
      </c>
      <c r="M62" s="1" t="s">
        <v>173</v>
      </c>
      <c r="N62" s="1" t="s">
        <v>175</v>
      </c>
      <c r="O62" s="1" t="s">
        <v>177</v>
      </c>
    </row>
    <row r="63" customFormat="false" ht="13.8" hidden="false" customHeight="false" outlineLevel="0" collapsed="false">
      <c r="A63" s="1" t="n">
        <v>62</v>
      </c>
      <c r="B63" s="30" t="n">
        <v>43892</v>
      </c>
      <c r="C63" s="1" t="n">
        <v>4307</v>
      </c>
      <c r="D63" s="1" t="n">
        <f aca="false">C63-C62</f>
        <v>-2800</v>
      </c>
      <c r="E63" s="1" t="n">
        <v>176.7</v>
      </c>
      <c r="F63" s="1" t="n">
        <f aca="false">E63-E62</f>
        <v>-123.6</v>
      </c>
      <c r="G63" s="1" t="n">
        <v>3.1</v>
      </c>
      <c r="H63" s="1" t="n">
        <f aca="false">G63-G62</f>
        <v>-2.02</v>
      </c>
      <c r="I63" s="1" t="n">
        <v>41</v>
      </c>
      <c r="J63" s="1" t="n">
        <f aca="false">I63-I62</f>
        <v>-33</v>
      </c>
      <c r="K63" s="1" t="s">
        <v>8</v>
      </c>
      <c r="L63" s="1" t="n">
        <f aca="false">AVERAGE($C$62:$C$92)</f>
        <v>5775.41935483871</v>
      </c>
      <c r="M63" s="1" t="n">
        <f aca="false">AVERAGE($E$62:$E$92)</f>
        <v>243.522580645161</v>
      </c>
      <c r="N63" s="1" t="n">
        <f aca="false">AVERAGE($G$62:$G$92)</f>
        <v>4.15838709677419</v>
      </c>
      <c r="O63" s="1" t="n">
        <f aca="false">AVERAGE($I$62:$I$92)</f>
        <v>58.9032258064516</v>
      </c>
    </row>
    <row r="64" customFormat="false" ht="13.8" hidden="false" customHeight="false" outlineLevel="0" collapsed="false">
      <c r="A64" s="1" t="n">
        <v>63</v>
      </c>
      <c r="B64" s="30" t="n">
        <v>43893</v>
      </c>
      <c r="C64" s="1" t="n">
        <v>8745</v>
      </c>
      <c r="D64" s="1" t="n">
        <f aca="false">C64-C63</f>
        <v>4438</v>
      </c>
      <c r="E64" s="1" t="n">
        <v>382.6</v>
      </c>
      <c r="F64" s="1" t="n">
        <f aca="false">E64-E63</f>
        <v>205.9</v>
      </c>
      <c r="G64" s="1" t="n">
        <v>6.3</v>
      </c>
      <c r="H64" s="1" t="n">
        <f aca="false">G64-G63</f>
        <v>3.2</v>
      </c>
      <c r="I64" s="1" t="n">
        <v>97</v>
      </c>
      <c r="J64" s="1" t="n">
        <f aca="false">I64-I63</f>
        <v>56</v>
      </c>
      <c r="K64" s="1" t="s">
        <v>10</v>
      </c>
      <c r="L64" s="1" t="n">
        <f aca="false">SQRT(VAR($C$62:$C$92)/COUNT($C$62:$C$92))</f>
        <v>1243.14299714166</v>
      </c>
      <c r="M64" s="1" t="n">
        <f aca="false">SQRT(VAR($E$62:$E$92)/COUNT($E$62:$E$92))</f>
        <v>53.3844521906143</v>
      </c>
      <c r="N64" s="1" t="n">
        <f aca="false">SQRT(VAR($G$62:$G$92)/COUNT($G$62:$G$92))</f>
        <v>0.895239872555845</v>
      </c>
      <c r="O64" s="1" t="n">
        <f aca="false">SQRT(VAR($I$62:$I$92)/COUNT($I$62:$I$92))</f>
        <v>13.388115002085</v>
      </c>
    </row>
    <row r="65" customFormat="false" ht="13.8" hidden="false" customHeight="false" outlineLevel="0" collapsed="false">
      <c r="A65" s="1" t="n">
        <v>64</v>
      </c>
      <c r="B65" s="30" t="n">
        <v>43894</v>
      </c>
      <c r="C65" s="1" t="n">
        <v>3971</v>
      </c>
      <c r="D65" s="1" t="n">
        <f aca="false">C65-C64</f>
        <v>-4774</v>
      </c>
      <c r="E65" s="1" t="n">
        <v>170.4</v>
      </c>
      <c r="F65" s="1" t="n">
        <f aca="false">E65-E64</f>
        <v>-212.2</v>
      </c>
      <c r="G65" s="1" t="n">
        <v>2.86</v>
      </c>
      <c r="H65" s="1" t="n">
        <f aca="false">G65-G64</f>
        <v>-3.44</v>
      </c>
      <c r="I65" s="1" t="n">
        <v>43</v>
      </c>
      <c r="J65" s="1" t="n">
        <f aca="false">I65-I64</f>
        <v>-54</v>
      </c>
      <c r="K65" s="1" t="s">
        <v>14</v>
      </c>
      <c r="L65" s="1" t="e">
        <f aca="false">MODE($C$62:$C$92)</f>
        <v>#VALUE!</v>
      </c>
      <c r="M65" s="1" t="n">
        <f aca="false">MODE($E$62:$E$92)</f>
        <v>74.9</v>
      </c>
      <c r="N65" s="1" t="e">
        <f aca="false">MODE($G$62:$G$92)</f>
        <v>#VALUE!</v>
      </c>
      <c r="O65" s="1" t="n">
        <f aca="false">MODE($I$62:$I$92)</f>
        <v>17</v>
      </c>
    </row>
    <row r="66" customFormat="false" ht="13.8" hidden="false" customHeight="false" outlineLevel="0" collapsed="false">
      <c r="A66" s="1" t="n">
        <v>65</v>
      </c>
      <c r="B66" s="30" t="n">
        <v>43895</v>
      </c>
      <c r="C66" s="1" t="n">
        <v>7997</v>
      </c>
      <c r="D66" s="1" t="n">
        <f aca="false">C66-C65</f>
        <v>4026</v>
      </c>
      <c r="E66" s="1" t="n">
        <v>339.2</v>
      </c>
      <c r="F66" s="1" t="n">
        <f aca="false">E66-E65</f>
        <v>168.8</v>
      </c>
      <c r="G66" s="1" t="n">
        <v>5.76</v>
      </c>
      <c r="H66" s="1" t="n">
        <f aca="false">G66-G65</f>
        <v>2.9</v>
      </c>
      <c r="I66" s="1" t="n">
        <v>84</v>
      </c>
      <c r="J66" s="1" t="n">
        <f aca="false">I66-I65</f>
        <v>41</v>
      </c>
      <c r="K66" s="1" t="s">
        <v>12</v>
      </c>
      <c r="L66" s="1" t="n">
        <f aca="false">MEDIAN($C$62:$C$92)</f>
        <v>3971</v>
      </c>
      <c r="M66" s="1" t="n">
        <f aca="false">MEDIAN($E$62:$E$92)</f>
        <v>170.4</v>
      </c>
      <c r="N66" s="1" t="n">
        <f aca="false">MEDIAN($G$62:$G$92)</f>
        <v>2.86</v>
      </c>
      <c r="O66" s="1" t="n">
        <f aca="false">MEDIAN($I$62:$I$92)</f>
        <v>40</v>
      </c>
    </row>
    <row r="67" customFormat="false" ht="13.8" hidden="false" customHeight="false" outlineLevel="0" collapsed="false">
      <c r="A67" s="1" t="n">
        <v>66</v>
      </c>
      <c r="B67" s="30" t="n">
        <v>43896</v>
      </c>
      <c r="C67" s="1" t="n">
        <v>12904</v>
      </c>
      <c r="D67" s="1" t="n">
        <f aca="false">C67-C66</f>
        <v>4907</v>
      </c>
      <c r="E67" s="1" t="n">
        <v>537.7</v>
      </c>
      <c r="F67" s="1" t="n">
        <f aca="false">E67-E66</f>
        <v>198.5</v>
      </c>
      <c r="G67" s="1" t="n">
        <v>9.29</v>
      </c>
      <c r="H67" s="1" t="n">
        <f aca="false">G67-G66</f>
        <v>3.53</v>
      </c>
      <c r="I67" s="1" t="n">
        <v>130</v>
      </c>
      <c r="J67" s="1" t="n">
        <f aca="false">I67-I66</f>
        <v>46</v>
      </c>
      <c r="K67" s="1" t="s">
        <v>180</v>
      </c>
      <c r="L67" s="1" t="n">
        <f aca="false">QUARTILE($C$62:$C$92, 1)</f>
        <v>1779</v>
      </c>
      <c r="M67" s="1" t="n">
        <f aca="false">QUARTILE($E$62:$E$92, 1)</f>
        <v>75.3</v>
      </c>
      <c r="N67" s="1" t="n">
        <f aca="false">QUARTILE($G$62:$G$92, 1)</f>
        <v>1.285</v>
      </c>
      <c r="O67" s="1" t="n">
        <f aca="false">QUARTILE($I$62:$I$92, 1)</f>
        <v>18.5</v>
      </c>
    </row>
    <row r="68" customFormat="false" ht="13.8" hidden="false" customHeight="false" outlineLevel="0" collapsed="false">
      <c r="A68" s="1" t="n">
        <v>67</v>
      </c>
      <c r="B68" s="30" t="n">
        <v>43897</v>
      </c>
      <c r="C68" s="1" t="n">
        <v>30607</v>
      </c>
      <c r="D68" s="1" t="n">
        <f aca="false">C68-C67</f>
        <v>17703</v>
      </c>
      <c r="E68" s="1" t="n">
        <v>1260.3</v>
      </c>
      <c r="F68" s="1" t="n">
        <f aca="false">E68-E67</f>
        <v>722.6</v>
      </c>
      <c r="G68" s="1" t="n">
        <v>22.04</v>
      </c>
      <c r="H68" s="1" t="n">
        <f aca="false">G68-G67</f>
        <v>12.75</v>
      </c>
      <c r="I68" s="1" t="n">
        <v>297</v>
      </c>
      <c r="J68" s="1" t="n">
        <f aca="false">I68-I67</f>
        <v>167</v>
      </c>
      <c r="K68" s="1" t="s">
        <v>181</v>
      </c>
      <c r="L68" s="1" t="n">
        <f aca="false">QUARTILE($C$62:$C$92, 3)</f>
        <v>7403.5</v>
      </c>
      <c r="M68" s="1" t="n">
        <f aca="false">QUARTILE($E$62:$E$92, 3)</f>
        <v>307.2</v>
      </c>
      <c r="N68" s="1" t="n">
        <f aca="false">QUARTILE($G$62:$G$92, 3)</f>
        <v>5.33</v>
      </c>
      <c r="O68" s="1" t="n">
        <f aca="false">QUARTILE($I$62:$I$92, 3)</f>
        <v>72.5</v>
      </c>
    </row>
    <row r="69" customFormat="false" ht="13.8" hidden="false" customHeight="false" outlineLevel="0" collapsed="false">
      <c r="A69" s="1" t="n">
        <v>68</v>
      </c>
      <c r="B69" s="30" t="n">
        <v>43898</v>
      </c>
      <c r="C69" s="1" t="n">
        <v>7700</v>
      </c>
      <c r="D69" s="1" t="n">
        <f aca="false">C69-C68</f>
        <v>-22907</v>
      </c>
      <c r="E69" s="1" t="n">
        <v>321.5</v>
      </c>
      <c r="F69" s="1" t="n">
        <f aca="false">E69-E68</f>
        <v>-938.8</v>
      </c>
      <c r="G69" s="1" t="n">
        <v>5.54</v>
      </c>
      <c r="H69" s="1" t="n">
        <f aca="false">G69-G68</f>
        <v>-16.5</v>
      </c>
      <c r="I69" s="1" t="n">
        <v>78</v>
      </c>
      <c r="J69" s="1" t="n">
        <f aca="false">I69-I68</f>
        <v>-219</v>
      </c>
      <c r="K69" s="1" t="s">
        <v>182</v>
      </c>
      <c r="L69" s="1" t="n">
        <f aca="false">VAR($C$62:$C$92)</f>
        <v>47907539.8516129</v>
      </c>
      <c r="M69" s="1" t="n">
        <f aca="false">VAR($E$62:$E$92)</f>
        <v>88346.8918064516</v>
      </c>
      <c r="N69" s="1" t="n">
        <f aca="false">VAR($G$62:$G$92)</f>
        <v>24.845087311828</v>
      </c>
      <c r="O69" s="1" t="n">
        <f aca="false">VAR($I$62:$I$92)</f>
        <v>5556.49032258065</v>
      </c>
    </row>
    <row r="70" customFormat="false" ht="13.8" hidden="false" customHeight="false" outlineLevel="0" collapsed="false">
      <c r="A70" s="1" t="n">
        <v>69</v>
      </c>
      <c r="B70" s="30" t="n">
        <v>43899</v>
      </c>
      <c r="C70" s="1" t="n">
        <v>2084</v>
      </c>
      <c r="D70" s="1" t="n">
        <f aca="false">C70-C69</f>
        <v>-5616</v>
      </c>
      <c r="E70" s="1" t="n">
        <v>84.4</v>
      </c>
      <c r="F70" s="1" t="n">
        <f aca="false">E70-E69</f>
        <v>-237.1</v>
      </c>
      <c r="G70" s="1" t="n">
        <v>1.5</v>
      </c>
      <c r="H70" s="1" t="n">
        <f aca="false">G70-G69</f>
        <v>-4.04</v>
      </c>
      <c r="I70" s="1" t="n">
        <v>19</v>
      </c>
      <c r="J70" s="1" t="n">
        <f aca="false">I70-I69</f>
        <v>-59</v>
      </c>
      <c r="K70" s="1" t="s">
        <v>16</v>
      </c>
      <c r="L70" s="1" t="n">
        <f aca="false">STDEV($C$62:$C$92)</f>
        <v>6921.52727738705</v>
      </c>
      <c r="M70" s="1" t="n">
        <f aca="false">STDEV($E$62:$E$92)</f>
        <v>297.232050436106</v>
      </c>
      <c r="N70" s="1" t="n">
        <f aca="false">STDEV($G$62:$G$92)</f>
        <v>4.98448465860092</v>
      </c>
      <c r="O70" s="1" t="n">
        <f aca="false">STDEV($I$62:$I$92)</f>
        <v>74.5418695940788</v>
      </c>
    </row>
    <row r="71" customFormat="false" ht="13.8" hidden="false" customHeight="false" outlineLevel="0" collapsed="false">
      <c r="A71" s="1" t="n">
        <v>70</v>
      </c>
      <c r="B71" s="30" t="n">
        <v>43900</v>
      </c>
      <c r="C71" s="1" t="n">
        <v>4846</v>
      </c>
      <c r="D71" s="1" t="n">
        <f aca="false">C71-C70</f>
        <v>2762</v>
      </c>
      <c r="E71" s="1" t="n">
        <v>199.2</v>
      </c>
      <c r="F71" s="1" t="n">
        <f aca="false">E71-E70</f>
        <v>114.8</v>
      </c>
      <c r="G71" s="1" t="n">
        <v>3.49</v>
      </c>
      <c r="H71" s="1" t="n">
        <f aca="false">G71-G70</f>
        <v>1.99</v>
      </c>
      <c r="I71" s="1" t="n">
        <v>46</v>
      </c>
      <c r="J71" s="1" t="n">
        <f aca="false">I71-I70</f>
        <v>27</v>
      </c>
      <c r="K71" s="1" t="s">
        <v>20</v>
      </c>
      <c r="L71" s="1" t="n">
        <f aca="false">KURT($C$62:$C$92)</f>
        <v>7.6990998768125</v>
      </c>
      <c r="M71" s="1" t="n">
        <f aca="false">KURT($E$62:$E$92)</f>
        <v>7.77390198358158</v>
      </c>
      <c r="N71" s="1" t="n">
        <f aca="false">KURT($G$62:$G$92)</f>
        <v>7.6991125582409</v>
      </c>
      <c r="O71" s="1" t="n">
        <f aca="false">KURT($I$62:$I$92)</f>
        <v>8.25121514795107</v>
      </c>
    </row>
    <row r="72" customFormat="false" ht="13.8" hidden="false" customHeight="false" outlineLevel="0" collapsed="false">
      <c r="A72" s="1" t="n">
        <v>71</v>
      </c>
      <c r="B72" s="30" t="n">
        <v>43901</v>
      </c>
      <c r="C72" s="1" t="n">
        <v>4817</v>
      </c>
      <c r="D72" s="1" t="n">
        <f aca="false">C72-C71</f>
        <v>-29</v>
      </c>
      <c r="E72" s="1" t="n">
        <v>194.1</v>
      </c>
      <c r="F72" s="1" t="n">
        <f aca="false">E72-E71</f>
        <v>-5.09999999999999</v>
      </c>
      <c r="G72" s="1" t="n">
        <v>3.47</v>
      </c>
      <c r="H72" s="1" t="n">
        <f aca="false">G72-G71</f>
        <v>-0.02</v>
      </c>
      <c r="I72" s="1" t="n">
        <v>43</v>
      </c>
      <c r="J72" s="1" t="n">
        <f aca="false">I72-I71</f>
        <v>-3</v>
      </c>
      <c r="K72" s="1" t="s">
        <v>22</v>
      </c>
      <c r="L72" s="1" t="n">
        <f aca="false">SKEW($C$62:$C$92)</f>
        <v>2.71936266413524</v>
      </c>
      <c r="M72" s="1" t="n">
        <f aca="false">SKEW($E$62:$E$92)</f>
        <v>2.75289694980417</v>
      </c>
      <c r="N72" s="1" t="n">
        <f aca="false">SKEW($G$62:$G$92)</f>
        <v>2.7193731922768</v>
      </c>
      <c r="O72" s="1" t="n">
        <f aca="false">SKEW($I$62:$I$92)</f>
        <v>2.83320628579775</v>
      </c>
    </row>
    <row r="73" customFormat="false" ht="13.8" hidden="false" customHeight="false" outlineLevel="0" collapsed="false">
      <c r="A73" s="1" t="n">
        <v>72</v>
      </c>
      <c r="B73" s="30" t="n">
        <v>43902</v>
      </c>
      <c r="C73" s="1" t="n">
        <v>8807</v>
      </c>
      <c r="D73" s="1" t="n">
        <f aca="false">C73-C72</f>
        <v>3990</v>
      </c>
      <c r="E73" s="1" t="n">
        <v>362.4</v>
      </c>
      <c r="F73" s="1" t="n">
        <f aca="false">E73-E72</f>
        <v>168.3</v>
      </c>
      <c r="G73" s="1" t="n">
        <v>6.34</v>
      </c>
      <c r="H73" s="1" t="n">
        <f aca="false">G73-G72</f>
        <v>2.87</v>
      </c>
      <c r="I73" s="1" t="n">
        <v>84</v>
      </c>
      <c r="J73" s="1" t="n">
        <f aca="false">I73-I72</f>
        <v>41</v>
      </c>
      <c r="K73" s="1" t="s">
        <v>24</v>
      </c>
      <c r="L73" s="1" t="n">
        <f aca="false">MAX($C$62:$C$92)-MIN($C$62:$C$92)</f>
        <v>30523</v>
      </c>
      <c r="M73" s="1" t="n">
        <f aca="false">MAX($E$62:$E$92)-MIN($E$62:$E$92)</f>
        <v>1256.2</v>
      </c>
      <c r="N73" s="1" t="n">
        <f aca="false">MAX($G$62:$G$92)-MIN($G$62:$G$92)</f>
        <v>21.98</v>
      </c>
      <c r="O73" s="1" t="n">
        <f aca="false">MAX($I$62:$I$92)-MIN($I$62:$I$92)</f>
        <v>330</v>
      </c>
    </row>
    <row r="74" customFormat="false" ht="13.8" hidden="false" customHeight="false" outlineLevel="0" collapsed="false">
      <c r="A74" s="1" t="n">
        <v>73</v>
      </c>
      <c r="B74" s="30" t="n">
        <v>43903</v>
      </c>
      <c r="C74" s="1" t="n">
        <v>7718</v>
      </c>
      <c r="D74" s="1" t="n">
        <f aca="false">C74-C73</f>
        <v>-1089</v>
      </c>
      <c r="E74" s="1" t="n">
        <v>314.1</v>
      </c>
      <c r="F74" s="1" t="n">
        <f aca="false">E74-E73</f>
        <v>-48.3</v>
      </c>
      <c r="G74" s="1" t="n">
        <v>5.56</v>
      </c>
      <c r="H74" s="1" t="n">
        <f aca="false">G74-G73</f>
        <v>-0.78</v>
      </c>
      <c r="I74" s="1" t="n">
        <v>71</v>
      </c>
      <c r="J74" s="1" t="n">
        <f aca="false">I74-I73</f>
        <v>-13</v>
      </c>
      <c r="K74" s="1" t="s">
        <v>26</v>
      </c>
      <c r="L74" s="1" t="n">
        <f aca="false">MIN($C$62:$C$92)</f>
        <v>84</v>
      </c>
      <c r="M74" s="1" t="n">
        <f aca="false">MIN($E$62:$E$92)</f>
        <v>4.1</v>
      </c>
      <c r="N74" s="1" t="n">
        <f aca="false">MIN($G$62:$G$92)</f>
        <v>0.06</v>
      </c>
      <c r="O74" s="1" t="n">
        <f aca="false">MIN($I$62:$I$92)</f>
        <v>1</v>
      </c>
    </row>
    <row r="75" customFormat="false" ht="13.8" hidden="false" customHeight="false" outlineLevel="0" collapsed="false">
      <c r="A75" s="1" t="n">
        <v>74</v>
      </c>
      <c r="B75" s="30" t="n">
        <v>43904</v>
      </c>
      <c r="C75" s="1" t="n">
        <v>27758</v>
      </c>
      <c r="D75" s="1" t="n">
        <f aca="false">C75-C74</f>
        <v>20040</v>
      </c>
      <c r="E75" s="1" t="n">
        <v>1252.2</v>
      </c>
      <c r="F75" s="1" t="n">
        <f aca="false">E75-E74</f>
        <v>938.1</v>
      </c>
      <c r="G75" s="1" t="n">
        <v>19.99</v>
      </c>
      <c r="H75" s="1" t="n">
        <f aca="false">G75-G74</f>
        <v>14.43</v>
      </c>
      <c r="I75" s="1" t="n">
        <v>331</v>
      </c>
      <c r="J75" s="1" t="n">
        <f aca="false">I75-I74</f>
        <v>260</v>
      </c>
      <c r="K75" s="1" t="s">
        <v>28</v>
      </c>
      <c r="L75" s="1" t="n">
        <f aca="false">MAX($C$62:$C$92)</f>
        <v>30607</v>
      </c>
      <c r="M75" s="1" t="n">
        <f aca="false">MAX($E$62:$E$92)</f>
        <v>1260.3</v>
      </c>
      <c r="N75" s="1" t="n">
        <f aca="false">MAX($G$62:$G$92)</f>
        <v>22.04</v>
      </c>
      <c r="O75" s="1" t="n">
        <f aca="false">MAX($I$62:$I$92)</f>
        <v>331</v>
      </c>
    </row>
    <row r="76" customFormat="false" ht="13.8" hidden="false" customHeight="false" outlineLevel="0" collapsed="false">
      <c r="A76" s="1" t="n">
        <v>75</v>
      </c>
      <c r="B76" s="30" t="n">
        <v>43905</v>
      </c>
      <c r="C76" s="1" t="n">
        <v>1799</v>
      </c>
      <c r="D76" s="1" t="n">
        <f aca="false">C76-C75</f>
        <v>-25959</v>
      </c>
      <c r="E76" s="1" t="n">
        <v>74.9</v>
      </c>
      <c r="F76" s="1" t="n">
        <f aca="false">E76-E75</f>
        <v>-1177.3</v>
      </c>
      <c r="G76" s="1" t="n">
        <v>1.3</v>
      </c>
      <c r="H76" s="1" t="n">
        <f aca="false">G76-G75</f>
        <v>-18.69</v>
      </c>
      <c r="I76" s="1" t="n">
        <v>17</v>
      </c>
      <c r="J76" s="1" t="n">
        <f aca="false">I76-I75</f>
        <v>-314</v>
      </c>
      <c r="K76" s="1" t="s">
        <v>30</v>
      </c>
      <c r="L76" s="1" t="n">
        <f aca="false">SUM($C$62:$C$92)</f>
        <v>179038</v>
      </c>
      <c r="M76" s="1" t="n">
        <f aca="false">SUM($E$62:$E$92)</f>
        <v>7549.2</v>
      </c>
      <c r="N76" s="1" t="n">
        <f aca="false">SUM($G$62:$G$92)</f>
        <v>128.91</v>
      </c>
      <c r="O76" s="1" t="n">
        <f aca="false">SUM($I$62:$I$92)</f>
        <v>1826</v>
      </c>
    </row>
    <row r="77" customFormat="false" ht="13.8" hidden="false" customHeight="false" outlineLevel="0" collapsed="false">
      <c r="A77" s="1" t="n">
        <v>76</v>
      </c>
      <c r="B77" s="30" t="n">
        <v>43906</v>
      </c>
      <c r="C77" s="1" t="n">
        <v>1621</v>
      </c>
      <c r="D77" s="1" t="n">
        <f aca="false">C77-C76</f>
        <v>-178</v>
      </c>
      <c r="E77" s="1" t="n">
        <v>69.3</v>
      </c>
      <c r="F77" s="1" t="n">
        <f aca="false">E77-E76</f>
        <v>-5.60000000000001</v>
      </c>
      <c r="G77" s="1" t="n">
        <v>1.17</v>
      </c>
      <c r="H77" s="1" t="n">
        <f aca="false">G77-G76</f>
        <v>-0.13</v>
      </c>
      <c r="I77" s="1" t="n">
        <v>17</v>
      </c>
      <c r="J77" s="1" t="n">
        <f aca="false">I77-I76</f>
        <v>0</v>
      </c>
      <c r="K77" s="1" t="s">
        <v>32</v>
      </c>
      <c r="L77" s="1" t="n">
        <f aca="false">COUNT($C$62:$C$92)</f>
        <v>31</v>
      </c>
      <c r="M77" s="1" t="n">
        <f aca="false">COUNT($E$62:$E$92)</f>
        <v>31</v>
      </c>
      <c r="N77" s="1" t="n">
        <f aca="false">COUNT($G$62:$G$92)</f>
        <v>31</v>
      </c>
      <c r="O77" s="1" t="n">
        <f aca="false">COUNT($I$62:$I$92)</f>
        <v>31</v>
      </c>
    </row>
    <row r="78" customFormat="false" ht="13.8" hidden="false" customHeight="false" outlineLevel="0" collapsed="false">
      <c r="A78" s="1" t="n">
        <v>77</v>
      </c>
      <c r="B78" s="30" t="n">
        <v>43907</v>
      </c>
      <c r="C78" s="1" t="n">
        <v>4837</v>
      </c>
      <c r="D78" s="1" t="n">
        <f aca="false">C78-C77</f>
        <v>3216</v>
      </c>
      <c r="E78" s="1" t="n">
        <v>196.6</v>
      </c>
      <c r="F78" s="1" t="n">
        <f aca="false">E78-E77</f>
        <v>127.3</v>
      </c>
      <c r="G78" s="1" t="n">
        <v>3.48</v>
      </c>
      <c r="H78" s="1" t="n">
        <f aca="false">G78-G77</f>
        <v>2.31</v>
      </c>
      <c r="I78" s="1" t="n">
        <v>45</v>
      </c>
      <c r="J78" s="1" t="n">
        <f aca="false">I78-I77</f>
        <v>28</v>
      </c>
    </row>
    <row r="79" customFormat="false" ht="13.8" hidden="false" customHeight="false" outlineLevel="0" collapsed="false">
      <c r="A79" s="1" t="n">
        <v>78</v>
      </c>
      <c r="B79" s="30" t="n">
        <v>43908</v>
      </c>
      <c r="C79" s="1" t="n">
        <v>2284</v>
      </c>
      <c r="D79" s="1" t="n">
        <f aca="false">C79-C78</f>
        <v>-2553</v>
      </c>
      <c r="E79" s="1" t="n">
        <v>93.7</v>
      </c>
      <c r="F79" s="1" t="n">
        <f aca="false">E79-E78</f>
        <v>-102.9</v>
      </c>
      <c r="G79" s="1" t="n">
        <v>1.64</v>
      </c>
      <c r="H79" s="1" t="n">
        <f aca="false">G79-G78</f>
        <v>-1.84</v>
      </c>
      <c r="I79" s="1" t="n">
        <v>21</v>
      </c>
      <c r="J79" s="1" t="n">
        <f aca="false">I79-I78</f>
        <v>-24</v>
      </c>
    </row>
    <row r="80" customFormat="false" ht="13.8" hidden="false" customHeight="false" outlineLevel="0" collapsed="false">
      <c r="A80" s="1" t="n">
        <v>79</v>
      </c>
      <c r="B80" s="30" t="n">
        <v>43909</v>
      </c>
      <c r="C80" s="1" t="n">
        <v>198</v>
      </c>
      <c r="D80" s="1" t="n">
        <f aca="false">C80-C79</f>
        <v>-2086</v>
      </c>
      <c r="E80" s="1" t="n">
        <v>8.8</v>
      </c>
      <c r="F80" s="1" t="n">
        <f aca="false">E80-E79</f>
        <v>-84.9</v>
      </c>
      <c r="G80" s="1" t="n">
        <v>0.14</v>
      </c>
      <c r="H80" s="1" t="n">
        <f aca="false">G80-G79</f>
        <v>-1.5</v>
      </c>
      <c r="I80" s="1" t="n">
        <v>2</v>
      </c>
      <c r="J80" s="1" t="n">
        <f aca="false">I80-I79</f>
        <v>-19</v>
      </c>
    </row>
    <row r="81" customFormat="false" ht="13.8" hidden="false" customHeight="false" outlineLevel="0" collapsed="false">
      <c r="A81" s="1" t="n">
        <v>80</v>
      </c>
      <c r="B81" s="30" t="n">
        <v>43910</v>
      </c>
      <c r="C81" s="1" t="n">
        <v>4528</v>
      </c>
      <c r="D81" s="1" t="n">
        <f aca="false">C81-C80</f>
        <v>4330</v>
      </c>
      <c r="E81" s="1" t="n">
        <v>185.9</v>
      </c>
      <c r="F81" s="1" t="n">
        <f aca="false">E81-E80</f>
        <v>177.1</v>
      </c>
      <c r="G81" s="1" t="n">
        <v>3.26</v>
      </c>
      <c r="H81" s="1" t="n">
        <f aca="false">G81-G80</f>
        <v>3.12</v>
      </c>
      <c r="I81" s="1" t="n">
        <v>43</v>
      </c>
      <c r="J81" s="1" t="n">
        <f aca="false">I81-I80</f>
        <v>41</v>
      </c>
    </row>
    <row r="82" customFormat="false" ht="13.8" hidden="false" customHeight="false" outlineLevel="0" collapsed="false">
      <c r="A82" s="1" t="n">
        <v>81</v>
      </c>
      <c r="B82" s="30" t="n">
        <v>43911</v>
      </c>
      <c r="C82" s="1" t="n">
        <v>1744</v>
      </c>
      <c r="D82" s="1" t="n">
        <f aca="false">C82-C81</f>
        <v>-2784</v>
      </c>
      <c r="E82" s="1" t="n">
        <v>74.9</v>
      </c>
      <c r="F82" s="1" t="n">
        <f aca="false">E82-E81</f>
        <v>-111</v>
      </c>
      <c r="G82" s="1" t="n">
        <v>1.26</v>
      </c>
      <c r="H82" s="1" t="n">
        <f aca="false">G82-G81</f>
        <v>-2</v>
      </c>
      <c r="I82" s="1" t="n">
        <v>18</v>
      </c>
      <c r="J82" s="1" t="n">
        <f aca="false">I82-I81</f>
        <v>-25</v>
      </c>
    </row>
    <row r="83" customFormat="false" ht="13.8" hidden="false" customHeight="false" outlineLevel="0" collapsed="false">
      <c r="A83" s="1" t="n">
        <v>82</v>
      </c>
      <c r="B83" s="30" t="n">
        <v>43912</v>
      </c>
      <c r="C83" s="1" t="n">
        <v>84</v>
      </c>
      <c r="D83" s="1" t="n">
        <f aca="false">C83-C82</f>
        <v>-1660</v>
      </c>
      <c r="E83" s="1" t="n">
        <v>4.1</v>
      </c>
      <c r="F83" s="1" t="n">
        <f aca="false">E83-E82</f>
        <v>-70.8</v>
      </c>
      <c r="G83" s="1" t="n">
        <v>0.06</v>
      </c>
      <c r="H83" s="1" t="n">
        <f aca="false">G83-G82</f>
        <v>-1.2</v>
      </c>
      <c r="I83" s="1" t="n">
        <v>1</v>
      </c>
      <c r="J83" s="1" t="n">
        <f aca="false">I83-I82</f>
        <v>-17</v>
      </c>
    </row>
    <row r="84" customFormat="false" ht="13.8" hidden="false" customHeight="false" outlineLevel="0" collapsed="false">
      <c r="A84" s="1" t="n">
        <v>83</v>
      </c>
      <c r="B84" s="30" t="n">
        <v>43913</v>
      </c>
      <c r="C84" s="1" t="n">
        <v>1759</v>
      </c>
      <c r="D84" s="1" t="n">
        <f aca="false">C84-C83</f>
        <v>1675</v>
      </c>
      <c r="E84" s="1" t="n">
        <v>75.7</v>
      </c>
      <c r="F84" s="1" t="n">
        <f aca="false">E84-E83</f>
        <v>71.6</v>
      </c>
      <c r="G84" s="1" t="n">
        <v>1.27</v>
      </c>
      <c r="H84" s="1" t="n">
        <f aca="false">G84-G83</f>
        <v>1.21</v>
      </c>
      <c r="I84" s="1" t="n">
        <v>19</v>
      </c>
      <c r="J84" s="1" t="n">
        <f aca="false">I84-I83</f>
        <v>18</v>
      </c>
    </row>
    <row r="85" customFormat="false" ht="13.8" hidden="false" customHeight="false" outlineLevel="0" collapsed="false">
      <c r="A85" s="1" t="n">
        <v>84</v>
      </c>
      <c r="B85" s="30" t="n">
        <v>43914</v>
      </c>
      <c r="C85" s="1" t="n">
        <v>1471</v>
      </c>
      <c r="D85" s="1" t="n">
        <f aca="false">C85-C84</f>
        <v>-288</v>
      </c>
      <c r="E85" s="1" t="n">
        <v>61.3</v>
      </c>
      <c r="F85" s="1" t="n">
        <f aca="false">E85-E84</f>
        <v>-14.4</v>
      </c>
      <c r="G85" s="1" t="n">
        <v>1.06</v>
      </c>
      <c r="H85" s="1" t="n">
        <f aca="false">G85-G84</f>
        <v>-0.21</v>
      </c>
      <c r="I85" s="1" t="n">
        <v>14</v>
      </c>
      <c r="J85" s="1" t="n">
        <f aca="false">I85-I84</f>
        <v>-5</v>
      </c>
    </row>
    <row r="86" customFormat="false" ht="13.8" hidden="false" customHeight="false" outlineLevel="0" collapsed="false">
      <c r="A86" s="1" t="n">
        <v>85</v>
      </c>
      <c r="B86" s="30" t="n">
        <v>43915</v>
      </c>
      <c r="C86" s="1" t="n">
        <v>1269</v>
      </c>
      <c r="D86" s="1" t="n">
        <f aca="false">C86-C85</f>
        <v>-202</v>
      </c>
      <c r="E86" s="1" t="n">
        <v>55.4</v>
      </c>
      <c r="F86" s="1" t="n">
        <f aca="false">E86-E85</f>
        <v>-5.9</v>
      </c>
      <c r="G86" s="1" t="n">
        <v>0.91</v>
      </c>
      <c r="H86" s="1" t="n">
        <f aca="false">G86-G85</f>
        <v>-0.15</v>
      </c>
      <c r="I86" s="1" t="n">
        <v>14</v>
      </c>
      <c r="J86" s="1" t="n">
        <f aca="false">I86-I85</f>
        <v>0</v>
      </c>
    </row>
    <row r="87" customFormat="false" ht="13.8" hidden="false" customHeight="false" outlineLevel="0" collapsed="false">
      <c r="A87" s="1" t="n">
        <v>86</v>
      </c>
      <c r="B87" s="30" t="n">
        <v>43916</v>
      </c>
      <c r="C87" s="1" t="n">
        <v>1548</v>
      </c>
      <c r="D87" s="1" t="n">
        <f aca="false">C87-C86</f>
        <v>279</v>
      </c>
      <c r="E87" s="1" t="n">
        <v>68</v>
      </c>
      <c r="F87" s="1" t="n">
        <f aca="false">E87-E86</f>
        <v>12.6</v>
      </c>
      <c r="G87" s="1" t="n">
        <v>1.11</v>
      </c>
      <c r="H87" s="1" t="n">
        <f aca="false">G87-G86</f>
        <v>0.2</v>
      </c>
      <c r="I87" s="1" t="n">
        <v>17</v>
      </c>
      <c r="J87" s="1" t="n">
        <f aca="false">I87-I86</f>
        <v>3</v>
      </c>
    </row>
    <row r="88" customFormat="false" ht="13.8" hidden="false" customHeight="false" outlineLevel="0" collapsed="false">
      <c r="A88" s="1" t="n">
        <v>87</v>
      </c>
      <c r="B88" s="30" t="n">
        <v>43917</v>
      </c>
      <c r="C88" s="1" t="n">
        <v>3767</v>
      </c>
      <c r="D88" s="1" t="n">
        <f aca="false">C88-C87</f>
        <v>2219</v>
      </c>
      <c r="E88" s="1" t="n">
        <v>160.1</v>
      </c>
      <c r="F88" s="1" t="n">
        <f aca="false">E88-E87</f>
        <v>92.1</v>
      </c>
      <c r="G88" s="1" t="n">
        <v>2.71</v>
      </c>
      <c r="H88" s="1" t="n">
        <f aca="false">G88-G87</f>
        <v>1.6</v>
      </c>
      <c r="I88" s="1" t="n">
        <v>39</v>
      </c>
      <c r="J88" s="1" t="n">
        <f aca="false">I88-I87</f>
        <v>22</v>
      </c>
    </row>
    <row r="89" customFormat="false" ht="13.8" hidden="false" customHeight="false" outlineLevel="0" collapsed="false">
      <c r="A89" s="1" t="n">
        <v>88</v>
      </c>
      <c r="B89" s="30" t="n">
        <v>43918</v>
      </c>
      <c r="C89" s="1" t="n">
        <v>2199</v>
      </c>
      <c r="D89" s="1" t="n">
        <f aca="false">C89-C88</f>
        <v>-1568</v>
      </c>
      <c r="E89" s="1" t="n">
        <v>94.5</v>
      </c>
      <c r="F89" s="1" t="n">
        <f aca="false">E89-E88</f>
        <v>-65.6</v>
      </c>
      <c r="G89" s="1" t="n">
        <v>1.58</v>
      </c>
      <c r="H89" s="1" t="n">
        <f aca="false">G89-G88</f>
        <v>-1.13</v>
      </c>
      <c r="I89" s="1" t="n">
        <v>23</v>
      </c>
      <c r="J89" s="1" t="n">
        <f aca="false">I89-I88</f>
        <v>-16</v>
      </c>
    </row>
    <row r="90" customFormat="false" ht="13.8" hidden="false" customHeight="false" outlineLevel="0" collapsed="false">
      <c r="A90" s="1" t="n">
        <v>89</v>
      </c>
      <c r="B90" s="30" t="n">
        <v>43919</v>
      </c>
      <c r="C90" s="1" t="n">
        <v>2937</v>
      </c>
      <c r="D90" s="1" t="n">
        <f aca="false">C90-C89</f>
        <v>738</v>
      </c>
      <c r="E90" s="1" t="n">
        <v>119.4</v>
      </c>
      <c r="F90" s="1" t="n">
        <f aca="false">E90-E89</f>
        <v>24.9</v>
      </c>
      <c r="G90" s="1" t="n">
        <v>2.11</v>
      </c>
      <c r="H90" s="1" t="n">
        <f aca="false">G90-G89</f>
        <v>0.53</v>
      </c>
      <c r="I90" s="1" t="n">
        <v>27</v>
      </c>
      <c r="J90" s="1" t="n">
        <f aca="false">I90-I89</f>
        <v>4</v>
      </c>
    </row>
    <row r="91" customFormat="false" ht="13.8" hidden="false" customHeight="false" outlineLevel="0" collapsed="false">
      <c r="A91" s="1" t="n">
        <v>90</v>
      </c>
      <c r="B91" s="30" t="n">
        <v>43920</v>
      </c>
      <c r="C91" s="1" t="n">
        <v>4394</v>
      </c>
      <c r="D91" s="1" t="n">
        <f aca="false">C91-C90</f>
        <v>1457</v>
      </c>
      <c r="E91" s="1" t="n">
        <v>178</v>
      </c>
      <c r="F91" s="1" t="n">
        <f aca="false">E91-E90</f>
        <v>58.6</v>
      </c>
      <c r="G91" s="1" t="n">
        <v>3.16</v>
      </c>
      <c r="H91" s="1" t="n">
        <f aca="false">G91-G90</f>
        <v>1.05</v>
      </c>
      <c r="I91" s="1" t="n">
        <v>40</v>
      </c>
      <c r="J91" s="1" t="n">
        <f aca="false">I91-I90</f>
        <v>13</v>
      </c>
    </row>
    <row r="92" customFormat="false" ht="13.8" hidden="false" customHeight="false" outlineLevel="0" collapsed="false">
      <c r="A92" s="1" t="n">
        <v>91</v>
      </c>
      <c r="B92" s="30" t="n">
        <v>43921</v>
      </c>
      <c r="C92" s="1" t="n">
        <v>3231</v>
      </c>
      <c r="D92" s="1" t="n">
        <f aca="false">C92-C91</f>
        <v>-1163</v>
      </c>
      <c r="E92" s="1" t="n">
        <v>133.5</v>
      </c>
      <c r="F92" s="1" t="n">
        <f aca="false">E92-E91</f>
        <v>-44.5</v>
      </c>
      <c r="G92" s="1" t="n">
        <v>2.33</v>
      </c>
      <c r="H92" s="1" t="n">
        <f aca="false">G92-G91</f>
        <v>-0.83</v>
      </c>
      <c r="I92" s="1" t="n">
        <v>31</v>
      </c>
      <c r="J92" s="1" t="n">
        <f aca="false">I92-I91</f>
        <v>-9</v>
      </c>
    </row>
    <row r="93" customFormat="false" ht="13.8" hidden="false" customHeight="false" outlineLevel="0" collapsed="false">
      <c r="A93" s="1" t="n">
        <v>92</v>
      </c>
      <c r="B93" s="30" t="n">
        <v>43922</v>
      </c>
      <c r="C93" s="1" t="n">
        <v>3362</v>
      </c>
      <c r="D93" s="1" t="n">
        <f aca="false">C93-C92</f>
        <v>131</v>
      </c>
      <c r="E93" s="1" t="n">
        <v>136.8</v>
      </c>
      <c r="F93" s="1" t="n">
        <f aca="false">E93-E92</f>
        <v>3.30000000000001</v>
      </c>
      <c r="G93" s="1" t="n">
        <v>2.43</v>
      </c>
      <c r="H93" s="1" t="n">
        <f aca="false">G93-G92</f>
        <v>0.1</v>
      </c>
      <c r="I93" s="1" t="n">
        <v>31</v>
      </c>
      <c r="J93" s="1" t="n">
        <f aca="false">I93-I92</f>
        <v>0</v>
      </c>
      <c r="L93" s="1" t="s">
        <v>2</v>
      </c>
      <c r="M93" s="1" t="s">
        <v>179</v>
      </c>
      <c r="N93" s="1" t="s">
        <v>175</v>
      </c>
      <c r="O93" s="1" t="s">
        <v>177</v>
      </c>
    </row>
    <row r="94" customFormat="false" ht="13.8" hidden="false" customHeight="false" outlineLevel="0" collapsed="false">
      <c r="A94" s="1" t="n">
        <v>93</v>
      </c>
      <c r="B94" s="30" t="n">
        <v>43923</v>
      </c>
      <c r="C94" s="1" t="n">
        <v>275</v>
      </c>
      <c r="D94" s="1" t="n">
        <f aca="false">C94-C93</f>
        <v>-3087</v>
      </c>
      <c r="E94" s="1" t="n">
        <v>11.6</v>
      </c>
      <c r="F94" s="1" t="n">
        <f aca="false">E94-E93</f>
        <v>-125.2</v>
      </c>
      <c r="G94" s="1" t="n">
        <v>0.2</v>
      </c>
      <c r="H94" s="1" t="n">
        <f aca="false">G94-G93</f>
        <v>-2.23</v>
      </c>
      <c r="I94" s="1" t="n">
        <v>2</v>
      </c>
      <c r="J94" s="1" t="n">
        <f aca="false">I94-I93</f>
        <v>-29</v>
      </c>
      <c r="K94" s="1" t="s">
        <v>8</v>
      </c>
      <c r="L94" s="1" t="n">
        <f aca="false">AVERAGE($C$93:$C$122)</f>
        <v>3218.73333333333</v>
      </c>
      <c r="M94" s="1" t="n">
        <f aca="false">AVERAGE($E$93:$E$122)</f>
        <v>132.853333333333</v>
      </c>
      <c r="N94" s="1" t="n">
        <f aca="false">AVERAGE($G$93:$G$122)</f>
        <v>2.31833333333333</v>
      </c>
      <c r="O94" s="1" t="n">
        <f aca="false">AVERAGE($I$93:$I$122)</f>
        <v>30.7</v>
      </c>
    </row>
    <row r="95" customFormat="false" ht="13.8" hidden="false" customHeight="false" outlineLevel="0" collapsed="false">
      <c r="A95" s="1" t="n">
        <v>94</v>
      </c>
      <c r="B95" s="30" t="n">
        <v>43924</v>
      </c>
      <c r="C95" s="1" t="n">
        <v>3591</v>
      </c>
      <c r="D95" s="1" t="n">
        <f aca="false">C95-C94</f>
        <v>3316</v>
      </c>
      <c r="E95" s="1" t="n">
        <v>147.7</v>
      </c>
      <c r="F95" s="1" t="n">
        <f aca="false">E95-E94</f>
        <v>136.1</v>
      </c>
      <c r="G95" s="1" t="n">
        <v>2.59</v>
      </c>
      <c r="H95" s="1" t="n">
        <f aca="false">G95-G94</f>
        <v>2.39</v>
      </c>
      <c r="I95" s="1" t="n">
        <v>34</v>
      </c>
      <c r="J95" s="1" t="n">
        <f aca="false">I95-I94</f>
        <v>32</v>
      </c>
      <c r="K95" s="1" t="s">
        <v>10</v>
      </c>
      <c r="L95" s="1" t="n">
        <f aca="false">SQRT(VAR($C$93:$C$122)/COUNT($C$93:$C$122))</f>
        <v>378.490419360772</v>
      </c>
      <c r="M95" s="1" t="n">
        <f aca="false">SQRT(VAR($E$93:$E$122)/COUNT($E$93:$E$122))</f>
        <v>15.4909337469531</v>
      </c>
      <c r="N95" s="1" t="n">
        <f aca="false">SQRT(VAR($G$93:$G$122)/COUNT($G$93:$G$122))</f>
        <v>0.272703402241097</v>
      </c>
      <c r="O95" s="1" t="n">
        <f aca="false">SQRT(VAR($I$93:$I$122)/COUNT($I$93:$I$122))</f>
        <v>3.61705729126259</v>
      </c>
    </row>
    <row r="96" customFormat="false" ht="13.8" hidden="false" customHeight="false" outlineLevel="0" collapsed="false">
      <c r="A96" s="1" t="n">
        <v>95</v>
      </c>
      <c r="B96" s="30" t="n">
        <v>43925</v>
      </c>
      <c r="C96" s="1" t="n">
        <v>2378</v>
      </c>
      <c r="D96" s="1" t="n">
        <f aca="false">C96-C95</f>
        <v>-1213</v>
      </c>
      <c r="E96" s="1" t="n">
        <v>102.6</v>
      </c>
      <c r="F96" s="1" t="n">
        <f aca="false">E96-E95</f>
        <v>-45.1</v>
      </c>
      <c r="G96" s="1" t="n">
        <v>1.71</v>
      </c>
      <c r="H96" s="1" t="n">
        <f aca="false">G96-G95</f>
        <v>-0.88</v>
      </c>
      <c r="I96" s="1" t="n">
        <v>25</v>
      </c>
      <c r="J96" s="1" t="n">
        <f aca="false">I96-I95</f>
        <v>-9</v>
      </c>
      <c r="K96" s="1" t="s">
        <v>14</v>
      </c>
      <c r="L96" s="1" t="e">
        <f aca="false">MODE($C$93:$C$122)</f>
        <v>#VALUE!</v>
      </c>
      <c r="M96" s="1" t="e">
        <f aca="false">MODE($E$93:$E$122)</f>
        <v>#VALUE!</v>
      </c>
      <c r="N96" s="1" t="n">
        <f aca="false">MODE($G$93:$G$122)</f>
        <v>1.92</v>
      </c>
      <c r="O96" s="1" t="n">
        <f aca="false">MODE($I$93:$I$122)</f>
        <v>2</v>
      </c>
    </row>
    <row r="97" customFormat="false" ht="13.8" hidden="false" customHeight="false" outlineLevel="0" collapsed="false">
      <c r="A97" s="1" t="n">
        <v>96</v>
      </c>
      <c r="B97" s="30" t="n">
        <v>43926</v>
      </c>
      <c r="C97" s="1" t="n">
        <v>1747</v>
      </c>
      <c r="D97" s="1" t="n">
        <f aca="false">C97-C96</f>
        <v>-631</v>
      </c>
      <c r="E97" s="1" t="n">
        <v>73.3</v>
      </c>
      <c r="F97" s="1" t="n">
        <f aca="false">E97-E96</f>
        <v>-29.3</v>
      </c>
      <c r="G97" s="1" t="n">
        <v>1.26</v>
      </c>
      <c r="H97" s="1" t="n">
        <f aca="false">G97-G96</f>
        <v>-0.45</v>
      </c>
      <c r="I97" s="1" t="n">
        <v>17</v>
      </c>
      <c r="J97" s="1" t="n">
        <f aca="false">I97-I96</f>
        <v>-8</v>
      </c>
      <c r="K97" s="1" t="s">
        <v>12</v>
      </c>
      <c r="L97" s="1" t="n">
        <f aca="false">MEDIAN($C$93:$C$122)</f>
        <v>3004.5</v>
      </c>
      <c r="M97" s="1" t="n">
        <f aca="false">MEDIAN($E$93:$E$122)</f>
        <v>125.55</v>
      </c>
      <c r="N97" s="1" t="n">
        <f aca="false">MEDIAN($G$93:$G$122)</f>
        <v>2.165</v>
      </c>
      <c r="O97" s="1" t="n">
        <f aca="false">MEDIAN($I$93:$I$122)</f>
        <v>29</v>
      </c>
    </row>
    <row r="98" customFormat="false" ht="13.8" hidden="false" customHeight="false" outlineLevel="0" collapsed="false">
      <c r="A98" s="1" t="n">
        <v>97</v>
      </c>
      <c r="B98" s="30" t="n">
        <v>43927</v>
      </c>
      <c r="C98" s="1" t="n">
        <v>2861</v>
      </c>
      <c r="D98" s="1" t="n">
        <f aca="false">C98-C97</f>
        <v>1114</v>
      </c>
      <c r="E98" s="1" t="n">
        <v>120.1</v>
      </c>
      <c r="F98" s="1" t="n">
        <f aca="false">E98-E97</f>
        <v>46.8</v>
      </c>
      <c r="G98" s="1" t="n">
        <v>2.06</v>
      </c>
      <c r="H98" s="1" t="n">
        <f aca="false">G98-G97</f>
        <v>0.8</v>
      </c>
      <c r="I98" s="1" t="n">
        <v>29</v>
      </c>
      <c r="J98" s="1" t="n">
        <f aca="false">I98-I97</f>
        <v>12</v>
      </c>
      <c r="K98" s="1" t="s">
        <v>180</v>
      </c>
      <c r="L98" s="1" t="n">
        <f aca="false">QUARTILE($C$93:$C$122, 1)</f>
        <v>1909</v>
      </c>
      <c r="M98" s="1" t="n">
        <f aca="false">QUARTILE($E$93:$E$122, 1)</f>
        <v>79.25</v>
      </c>
      <c r="N98" s="1" t="n">
        <f aca="false">QUARTILE($G$93:$G$122, 1)</f>
        <v>1.3725</v>
      </c>
      <c r="O98" s="1" t="n">
        <f aca="false">QUARTILE($I$93:$I$122, 1)</f>
        <v>18.25</v>
      </c>
    </row>
    <row r="99" customFormat="false" ht="13.8" hidden="false" customHeight="false" outlineLevel="0" collapsed="false">
      <c r="A99" s="1" t="n">
        <v>98</v>
      </c>
      <c r="B99" s="30" t="n">
        <v>43928</v>
      </c>
      <c r="C99" s="1" t="n">
        <v>3148</v>
      </c>
      <c r="D99" s="1" t="n">
        <f aca="false">C99-C98</f>
        <v>287</v>
      </c>
      <c r="E99" s="1" t="n">
        <v>131</v>
      </c>
      <c r="F99" s="1" t="n">
        <f aca="false">E99-E98</f>
        <v>10.9</v>
      </c>
      <c r="G99" s="1" t="n">
        <v>2.27</v>
      </c>
      <c r="H99" s="1" t="n">
        <f aca="false">G99-G98</f>
        <v>0.21</v>
      </c>
      <c r="I99" s="1" t="n">
        <v>31</v>
      </c>
      <c r="J99" s="1" t="n">
        <f aca="false">I99-I98</f>
        <v>2</v>
      </c>
      <c r="K99" s="1" t="s">
        <v>181</v>
      </c>
      <c r="L99" s="1" t="n">
        <f aca="false">QUARTILE($C$93:$C$122, 3)</f>
        <v>3944.25</v>
      </c>
      <c r="M99" s="1" t="n">
        <f aca="false">QUARTILE($E$93:$E$122, 3)</f>
        <v>164.7</v>
      </c>
      <c r="N99" s="1" t="n">
        <f aca="false">QUARTILE($G$93:$G$122, 3)</f>
        <v>2.84</v>
      </c>
      <c r="O99" s="1" t="n">
        <f aca="false">QUARTILE($I$93:$I$122, 3)</f>
        <v>38.75</v>
      </c>
    </row>
    <row r="100" customFormat="false" ht="13.8" hidden="false" customHeight="false" outlineLevel="0" collapsed="false">
      <c r="A100" s="1" t="n">
        <v>99</v>
      </c>
      <c r="B100" s="30" t="n">
        <v>43929</v>
      </c>
      <c r="C100" s="1" t="n">
        <v>1906</v>
      </c>
      <c r="D100" s="1" t="n">
        <f aca="false">C100-C99</f>
        <v>-1242</v>
      </c>
      <c r="E100" s="1" t="n">
        <v>81.3</v>
      </c>
      <c r="F100" s="1" t="n">
        <f aca="false">E100-E99</f>
        <v>-49.7</v>
      </c>
      <c r="G100" s="1" t="n">
        <v>1.37</v>
      </c>
      <c r="H100" s="1" t="n">
        <f aca="false">G100-G99</f>
        <v>-0.9</v>
      </c>
      <c r="I100" s="1" t="n">
        <v>20</v>
      </c>
      <c r="J100" s="1" t="n">
        <f aca="false">I100-I99</f>
        <v>-11</v>
      </c>
      <c r="K100" s="1" t="s">
        <v>182</v>
      </c>
      <c r="L100" s="1" t="n">
        <f aca="false">VAR($C$93:$C$122)</f>
        <v>4297649.92643678</v>
      </c>
      <c r="M100" s="1" t="n">
        <f aca="false">VAR($E$93:$E$122)</f>
        <v>7199.07085057471</v>
      </c>
      <c r="N100" s="1" t="n">
        <f aca="false">VAR($G$93:$G$122)</f>
        <v>2.23101436781609</v>
      </c>
      <c r="O100" s="1" t="n">
        <f aca="false">VAR($I$93:$I$122)</f>
        <v>392.493103448276</v>
      </c>
    </row>
    <row r="101" customFormat="false" ht="13.8" hidden="false" customHeight="false" outlineLevel="0" collapsed="false">
      <c r="A101" s="1" t="n">
        <v>100</v>
      </c>
      <c r="B101" s="30" t="n">
        <v>43930</v>
      </c>
      <c r="C101" s="1" t="n">
        <v>6359</v>
      </c>
      <c r="D101" s="1" t="n">
        <f aca="false">C101-C100</f>
        <v>4453</v>
      </c>
      <c r="E101" s="1" t="n">
        <v>259.2</v>
      </c>
      <c r="F101" s="1" t="n">
        <f aca="false">E101-E100</f>
        <v>177.9</v>
      </c>
      <c r="G101" s="1" t="n">
        <v>4.58</v>
      </c>
      <c r="H101" s="1" t="n">
        <f aca="false">G101-G100</f>
        <v>3.21</v>
      </c>
      <c r="I101" s="1" t="n">
        <v>59</v>
      </c>
      <c r="J101" s="1" t="n">
        <f aca="false">I101-I100</f>
        <v>39</v>
      </c>
      <c r="K101" s="1" t="s">
        <v>16</v>
      </c>
      <c r="L101" s="1" t="n">
        <f aca="false">STDEV($C$93:$C$122)</f>
        <v>2073.07740483485</v>
      </c>
      <c r="M101" s="1" t="n">
        <f aca="false">STDEV($E$93:$E$122)</f>
        <v>84.8473385002424</v>
      </c>
      <c r="N101" s="1" t="n">
        <f aca="false">STDEV($G$93:$G$122)</f>
        <v>1.49365804915854</v>
      </c>
      <c r="O101" s="1" t="n">
        <f aca="false">STDEV($I$93:$I$122)</f>
        <v>19.8114387021305</v>
      </c>
    </row>
    <row r="102" customFormat="false" ht="13.8" hidden="false" customHeight="false" outlineLevel="0" collapsed="false">
      <c r="A102" s="1" t="n">
        <v>101</v>
      </c>
      <c r="B102" s="30" t="n">
        <v>43931</v>
      </c>
      <c r="C102" s="1" t="n">
        <v>1940</v>
      </c>
      <c r="D102" s="1" t="n">
        <f aca="false">C102-C101</f>
        <v>-4419</v>
      </c>
      <c r="E102" s="1" t="n">
        <v>78.6</v>
      </c>
      <c r="F102" s="1" t="n">
        <f aca="false">E102-E101</f>
        <v>-180.6</v>
      </c>
      <c r="G102" s="1" t="n">
        <v>1.4</v>
      </c>
      <c r="H102" s="1" t="n">
        <f aca="false">G102-G101</f>
        <v>-3.18</v>
      </c>
      <c r="I102" s="1" t="n">
        <v>17</v>
      </c>
      <c r="J102" s="1" t="n">
        <f aca="false">I102-I101</f>
        <v>-42</v>
      </c>
      <c r="K102" s="1" t="s">
        <v>20</v>
      </c>
      <c r="L102" s="1" t="n">
        <f aca="false">KURT($C$93:$C$122)</f>
        <v>3.08041430648324</v>
      </c>
      <c r="M102" s="1" t="n">
        <f aca="false">KURT($E$93:$E$122)</f>
        <v>3.2187781544879</v>
      </c>
      <c r="N102" s="1" t="n">
        <f aca="false">KURT($G$93:$G$122)</f>
        <v>3.07373347168277</v>
      </c>
      <c r="O102" s="1" t="n">
        <f aca="false">KURT($I$93:$I$122)</f>
        <v>3.67717209075382</v>
      </c>
    </row>
    <row r="103" customFormat="false" ht="13.8" hidden="false" customHeight="false" outlineLevel="0" collapsed="false">
      <c r="A103" s="1" t="n">
        <v>102</v>
      </c>
      <c r="B103" s="30" t="n">
        <v>43932</v>
      </c>
      <c r="C103" s="1" t="n">
        <v>4986</v>
      </c>
      <c r="D103" s="1" t="n">
        <f aca="false">C103-C102</f>
        <v>3046</v>
      </c>
      <c r="E103" s="1" t="n">
        <v>203.8</v>
      </c>
      <c r="F103" s="1" t="n">
        <f aca="false">E103-E102</f>
        <v>125.2</v>
      </c>
      <c r="G103" s="1" t="n">
        <v>3.59</v>
      </c>
      <c r="H103" s="1" t="n">
        <f aca="false">G103-G102</f>
        <v>2.19</v>
      </c>
      <c r="I103" s="1" t="n">
        <v>46</v>
      </c>
      <c r="J103" s="1" t="n">
        <f aca="false">I103-I102</f>
        <v>29</v>
      </c>
      <c r="K103" s="1" t="s">
        <v>22</v>
      </c>
      <c r="L103" s="1" t="n">
        <f aca="false">SKEW($C$93:$C$122)</f>
        <v>1.27447414851485</v>
      </c>
      <c r="M103" s="1" t="n">
        <f aca="false">SKEW($E$93:$E$122)</f>
        <v>1.2962148527698</v>
      </c>
      <c r="N103" s="1" t="n">
        <f aca="false">SKEW($G$93:$G$122)</f>
        <v>1.2731007506331</v>
      </c>
      <c r="O103" s="1" t="n">
        <f aca="false">SKEW($I$93:$I$122)</f>
        <v>1.38113185039512</v>
      </c>
    </row>
    <row r="104" customFormat="false" ht="13.8" hidden="false" customHeight="false" outlineLevel="0" collapsed="false">
      <c r="A104" s="1" t="n">
        <v>103</v>
      </c>
      <c r="B104" s="30" t="n">
        <v>43933</v>
      </c>
      <c r="C104" s="1" t="n">
        <v>2661</v>
      </c>
      <c r="D104" s="1" t="n">
        <f aca="false">C104-C103</f>
        <v>-2325</v>
      </c>
      <c r="E104" s="1" t="n">
        <v>107.2</v>
      </c>
      <c r="F104" s="1" t="n">
        <f aca="false">E104-E103</f>
        <v>-96.6</v>
      </c>
      <c r="G104" s="1" t="n">
        <v>1.92</v>
      </c>
      <c r="H104" s="1" t="n">
        <f aca="false">G104-G103</f>
        <v>-1.67</v>
      </c>
      <c r="I104" s="1" t="n">
        <v>23</v>
      </c>
      <c r="J104" s="1" t="n">
        <f aca="false">I104-I103</f>
        <v>-23</v>
      </c>
      <c r="K104" s="1" t="s">
        <v>24</v>
      </c>
      <c r="L104" s="1" t="n">
        <f aca="false">MAX($C$93:$C$122)-MIN($C$93:$C$122)</f>
        <v>9962</v>
      </c>
      <c r="M104" s="1" t="n">
        <f aca="false">MAX($E$93:$E$122)-MIN($E$93:$E$122)</f>
        <v>410</v>
      </c>
      <c r="N104" s="1" t="n">
        <f aca="false">MAX($G$93:$G$122)-MIN($G$93:$G$122)</f>
        <v>7.18</v>
      </c>
      <c r="O104" s="1" t="n">
        <f aca="false">MAX($I$93:$I$122)-MIN($I$93:$I$122)</f>
        <v>97</v>
      </c>
    </row>
    <row r="105" customFormat="false" ht="13.8" hidden="false" customHeight="false" outlineLevel="0" collapsed="false">
      <c r="A105" s="1" t="n">
        <v>104</v>
      </c>
      <c r="B105" s="30" t="n">
        <v>43934</v>
      </c>
      <c r="C105" s="1" t="n">
        <v>201</v>
      </c>
      <c r="D105" s="1" t="n">
        <f aca="false">C105-C104</f>
        <v>-2460</v>
      </c>
      <c r="E105" s="1" t="n">
        <v>9</v>
      </c>
      <c r="F105" s="1" t="n">
        <f aca="false">E105-E104</f>
        <v>-98.2</v>
      </c>
      <c r="G105" s="1" t="n">
        <v>0.14</v>
      </c>
      <c r="H105" s="1" t="n">
        <f aca="false">G105-G104</f>
        <v>-1.78</v>
      </c>
      <c r="I105" s="1" t="n">
        <v>2</v>
      </c>
      <c r="J105" s="1" t="n">
        <f aca="false">I105-I104</f>
        <v>-21</v>
      </c>
      <c r="K105" s="1" t="s">
        <v>26</v>
      </c>
      <c r="L105" s="1" t="n">
        <f aca="false">MIN($C$93:$C$122)</f>
        <v>201</v>
      </c>
      <c r="M105" s="1" t="n">
        <f aca="false">MIN($E$93:$E$122)</f>
        <v>9</v>
      </c>
      <c r="N105" s="1" t="n">
        <f aca="false">MIN($G$93:$G$122)</f>
        <v>0.14</v>
      </c>
      <c r="O105" s="1" t="n">
        <f aca="false">MIN($I$93:$I$122)</f>
        <v>2</v>
      </c>
    </row>
    <row r="106" customFormat="false" ht="13.8" hidden="false" customHeight="false" outlineLevel="0" collapsed="false">
      <c r="A106" s="1" t="n">
        <v>105</v>
      </c>
      <c r="B106" s="30" t="n">
        <v>43935</v>
      </c>
      <c r="C106" s="1" t="n">
        <v>4772</v>
      </c>
      <c r="D106" s="1" t="n">
        <f aca="false">C106-C105</f>
        <v>4571</v>
      </c>
      <c r="E106" s="1" t="n">
        <v>193.7</v>
      </c>
      <c r="F106" s="1" t="n">
        <f aca="false">E106-E105</f>
        <v>184.7</v>
      </c>
      <c r="G106" s="1" t="n">
        <v>3.44</v>
      </c>
      <c r="H106" s="1" t="n">
        <f aca="false">G106-G105</f>
        <v>3.3</v>
      </c>
      <c r="I106" s="1" t="n">
        <v>44</v>
      </c>
      <c r="J106" s="1" t="n">
        <f aca="false">I106-I105</f>
        <v>42</v>
      </c>
      <c r="K106" s="1" t="s">
        <v>28</v>
      </c>
      <c r="L106" s="1" t="n">
        <f aca="false">MAX($C$93:$C$122)</f>
        <v>10163</v>
      </c>
      <c r="M106" s="1" t="n">
        <f aca="false">MAX($E$93:$E$122)</f>
        <v>419</v>
      </c>
      <c r="N106" s="1" t="n">
        <f aca="false">MAX($G$93:$G$122)</f>
        <v>7.32</v>
      </c>
      <c r="O106" s="1" t="n">
        <f aca="false">MAX($I$93:$I$122)</f>
        <v>99</v>
      </c>
    </row>
    <row r="107" customFormat="false" ht="13.8" hidden="false" customHeight="false" outlineLevel="0" collapsed="false">
      <c r="A107" s="1" t="n">
        <v>106</v>
      </c>
      <c r="B107" s="30" t="n">
        <v>43936</v>
      </c>
      <c r="C107" s="1" t="n">
        <v>2270</v>
      </c>
      <c r="D107" s="1" t="n">
        <f aca="false">C107-C106</f>
        <v>-2502</v>
      </c>
      <c r="E107" s="1" t="n">
        <v>96.2</v>
      </c>
      <c r="F107" s="1" t="n">
        <f aca="false">E107-E106</f>
        <v>-97.5</v>
      </c>
      <c r="G107" s="1" t="n">
        <v>1.63</v>
      </c>
      <c r="H107" s="1" t="n">
        <f aca="false">G107-G106</f>
        <v>-1.81</v>
      </c>
      <c r="I107" s="1" t="n">
        <v>23</v>
      </c>
      <c r="J107" s="1" t="n">
        <f aca="false">I107-I106</f>
        <v>-21</v>
      </c>
      <c r="K107" s="1" t="s">
        <v>30</v>
      </c>
      <c r="L107" s="1" t="n">
        <f aca="false">SUM($C$93:$C$122)</f>
        <v>96562</v>
      </c>
      <c r="M107" s="1" t="n">
        <f aca="false">SUM($E$93:$E$122)</f>
        <v>3985.6</v>
      </c>
      <c r="N107" s="1" t="n">
        <f aca="false">SUM($G$93:$G$122)</f>
        <v>69.55</v>
      </c>
      <c r="O107" s="1" t="n">
        <f aca="false">SUM($I$93:$I$122)</f>
        <v>921</v>
      </c>
    </row>
    <row r="108" customFormat="false" ht="13.8" hidden="false" customHeight="false" outlineLevel="0" collapsed="false">
      <c r="A108" s="1" t="n">
        <v>107</v>
      </c>
      <c r="B108" s="30" t="n">
        <v>43937</v>
      </c>
      <c r="C108" s="1" t="n">
        <v>5869</v>
      </c>
      <c r="D108" s="1" t="n">
        <f aca="false">C108-C107</f>
        <v>3599</v>
      </c>
      <c r="E108" s="1" t="n">
        <v>243.1</v>
      </c>
      <c r="F108" s="1" t="n">
        <f aca="false">E108-E107</f>
        <v>146.9</v>
      </c>
      <c r="G108" s="1" t="n">
        <v>4.23</v>
      </c>
      <c r="H108" s="1" t="n">
        <f aca="false">G108-G107</f>
        <v>2.6</v>
      </c>
      <c r="I108" s="1" t="n">
        <v>57</v>
      </c>
      <c r="J108" s="1" t="n">
        <f aca="false">I108-I107</f>
        <v>34</v>
      </c>
      <c r="K108" s="1" t="s">
        <v>32</v>
      </c>
      <c r="L108" s="1" t="n">
        <f aca="false">COUNT($C$93:$C$122)</f>
        <v>30</v>
      </c>
      <c r="M108" s="1" t="n">
        <f aca="false">COUNT($E$93:$E$122)</f>
        <v>30</v>
      </c>
      <c r="N108" s="1" t="n">
        <f aca="false">COUNT($G$93:$G$122)</f>
        <v>30</v>
      </c>
      <c r="O108" s="1" t="n">
        <f aca="false">COUNT($I$93:$I$122)</f>
        <v>30</v>
      </c>
    </row>
    <row r="109" customFormat="false" ht="13.8" hidden="false" customHeight="false" outlineLevel="0" collapsed="false">
      <c r="A109" s="1" t="n">
        <v>108</v>
      </c>
      <c r="B109" s="30" t="n">
        <v>43938</v>
      </c>
      <c r="C109" s="1" t="n">
        <v>3942</v>
      </c>
      <c r="D109" s="1" t="n">
        <f aca="false">C109-C108</f>
        <v>-1927</v>
      </c>
      <c r="E109" s="1" t="n">
        <v>165.4</v>
      </c>
      <c r="F109" s="1" t="n">
        <f aca="false">E109-E108</f>
        <v>-77.7</v>
      </c>
      <c r="G109" s="1" t="n">
        <v>2.84</v>
      </c>
      <c r="H109" s="1" t="n">
        <f aca="false">G109-G108</f>
        <v>-1.39</v>
      </c>
      <c r="I109" s="1" t="n">
        <v>39</v>
      </c>
      <c r="J109" s="1" t="n">
        <f aca="false">I109-I108</f>
        <v>-18</v>
      </c>
    </row>
    <row r="110" customFormat="false" ht="13.8" hidden="false" customHeight="false" outlineLevel="0" collapsed="false">
      <c r="A110" s="1" t="n">
        <v>109</v>
      </c>
      <c r="B110" s="30" t="n">
        <v>43939</v>
      </c>
      <c r="C110" s="1" t="n">
        <v>3447</v>
      </c>
      <c r="D110" s="1" t="n">
        <f aca="false">C110-C109</f>
        <v>-495</v>
      </c>
      <c r="E110" s="1" t="n">
        <v>142.2</v>
      </c>
      <c r="F110" s="1" t="n">
        <f aca="false">E110-E109</f>
        <v>-23.2</v>
      </c>
      <c r="G110" s="1" t="n">
        <v>2.48</v>
      </c>
      <c r="H110" s="1" t="n">
        <f aca="false">G110-G109</f>
        <v>-0.36</v>
      </c>
      <c r="I110" s="1" t="n">
        <v>33</v>
      </c>
      <c r="J110" s="1" t="n">
        <f aca="false">I110-I109</f>
        <v>-6</v>
      </c>
    </row>
    <row r="111" customFormat="false" ht="13.8" hidden="false" customHeight="false" outlineLevel="0" collapsed="false">
      <c r="A111" s="1" t="n">
        <v>110</v>
      </c>
      <c r="B111" s="30" t="n">
        <v>43940</v>
      </c>
      <c r="C111" s="1" t="n">
        <v>2669</v>
      </c>
      <c r="D111" s="1" t="n">
        <f aca="false">C111-C110</f>
        <v>-778</v>
      </c>
      <c r="E111" s="1" t="n">
        <v>107.7</v>
      </c>
      <c r="F111" s="1" t="n">
        <f aca="false">E111-E110</f>
        <v>-34.5</v>
      </c>
      <c r="G111" s="1" t="n">
        <v>1.92</v>
      </c>
      <c r="H111" s="1" t="n">
        <f aca="false">G111-G110</f>
        <v>-0.56</v>
      </c>
      <c r="I111" s="1" t="n">
        <v>24</v>
      </c>
      <c r="J111" s="1" t="n">
        <f aca="false">I111-I110</f>
        <v>-9</v>
      </c>
    </row>
    <row r="112" customFormat="false" ht="13.8" hidden="false" customHeight="false" outlineLevel="0" collapsed="false">
      <c r="A112" s="1" t="n">
        <v>111</v>
      </c>
      <c r="B112" s="30" t="n">
        <v>43941</v>
      </c>
      <c r="C112" s="1" t="n">
        <v>1438</v>
      </c>
      <c r="D112" s="1" t="n">
        <f aca="false">C112-C111</f>
        <v>-1231</v>
      </c>
      <c r="E112" s="1" t="n">
        <v>59.5</v>
      </c>
      <c r="F112" s="1" t="n">
        <f aca="false">E112-E111</f>
        <v>-48.2</v>
      </c>
      <c r="G112" s="1" t="n">
        <v>1.04</v>
      </c>
      <c r="H112" s="1" t="n">
        <f aca="false">G112-G111</f>
        <v>-0.88</v>
      </c>
      <c r="I112" s="1" t="n">
        <v>14</v>
      </c>
      <c r="J112" s="1" t="n">
        <f aca="false">I112-I111</f>
        <v>-10</v>
      </c>
    </row>
    <row r="113" customFormat="false" ht="13.8" hidden="false" customHeight="false" outlineLevel="0" collapsed="false">
      <c r="A113" s="1" t="n">
        <v>112</v>
      </c>
      <c r="B113" s="30" t="n">
        <v>43942</v>
      </c>
      <c r="C113" s="1" t="n">
        <v>305</v>
      </c>
      <c r="D113" s="1" t="n">
        <f aca="false">C113-C112</f>
        <v>-1133</v>
      </c>
      <c r="E113" s="1" t="n">
        <v>13.2</v>
      </c>
      <c r="F113" s="1" t="n">
        <f aca="false">E113-E112</f>
        <v>-46.3</v>
      </c>
      <c r="G113" s="1" t="n">
        <v>0.22</v>
      </c>
      <c r="H113" s="1" t="n">
        <f aca="false">G113-G112</f>
        <v>-0.82</v>
      </c>
      <c r="I113" s="1" t="n">
        <v>3</v>
      </c>
      <c r="J113" s="1" t="n">
        <f aca="false">I113-I112</f>
        <v>-11</v>
      </c>
    </row>
    <row r="114" customFormat="false" ht="13.8" hidden="false" customHeight="false" outlineLevel="0" collapsed="false">
      <c r="A114" s="1" t="n">
        <v>113</v>
      </c>
      <c r="B114" s="30" t="n">
        <v>43943</v>
      </c>
      <c r="C114" s="1" t="n">
        <v>3945</v>
      </c>
      <c r="D114" s="1" t="n">
        <f aca="false">C114-C113</f>
        <v>3640</v>
      </c>
      <c r="E114" s="1" t="n">
        <v>162.6</v>
      </c>
      <c r="F114" s="1" t="n">
        <f aca="false">E114-E113</f>
        <v>149.4</v>
      </c>
      <c r="G114" s="1" t="n">
        <v>2.84</v>
      </c>
      <c r="H114" s="1" t="n">
        <f aca="false">G114-G113</f>
        <v>2.62</v>
      </c>
      <c r="I114" s="1" t="n">
        <v>38</v>
      </c>
      <c r="J114" s="1" t="n">
        <f aca="false">I114-I113</f>
        <v>35</v>
      </c>
    </row>
    <row r="115" customFormat="false" ht="13.8" hidden="false" customHeight="false" outlineLevel="0" collapsed="false">
      <c r="A115" s="1" t="n">
        <v>114</v>
      </c>
      <c r="B115" s="30" t="n">
        <v>43944</v>
      </c>
      <c r="C115" s="1" t="n">
        <v>10163</v>
      </c>
      <c r="D115" s="1" t="n">
        <f aca="false">C115-C114</f>
        <v>6218</v>
      </c>
      <c r="E115" s="1" t="n">
        <v>419</v>
      </c>
      <c r="F115" s="1" t="n">
        <f aca="false">E115-E114</f>
        <v>256.4</v>
      </c>
      <c r="G115" s="1" t="n">
        <v>7.32</v>
      </c>
      <c r="H115" s="1" t="n">
        <f aca="false">G115-G114</f>
        <v>4.48</v>
      </c>
      <c r="I115" s="1" t="n">
        <v>99</v>
      </c>
      <c r="J115" s="1" t="n">
        <f aca="false">I115-I114</f>
        <v>61</v>
      </c>
    </row>
    <row r="116" customFormat="false" ht="13.8" hidden="false" customHeight="false" outlineLevel="0" collapsed="false">
      <c r="A116" s="1" t="n">
        <v>115</v>
      </c>
      <c r="B116" s="30" t="n">
        <v>43945</v>
      </c>
      <c r="C116" s="1" t="n">
        <v>5509</v>
      </c>
      <c r="D116" s="1" t="n">
        <f aca="false">C116-C115</f>
        <v>-4654</v>
      </c>
      <c r="E116" s="1" t="n">
        <v>224.6</v>
      </c>
      <c r="F116" s="1" t="n">
        <f aca="false">E116-E115</f>
        <v>-194.4</v>
      </c>
      <c r="G116" s="1" t="n">
        <v>3.97</v>
      </c>
      <c r="H116" s="1" t="n">
        <f aca="false">G116-G115</f>
        <v>-3.35</v>
      </c>
      <c r="I116" s="1" t="n">
        <v>51</v>
      </c>
      <c r="J116" s="1" t="n">
        <f aca="false">I116-I115</f>
        <v>-48</v>
      </c>
    </row>
    <row r="117" customFormat="false" ht="13.8" hidden="false" customHeight="false" outlineLevel="0" collapsed="false">
      <c r="A117" s="1" t="n">
        <v>116</v>
      </c>
      <c r="B117" s="30" t="n">
        <v>43946</v>
      </c>
      <c r="C117" s="1" t="n">
        <v>1699</v>
      </c>
      <c r="D117" s="1" t="n">
        <f aca="false">C117-C116</f>
        <v>-3810</v>
      </c>
      <c r="E117" s="1" t="n">
        <v>73.1</v>
      </c>
      <c r="F117" s="1" t="n">
        <f aca="false">E117-E116</f>
        <v>-151.5</v>
      </c>
      <c r="G117" s="1" t="n">
        <v>1.22</v>
      </c>
      <c r="H117" s="1" t="n">
        <f aca="false">G117-G116</f>
        <v>-2.75</v>
      </c>
      <c r="I117" s="1" t="n">
        <v>18</v>
      </c>
      <c r="J117" s="1" t="n">
        <f aca="false">I117-I116</f>
        <v>-33</v>
      </c>
    </row>
    <row r="118" customFormat="false" ht="13.8" hidden="false" customHeight="false" outlineLevel="0" collapsed="false">
      <c r="A118" s="1" t="n">
        <v>117</v>
      </c>
      <c r="B118" s="30" t="n">
        <v>43947</v>
      </c>
      <c r="C118" s="1" t="n">
        <v>1434</v>
      </c>
      <c r="D118" s="1" t="n">
        <f aca="false">C118-C117</f>
        <v>-265</v>
      </c>
      <c r="E118" s="1" t="n">
        <v>60.2</v>
      </c>
      <c r="F118" s="1" t="n">
        <f aca="false">E118-E117</f>
        <v>-12.9</v>
      </c>
      <c r="G118" s="1" t="n">
        <v>1.03</v>
      </c>
      <c r="H118" s="1" t="n">
        <f aca="false">G118-G117</f>
        <v>-0.19</v>
      </c>
      <c r="I118" s="1" t="n">
        <v>14</v>
      </c>
      <c r="J118" s="1" t="n">
        <f aca="false">I118-I117</f>
        <v>-4</v>
      </c>
    </row>
    <row r="119" customFormat="false" ht="13.8" hidden="false" customHeight="false" outlineLevel="0" collapsed="false">
      <c r="A119" s="1" t="n">
        <v>118</v>
      </c>
      <c r="B119" s="30" t="n">
        <v>43948</v>
      </c>
      <c r="C119" s="1" t="n">
        <v>3518</v>
      </c>
      <c r="D119" s="1" t="n">
        <f aca="false">C119-C118</f>
        <v>2084</v>
      </c>
      <c r="E119" s="1" t="n">
        <v>142.8</v>
      </c>
      <c r="F119" s="1" t="n">
        <f aca="false">E119-E118</f>
        <v>82.6</v>
      </c>
      <c r="G119" s="1" t="n">
        <v>2.53</v>
      </c>
      <c r="H119" s="1" t="n">
        <f aca="false">G119-G118</f>
        <v>1.5</v>
      </c>
      <c r="I119" s="1" t="n">
        <v>32</v>
      </c>
      <c r="J119" s="1" t="n">
        <f aca="false">I119-I118</f>
        <v>18</v>
      </c>
    </row>
    <row r="120" customFormat="false" ht="13.8" hidden="false" customHeight="false" outlineLevel="0" collapsed="false">
      <c r="A120" s="1" t="n">
        <v>119</v>
      </c>
      <c r="B120" s="30" t="n">
        <v>43949</v>
      </c>
      <c r="C120" s="1" t="n">
        <v>3333</v>
      </c>
      <c r="D120" s="1" t="n">
        <f aca="false">C120-C119</f>
        <v>-185</v>
      </c>
      <c r="E120" s="1" t="n">
        <v>134.4</v>
      </c>
      <c r="F120" s="1" t="n">
        <f aca="false">E120-E119</f>
        <v>-8.40000000000001</v>
      </c>
      <c r="G120" s="1" t="n">
        <v>2.4</v>
      </c>
      <c r="H120" s="1" t="n">
        <f aca="false">G120-G119</f>
        <v>-0.13</v>
      </c>
      <c r="I120" s="1" t="n">
        <v>29</v>
      </c>
      <c r="J120" s="1" t="n">
        <f aca="false">I120-I119</f>
        <v>-3</v>
      </c>
    </row>
    <row r="121" customFormat="false" ht="13.8" hidden="false" customHeight="false" outlineLevel="0" collapsed="false">
      <c r="A121" s="1" t="n">
        <v>120</v>
      </c>
      <c r="B121" s="30" t="n">
        <v>43950</v>
      </c>
      <c r="C121" s="1" t="n">
        <v>4916</v>
      </c>
      <c r="D121" s="1" t="n">
        <f aca="false">C121-C120</f>
        <v>1583</v>
      </c>
      <c r="E121" s="1" t="n">
        <v>204.5</v>
      </c>
      <c r="F121" s="1" t="n">
        <f aca="false">E121-E120</f>
        <v>70.1</v>
      </c>
      <c r="G121" s="1" t="n">
        <v>3.54</v>
      </c>
      <c r="H121" s="1" t="n">
        <f aca="false">G121-G120</f>
        <v>1.14</v>
      </c>
      <c r="I121" s="1" t="n">
        <v>48</v>
      </c>
      <c r="J121" s="1" t="n">
        <f aca="false">I121-I120</f>
        <v>19</v>
      </c>
    </row>
    <row r="122" customFormat="false" ht="13.8" hidden="false" customHeight="false" outlineLevel="0" collapsed="false">
      <c r="A122" s="1" t="n">
        <v>121</v>
      </c>
      <c r="B122" s="30" t="n">
        <v>43951</v>
      </c>
      <c r="C122" s="1" t="n">
        <v>1918</v>
      </c>
      <c r="D122" s="1" t="n">
        <f aca="false">C122-C121</f>
        <v>-2998</v>
      </c>
      <c r="E122" s="1" t="n">
        <v>81.2</v>
      </c>
      <c r="F122" s="1" t="n">
        <f aca="false">E122-E121</f>
        <v>-123.3</v>
      </c>
      <c r="G122" s="1" t="n">
        <v>1.38</v>
      </c>
      <c r="H122" s="1" t="n">
        <f aca="false">G122-G121</f>
        <v>-2.16</v>
      </c>
      <c r="I122" s="1" t="n">
        <v>19</v>
      </c>
      <c r="J122" s="1" t="n">
        <f aca="false">I122-I121</f>
        <v>-29</v>
      </c>
      <c r="L122" s="1" t="s">
        <v>2</v>
      </c>
      <c r="M122" s="1" t="s">
        <v>179</v>
      </c>
      <c r="N122" s="1" t="s">
        <v>175</v>
      </c>
      <c r="O122" s="1" t="s">
        <v>177</v>
      </c>
    </row>
    <row r="123" customFormat="false" ht="13.8" hidden="false" customHeight="false" outlineLevel="0" collapsed="false">
      <c r="A123" s="1" t="n">
        <v>122</v>
      </c>
      <c r="B123" s="30" t="n">
        <v>43952</v>
      </c>
      <c r="C123" s="1" t="n">
        <v>1312</v>
      </c>
      <c r="D123" s="1" t="n">
        <f aca="false">C123-C122</f>
        <v>-606</v>
      </c>
      <c r="E123" s="1" t="n">
        <v>53.8</v>
      </c>
      <c r="F123" s="1" t="n">
        <f aca="false">E123-E122</f>
        <v>-27.4</v>
      </c>
      <c r="G123" s="1" t="n">
        <v>0.94</v>
      </c>
      <c r="H123" s="1" t="n">
        <f aca="false">G123-G122</f>
        <v>-0.44</v>
      </c>
      <c r="I123" s="1" t="n">
        <v>12</v>
      </c>
      <c r="J123" s="1" t="n">
        <f aca="false">I123-I122</f>
        <v>-7</v>
      </c>
      <c r="K123" s="1" t="s">
        <v>8</v>
      </c>
      <c r="L123" s="1" t="n">
        <f aca="false">AVERAGE($C$123:$C$153)</f>
        <v>3555.16129032258</v>
      </c>
      <c r="M123" s="1" t="n">
        <f aca="false">AVERAGE($E$123:$E$153)</f>
        <v>152.483870967742</v>
      </c>
      <c r="N123" s="1" t="n">
        <f aca="false">AVERAGE($G$123:$G$153)</f>
        <v>2.55935483870968</v>
      </c>
      <c r="O123" s="1" t="n">
        <f aca="false">AVERAGE($I$123:$I$153)</f>
        <v>37.7096774193548</v>
      </c>
    </row>
    <row r="124" customFormat="false" ht="13.8" hidden="false" customHeight="false" outlineLevel="0" collapsed="false">
      <c r="A124" s="1" t="n">
        <v>123</v>
      </c>
      <c r="B124" s="30" t="n">
        <v>43953</v>
      </c>
      <c r="C124" s="1" t="n">
        <v>247</v>
      </c>
      <c r="D124" s="1" t="n">
        <f aca="false">C124-C123</f>
        <v>-1065</v>
      </c>
      <c r="E124" s="1" t="n">
        <v>11.4</v>
      </c>
      <c r="F124" s="1" t="n">
        <f aca="false">E124-E123</f>
        <v>-42.4</v>
      </c>
      <c r="G124" s="1" t="n">
        <v>0.18</v>
      </c>
      <c r="H124" s="1" t="n">
        <f aca="false">G124-G123</f>
        <v>-0.76</v>
      </c>
      <c r="I124" s="1" t="n">
        <v>3</v>
      </c>
      <c r="J124" s="1" t="n">
        <f aca="false">I124-I123</f>
        <v>-9</v>
      </c>
      <c r="K124" s="1" t="s">
        <v>10</v>
      </c>
      <c r="L124" s="1" t="n">
        <f aca="false">SQRT(VAR($C$123:$C$153)/COUNT($C$123:$C$153))</f>
        <v>975.347322858948</v>
      </c>
      <c r="M124" s="1" t="n">
        <f aca="false">SQRT(VAR($E$123:$E$153)/COUNT($E$123:$E$153))</f>
        <v>42.4332566614721</v>
      </c>
      <c r="N124" s="1" t="n">
        <f aca="false">SQRT(VAR($G$123:$G$153)/COUNT($G$123:$G$153))</f>
        <v>0.702274788525604</v>
      </c>
      <c r="O124" s="1" t="n">
        <f aca="false">SQRT(VAR($I$123:$I$153)/COUNT($I$123:$I$153))</f>
        <v>10.8557693445028</v>
      </c>
    </row>
    <row r="125" customFormat="false" ht="13.8" hidden="false" customHeight="false" outlineLevel="0" collapsed="false">
      <c r="A125" s="1" t="n">
        <v>124</v>
      </c>
      <c r="B125" s="30" t="n">
        <v>43954</v>
      </c>
      <c r="C125" s="1" t="n">
        <v>362</v>
      </c>
      <c r="D125" s="1" t="n">
        <f aca="false">C125-C124</f>
        <v>115</v>
      </c>
      <c r="E125" s="1" t="n">
        <v>16.6</v>
      </c>
      <c r="F125" s="1" t="n">
        <f aca="false">E125-E124</f>
        <v>5.2</v>
      </c>
      <c r="G125" s="1" t="n">
        <v>0.26</v>
      </c>
      <c r="H125" s="1" t="n">
        <f aca="false">G125-G124</f>
        <v>0.08</v>
      </c>
      <c r="I125" s="1" t="n">
        <v>4</v>
      </c>
      <c r="J125" s="1" t="n">
        <f aca="false">I125-I124</f>
        <v>1</v>
      </c>
      <c r="K125" s="1" t="s">
        <v>14</v>
      </c>
      <c r="L125" s="1" t="n">
        <f aca="false">MODE($C$123:$C$153)</f>
        <v>97</v>
      </c>
      <c r="M125" s="1" t="e">
        <f aca="false">MODE($E$123:$E$153)</f>
        <v>#VALUE!</v>
      </c>
      <c r="N125" s="1" t="n">
        <f aca="false">MODE($G$123:$G$153)</f>
        <v>0.07</v>
      </c>
      <c r="O125" s="1" t="n">
        <f aca="false">MODE($I$123:$I$153)</f>
        <v>12</v>
      </c>
    </row>
    <row r="126" customFormat="false" ht="13.8" hidden="false" customHeight="false" outlineLevel="0" collapsed="false">
      <c r="A126" s="1" t="n">
        <v>125</v>
      </c>
      <c r="B126" s="30" t="n">
        <v>43955</v>
      </c>
      <c r="C126" s="1" t="n">
        <v>3819</v>
      </c>
      <c r="D126" s="1" t="n">
        <f aca="false">C126-C125</f>
        <v>3457</v>
      </c>
      <c r="E126" s="1" t="n">
        <v>161.6</v>
      </c>
      <c r="F126" s="1" t="n">
        <f aca="false">E126-E125</f>
        <v>145</v>
      </c>
      <c r="G126" s="1" t="n">
        <v>2.75</v>
      </c>
      <c r="H126" s="1" t="n">
        <f aca="false">G126-G125</f>
        <v>2.49</v>
      </c>
      <c r="I126" s="1" t="n">
        <v>40</v>
      </c>
      <c r="J126" s="1" t="n">
        <f aca="false">I126-I125</f>
        <v>36</v>
      </c>
      <c r="K126" s="1" t="s">
        <v>12</v>
      </c>
      <c r="L126" s="1" t="n">
        <f aca="false">MEDIAN($C$123:$C$153)</f>
        <v>1520</v>
      </c>
      <c r="M126" s="1" t="n">
        <f aca="false">MEDIAN($E$123:$E$153)</f>
        <v>63.5</v>
      </c>
      <c r="N126" s="1" t="n">
        <f aca="false">MEDIAN($G$123:$G$153)</f>
        <v>1.09</v>
      </c>
      <c r="O126" s="1" t="n">
        <f aca="false">MEDIAN($I$123:$I$153)</f>
        <v>15</v>
      </c>
    </row>
    <row r="127" customFormat="false" ht="13.8" hidden="false" customHeight="false" outlineLevel="0" collapsed="false">
      <c r="A127" s="1" t="n">
        <v>126</v>
      </c>
      <c r="B127" s="30" t="n">
        <v>43956</v>
      </c>
      <c r="C127" s="1" t="n">
        <v>2235</v>
      </c>
      <c r="D127" s="1" t="n">
        <f aca="false">C127-C126</f>
        <v>-1584</v>
      </c>
      <c r="E127" s="1" t="n">
        <v>92</v>
      </c>
      <c r="F127" s="1" t="n">
        <f aca="false">E127-E126</f>
        <v>-69.6</v>
      </c>
      <c r="G127" s="1" t="n">
        <v>1.61</v>
      </c>
      <c r="H127" s="1" t="n">
        <f aca="false">G127-G126</f>
        <v>-1.14</v>
      </c>
      <c r="I127" s="1" t="n">
        <v>21</v>
      </c>
      <c r="J127" s="1" t="n">
        <f aca="false">I127-I126</f>
        <v>-19</v>
      </c>
      <c r="K127" s="1" t="s">
        <v>180</v>
      </c>
      <c r="L127" s="1" t="n">
        <f aca="false">QUARTILE($C$123:$C$153, 1)</f>
        <v>447.5</v>
      </c>
      <c r="M127" s="1" t="n">
        <f aca="false">QUARTILE($E$123:$E$153, 1)</f>
        <v>20</v>
      </c>
      <c r="N127" s="1" t="n">
        <f aca="false">QUARTILE($G$123:$G$153, 1)</f>
        <v>0.32</v>
      </c>
      <c r="O127" s="1" t="n">
        <f aca="false">QUARTILE($I$123:$I$153, 1)</f>
        <v>5</v>
      </c>
    </row>
    <row r="128" customFormat="false" ht="13.8" hidden="false" customHeight="false" outlineLevel="0" collapsed="false">
      <c r="A128" s="1" t="n">
        <v>127</v>
      </c>
      <c r="B128" s="30" t="n">
        <v>43957</v>
      </c>
      <c r="C128" s="1" t="n">
        <v>97</v>
      </c>
      <c r="D128" s="1" t="n">
        <f aca="false">C128-C127</f>
        <v>-2138</v>
      </c>
      <c r="E128" s="1" t="n">
        <v>4.1</v>
      </c>
      <c r="F128" s="1" t="n">
        <f aca="false">E128-E127</f>
        <v>-87.9</v>
      </c>
      <c r="G128" s="1" t="n">
        <v>0.07</v>
      </c>
      <c r="H128" s="1" t="n">
        <f aca="false">G128-G127</f>
        <v>-1.54</v>
      </c>
      <c r="I128" s="1" t="n">
        <v>1</v>
      </c>
      <c r="J128" s="1" t="n">
        <f aca="false">I128-I127</f>
        <v>-20</v>
      </c>
      <c r="K128" s="1" t="s">
        <v>181</v>
      </c>
      <c r="L128" s="1" t="n">
        <f aca="false">QUARTILE($C$123:$C$153, 3)</f>
        <v>3858</v>
      </c>
      <c r="M128" s="1" t="n">
        <f aca="false">QUARTILE($E$123:$E$153, 3)</f>
        <v>164.25</v>
      </c>
      <c r="N128" s="1" t="n">
        <f aca="false">QUARTILE($G$123:$G$153, 3)</f>
        <v>2.78</v>
      </c>
      <c r="O128" s="1" t="n">
        <f aca="false">QUARTILE($I$123:$I$153, 3)</f>
        <v>40.5</v>
      </c>
    </row>
    <row r="129" customFormat="false" ht="13.8" hidden="false" customHeight="false" outlineLevel="0" collapsed="false">
      <c r="A129" s="1" t="n">
        <v>128</v>
      </c>
      <c r="B129" s="30" t="n">
        <v>43958</v>
      </c>
      <c r="C129" s="1" t="n">
        <v>3716</v>
      </c>
      <c r="D129" s="1" t="n">
        <f aca="false">C129-C128</f>
        <v>3619</v>
      </c>
      <c r="E129" s="1" t="n">
        <v>154.8</v>
      </c>
      <c r="F129" s="1" t="n">
        <f aca="false">E129-E128</f>
        <v>150.7</v>
      </c>
      <c r="G129" s="1" t="n">
        <v>2.68</v>
      </c>
      <c r="H129" s="1" t="n">
        <f aca="false">G129-G128</f>
        <v>2.61</v>
      </c>
      <c r="I129" s="1" t="n">
        <v>36</v>
      </c>
      <c r="J129" s="1" t="n">
        <f aca="false">I129-I128</f>
        <v>35</v>
      </c>
      <c r="K129" s="1" t="s">
        <v>182</v>
      </c>
      <c r="L129" s="1" t="n">
        <f aca="false">VAR($C$123:$C$153)</f>
        <v>29490374.4064516</v>
      </c>
      <c r="M129" s="1" t="n">
        <f aca="false">VAR($E$123:$E$153)</f>
        <v>55818.0193978495</v>
      </c>
      <c r="N129" s="1" t="n">
        <f aca="false">VAR($G$123:$G$153)</f>
        <v>15.2888862365591</v>
      </c>
      <c r="O129" s="1" t="n">
        <f aca="false">VAR($I$123:$I$153)</f>
        <v>3653.27956989247</v>
      </c>
    </row>
    <row r="130" customFormat="false" ht="13.8" hidden="false" customHeight="false" outlineLevel="0" collapsed="false">
      <c r="A130" s="1" t="n">
        <v>129</v>
      </c>
      <c r="B130" s="30" t="n">
        <v>43959</v>
      </c>
      <c r="C130" s="1" t="n">
        <v>2554</v>
      </c>
      <c r="D130" s="1" t="n">
        <f aca="false">C130-C129</f>
        <v>-1162</v>
      </c>
      <c r="E130" s="1" t="n">
        <v>107.3</v>
      </c>
      <c r="F130" s="1" t="n">
        <f aca="false">E130-E129</f>
        <v>-47.5</v>
      </c>
      <c r="G130" s="1" t="n">
        <v>1.84</v>
      </c>
      <c r="H130" s="1" t="n">
        <f aca="false">G130-G129</f>
        <v>-0.84</v>
      </c>
      <c r="I130" s="1" t="n">
        <v>26</v>
      </c>
      <c r="J130" s="1" t="n">
        <f aca="false">I130-I129</f>
        <v>-10</v>
      </c>
      <c r="K130" s="1" t="s">
        <v>16</v>
      </c>
      <c r="L130" s="1" t="n">
        <f aca="false">STDEV($C$123:$C$153)</f>
        <v>5430.50406559572</v>
      </c>
      <c r="M130" s="1" t="n">
        <f aca="false">STDEV($E$123:$E$153)</f>
        <v>236.258374238564</v>
      </c>
      <c r="N130" s="1" t="n">
        <f aca="false">STDEV($G$123:$G$153)</f>
        <v>3.91010054046685</v>
      </c>
      <c r="O130" s="1" t="n">
        <f aca="false">STDEV($I$123:$I$153)</f>
        <v>60.4423656874255</v>
      </c>
    </row>
    <row r="131" customFormat="false" ht="13.8" hidden="false" customHeight="false" outlineLevel="0" collapsed="false">
      <c r="A131" s="1" t="n">
        <v>130</v>
      </c>
      <c r="B131" s="30" t="n">
        <v>43960</v>
      </c>
      <c r="C131" s="1" t="n">
        <v>1851</v>
      </c>
      <c r="D131" s="1" t="n">
        <f aca="false">C131-C130</f>
        <v>-703</v>
      </c>
      <c r="E131" s="1" t="n">
        <v>80</v>
      </c>
      <c r="F131" s="1" t="n">
        <f aca="false">E131-E130</f>
        <v>-27.3</v>
      </c>
      <c r="G131" s="1" t="n">
        <v>1.33</v>
      </c>
      <c r="H131" s="1" t="n">
        <f aca="false">G131-G130</f>
        <v>-0.51</v>
      </c>
      <c r="I131" s="1" t="n">
        <v>20</v>
      </c>
      <c r="J131" s="1" t="n">
        <f aca="false">I131-I130</f>
        <v>-6</v>
      </c>
      <c r="K131" s="1" t="s">
        <v>20</v>
      </c>
      <c r="L131" s="1" t="n">
        <f aca="false">KURT($C$123:$C$153)</f>
        <v>7.46360498218607</v>
      </c>
      <c r="M131" s="1" t="n">
        <f aca="false">KURT($E$123:$E$153)</f>
        <v>7.90614876785735</v>
      </c>
      <c r="N131" s="1" t="n">
        <f aca="false">KURT($G$123:$G$153)</f>
        <v>7.46124814510254</v>
      </c>
      <c r="O131" s="1" t="n">
        <f aca="false">KURT($I$123:$I$153)</f>
        <v>8.64298334609986</v>
      </c>
    </row>
    <row r="132" customFormat="false" ht="13.8" hidden="false" customHeight="false" outlineLevel="0" collapsed="false">
      <c r="A132" s="1" t="n">
        <v>131</v>
      </c>
      <c r="B132" s="30" t="n">
        <v>43961</v>
      </c>
      <c r="C132" s="1" t="n">
        <v>16107</v>
      </c>
      <c r="D132" s="1" t="n">
        <f aca="false">C132-C131</f>
        <v>14256</v>
      </c>
      <c r="E132" s="1" t="n">
        <v>716.6</v>
      </c>
      <c r="F132" s="1" t="n">
        <f aca="false">E132-E131</f>
        <v>636.6</v>
      </c>
      <c r="G132" s="1" t="n">
        <v>11.6</v>
      </c>
      <c r="H132" s="1" t="n">
        <f aca="false">G132-G131</f>
        <v>10.27</v>
      </c>
      <c r="I132" s="1" t="n">
        <v>187</v>
      </c>
      <c r="J132" s="1" t="n">
        <f aca="false">I132-I131</f>
        <v>167</v>
      </c>
      <c r="K132" s="1" t="s">
        <v>22</v>
      </c>
      <c r="L132" s="1" t="n">
        <f aca="false">SKEW($C$123:$C$153)</f>
        <v>2.67460106415113</v>
      </c>
      <c r="M132" s="1" t="n">
        <f aca="false">SKEW($E$123:$E$153)</f>
        <v>2.74555687614549</v>
      </c>
      <c r="N132" s="1" t="n">
        <f aca="false">SKEW($G$123:$G$153)</f>
        <v>2.67415109498701</v>
      </c>
      <c r="O132" s="1" t="n">
        <f aca="false">SKEW($I$123:$I$153)</f>
        <v>2.86175715136661</v>
      </c>
    </row>
    <row r="133" customFormat="false" ht="13.8" hidden="false" customHeight="false" outlineLevel="0" collapsed="false">
      <c r="A133" s="1" t="n">
        <v>132</v>
      </c>
      <c r="B133" s="30" t="n">
        <v>43962</v>
      </c>
      <c r="C133" s="1" t="n">
        <v>1807</v>
      </c>
      <c r="D133" s="1" t="n">
        <f aca="false">C133-C132</f>
        <v>-14300</v>
      </c>
      <c r="E133" s="1" t="n">
        <v>75.6</v>
      </c>
      <c r="F133" s="1" t="n">
        <f aca="false">E133-E132</f>
        <v>-641</v>
      </c>
      <c r="G133" s="1" t="n">
        <v>1.3</v>
      </c>
      <c r="H133" s="1" t="n">
        <f aca="false">G133-G132</f>
        <v>-10.3</v>
      </c>
      <c r="I133" s="1" t="n">
        <v>18</v>
      </c>
      <c r="J133" s="1" t="n">
        <f aca="false">I133-I132</f>
        <v>-169</v>
      </c>
      <c r="K133" s="1" t="s">
        <v>24</v>
      </c>
      <c r="L133" s="1" t="n">
        <f aca="false">MAX($C$123:$C$153)-MIN($C$123:$C$153)</f>
        <v>24307</v>
      </c>
      <c r="M133" s="1" t="n">
        <f aca="false">MAX($E$123:$E$153)-MIN($E$123:$E$153)</f>
        <v>1066.5</v>
      </c>
      <c r="N133" s="1" t="n">
        <f aca="false">MAX($G$123:$G$153)-MIN($G$123:$G$153)</f>
        <v>17.5</v>
      </c>
      <c r="O133" s="1" t="n">
        <f aca="false">MAX($I$123:$I$153)-MIN($I$123:$I$153)</f>
        <v>276</v>
      </c>
    </row>
    <row r="134" customFormat="false" ht="13.8" hidden="false" customHeight="false" outlineLevel="0" collapsed="false">
      <c r="A134" s="1" t="n">
        <v>133</v>
      </c>
      <c r="B134" s="30" t="n">
        <v>43963</v>
      </c>
      <c r="C134" s="1" t="n">
        <v>7651</v>
      </c>
      <c r="D134" s="1" t="n">
        <f aca="false">C134-C133</f>
        <v>5844</v>
      </c>
      <c r="E134" s="1" t="n">
        <v>314.2</v>
      </c>
      <c r="F134" s="1" t="n">
        <f aca="false">E134-E133</f>
        <v>238.6</v>
      </c>
      <c r="G134" s="1" t="n">
        <v>5.51</v>
      </c>
      <c r="H134" s="1" t="n">
        <f aca="false">G134-G133</f>
        <v>4.21</v>
      </c>
      <c r="I134" s="1" t="n">
        <v>73</v>
      </c>
      <c r="J134" s="1" t="n">
        <f aca="false">I134-I133</f>
        <v>55</v>
      </c>
      <c r="K134" s="1" t="s">
        <v>26</v>
      </c>
      <c r="L134" s="1" t="n">
        <f aca="false">MIN($C$123:$C$153)</f>
        <v>97</v>
      </c>
      <c r="M134" s="1" t="n">
        <f aca="false">MIN($E$123:$E$153)</f>
        <v>4</v>
      </c>
      <c r="N134" s="1" t="n">
        <f aca="false">MIN($G$123:$G$153)</f>
        <v>0.07</v>
      </c>
      <c r="O134" s="1" t="n">
        <f aca="false">MIN($I$123:$I$153)</f>
        <v>1</v>
      </c>
    </row>
    <row r="135" customFormat="false" ht="13.8" hidden="false" customHeight="false" outlineLevel="0" collapsed="false">
      <c r="A135" s="1" t="n">
        <v>134</v>
      </c>
      <c r="B135" s="30" t="n">
        <v>43964</v>
      </c>
      <c r="C135" s="1" t="n">
        <v>218</v>
      </c>
      <c r="D135" s="1" t="n">
        <f aca="false">C135-C134</f>
        <v>-7433</v>
      </c>
      <c r="E135" s="1" t="n">
        <v>9.8</v>
      </c>
      <c r="F135" s="1" t="n">
        <f aca="false">E135-E134</f>
        <v>-304.4</v>
      </c>
      <c r="G135" s="1" t="n">
        <v>0.16</v>
      </c>
      <c r="H135" s="1" t="n">
        <f aca="false">G135-G134</f>
        <v>-5.35</v>
      </c>
      <c r="I135" s="1" t="n">
        <v>2</v>
      </c>
      <c r="J135" s="1" t="n">
        <f aca="false">I135-I134</f>
        <v>-71</v>
      </c>
      <c r="K135" s="1" t="s">
        <v>28</v>
      </c>
      <c r="L135" s="1" t="n">
        <f aca="false">MAX($C$123:$C$153)</f>
        <v>24404</v>
      </c>
      <c r="M135" s="1" t="n">
        <f aca="false">MAX($E$123:$E$153)</f>
        <v>1070.5</v>
      </c>
      <c r="N135" s="1" t="n">
        <f aca="false">MAX($G$123:$G$153)</f>
        <v>17.57</v>
      </c>
      <c r="O135" s="1" t="n">
        <f aca="false">MAX($I$123:$I$153)</f>
        <v>277</v>
      </c>
    </row>
    <row r="136" customFormat="false" ht="13.8" hidden="false" customHeight="false" outlineLevel="0" collapsed="false">
      <c r="A136" s="1" t="n">
        <v>135</v>
      </c>
      <c r="B136" s="30" t="n">
        <v>43965</v>
      </c>
      <c r="C136" s="1" t="n">
        <v>5166</v>
      </c>
      <c r="D136" s="1" t="n">
        <f aca="false">C136-C135</f>
        <v>4948</v>
      </c>
      <c r="E136" s="1" t="n">
        <v>212.2</v>
      </c>
      <c r="F136" s="1" t="n">
        <f aca="false">E136-E135</f>
        <v>202.4</v>
      </c>
      <c r="G136" s="1" t="n">
        <v>3.72</v>
      </c>
      <c r="H136" s="1" t="n">
        <f aca="false">G136-G135</f>
        <v>3.56</v>
      </c>
      <c r="I136" s="1" t="n">
        <v>49</v>
      </c>
      <c r="J136" s="1" t="n">
        <f aca="false">I136-I135</f>
        <v>47</v>
      </c>
      <c r="K136" s="1" t="s">
        <v>30</v>
      </c>
      <c r="L136" s="1" t="n">
        <f aca="false">SUM($C$123:$C$153)</f>
        <v>110210</v>
      </c>
      <c r="M136" s="1" t="n">
        <f aca="false">SUM($E$123:$E$153)</f>
        <v>4727</v>
      </c>
      <c r="N136" s="1" t="n">
        <f aca="false">SUM($G$123:$G$153)</f>
        <v>79.34</v>
      </c>
      <c r="O136" s="1" t="n">
        <f aca="false">SUM($I$123:$I$153)</f>
        <v>1169</v>
      </c>
    </row>
    <row r="137" customFormat="false" ht="13.8" hidden="false" customHeight="false" outlineLevel="0" collapsed="false">
      <c r="A137" s="1" t="n">
        <v>136</v>
      </c>
      <c r="B137" s="30" t="n">
        <v>43966</v>
      </c>
      <c r="C137" s="1" t="n">
        <v>97</v>
      </c>
      <c r="D137" s="1" t="n">
        <f aca="false">C137-C136</f>
        <v>-5069</v>
      </c>
      <c r="E137" s="1" t="n">
        <v>4</v>
      </c>
      <c r="F137" s="1" t="n">
        <f aca="false">E137-E136</f>
        <v>-208.2</v>
      </c>
      <c r="G137" s="1" t="n">
        <v>0.07</v>
      </c>
      <c r="H137" s="1" t="n">
        <f aca="false">G137-G136</f>
        <v>-3.65</v>
      </c>
      <c r="I137" s="1" t="n">
        <v>1</v>
      </c>
      <c r="J137" s="1" t="n">
        <f aca="false">I137-I136</f>
        <v>-48</v>
      </c>
      <c r="K137" s="1" t="s">
        <v>32</v>
      </c>
      <c r="L137" s="1" t="n">
        <f aca="false">COUNT($C$123:$C$153)</f>
        <v>31</v>
      </c>
      <c r="M137" s="1" t="n">
        <f aca="false">COUNT($E$123:$E$153)</f>
        <v>31</v>
      </c>
      <c r="N137" s="1" t="n">
        <f aca="false">COUNT($G$123:$G$153)</f>
        <v>31</v>
      </c>
      <c r="O137" s="1" t="n">
        <f aca="false">COUNT($I$123:$I$153)</f>
        <v>31</v>
      </c>
    </row>
    <row r="138" customFormat="false" ht="13.8" hidden="false" customHeight="false" outlineLevel="0" collapsed="false">
      <c r="A138" s="1" t="n">
        <v>137</v>
      </c>
      <c r="B138" s="30" t="n">
        <v>43967</v>
      </c>
      <c r="C138" s="1" t="n">
        <v>280</v>
      </c>
      <c r="D138" s="1" t="n">
        <f aca="false">C138-C137</f>
        <v>183</v>
      </c>
      <c r="E138" s="1" t="n">
        <v>12.4</v>
      </c>
      <c r="F138" s="1" t="n">
        <f aca="false">E138-E137</f>
        <v>8.4</v>
      </c>
      <c r="G138" s="1" t="n">
        <v>0.2</v>
      </c>
      <c r="H138" s="1" t="n">
        <f aca="false">G138-G137</f>
        <v>0.13</v>
      </c>
      <c r="I138" s="1" t="n">
        <v>3</v>
      </c>
      <c r="J138" s="1" t="n">
        <f aca="false">I138-I137</f>
        <v>2</v>
      </c>
    </row>
    <row r="139" customFormat="false" ht="13.8" hidden="false" customHeight="false" outlineLevel="0" collapsed="false">
      <c r="A139" s="1" t="n">
        <v>138</v>
      </c>
      <c r="B139" s="30" t="n">
        <v>43968</v>
      </c>
      <c r="C139" s="1" t="n">
        <v>111</v>
      </c>
      <c r="D139" s="1" t="n">
        <f aca="false">C139-C138</f>
        <v>-169</v>
      </c>
      <c r="E139" s="1" t="n">
        <v>5.1</v>
      </c>
      <c r="F139" s="1" t="n">
        <f aca="false">E139-E138</f>
        <v>-7.3</v>
      </c>
      <c r="G139" s="1" t="n">
        <v>0.08</v>
      </c>
      <c r="H139" s="1" t="n">
        <f aca="false">G139-G138</f>
        <v>-0.12</v>
      </c>
      <c r="I139" s="1" t="n">
        <v>1</v>
      </c>
      <c r="J139" s="1" t="n">
        <f aca="false">I139-I138</f>
        <v>-2</v>
      </c>
    </row>
    <row r="140" customFormat="false" ht="13.8" hidden="false" customHeight="false" outlineLevel="0" collapsed="false">
      <c r="A140" s="1" t="n">
        <v>139</v>
      </c>
      <c r="B140" s="30" t="n">
        <v>43969</v>
      </c>
      <c r="C140" s="1" t="n">
        <v>14617</v>
      </c>
      <c r="D140" s="1" t="n">
        <f aca="false">C140-C139</f>
        <v>14506</v>
      </c>
      <c r="E140" s="1" t="n">
        <v>606.4</v>
      </c>
      <c r="F140" s="1" t="n">
        <f aca="false">E140-E139</f>
        <v>601.3</v>
      </c>
      <c r="G140" s="1" t="n">
        <v>10.52</v>
      </c>
      <c r="H140" s="1" t="n">
        <f aca="false">G140-G139</f>
        <v>10.44</v>
      </c>
      <c r="I140" s="1" t="n">
        <v>144</v>
      </c>
      <c r="J140" s="1" t="n">
        <f aca="false">I140-I139</f>
        <v>143</v>
      </c>
    </row>
    <row r="141" customFormat="false" ht="13.8" hidden="false" customHeight="false" outlineLevel="0" collapsed="false">
      <c r="A141" s="1" t="n">
        <v>140</v>
      </c>
      <c r="B141" s="30" t="n">
        <v>43970</v>
      </c>
      <c r="C141" s="1" t="n">
        <v>3897</v>
      </c>
      <c r="D141" s="1" t="n">
        <f aca="false">C141-C140</f>
        <v>-10720</v>
      </c>
      <c r="E141" s="1" t="n">
        <v>166.9</v>
      </c>
      <c r="F141" s="1" t="n">
        <f aca="false">E141-E140</f>
        <v>-439.5</v>
      </c>
      <c r="G141" s="1" t="n">
        <v>2.81</v>
      </c>
      <c r="H141" s="1" t="n">
        <f aca="false">G141-G140</f>
        <v>-7.71</v>
      </c>
      <c r="I141" s="1" t="n">
        <v>41</v>
      </c>
      <c r="J141" s="1" t="n">
        <f aca="false">I141-I140</f>
        <v>-103</v>
      </c>
    </row>
    <row r="142" customFormat="false" ht="13.8" hidden="false" customHeight="false" outlineLevel="0" collapsed="false">
      <c r="A142" s="1" t="n">
        <v>141</v>
      </c>
      <c r="B142" s="30" t="n">
        <v>43971</v>
      </c>
      <c r="C142" s="1" t="n">
        <v>587</v>
      </c>
      <c r="D142" s="1" t="n">
        <f aca="false">C142-C141</f>
        <v>-3310</v>
      </c>
      <c r="E142" s="1" t="n">
        <v>25.6</v>
      </c>
      <c r="F142" s="1" t="n">
        <f aca="false">E142-E141</f>
        <v>-141.3</v>
      </c>
      <c r="G142" s="1" t="n">
        <v>0.42</v>
      </c>
      <c r="H142" s="1" t="n">
        <f aca="false">G142-G141</f>
        <v>-2.39</v>
      </c>
      <c r="I142" s="1" t="n">
        <v>6</v>
      </c>
      <c r="J142" s="1" t="n">
        <f aca="false">I142-I141</f>
        <v>-35</v>
      </c>
    </row>
    <row r="143" customFormat="false" ht="13.8" hidden="false" customHeight="false" outlineLevel="0" collapsed="false">
      <c r="A143" s="1" t="n">
        <v>142</v>
      </c>
      <c r="B143" s="30" t="n">
        <v>43972</v>
      </c>
      <c r="C143" s="1" t="n">
        <v>1277</v>
      </c>
      <c r="D143" s="1" t="n">
        <f aca="false">C143-C142</f>
        <v>690</v>
      </c>
      <c r="E143" s="1" t="n">
        <v>51.9</v>
      </c>
      <c r="F143" s="1" t="n">
        <f aca="false">E143-E142</f>
        <v>26.3</v>
      </c>
      <c r="G143" s="1" t="n">
        <v>0.92</v>
      </c>
      <c r="H143" s="1" t="n">
        <f aca="false">G143-G142</f>
        <v>0.5</v>
      </c>
      <c r="I143" s="1" t="n">
        <v>11</v>
      </c>
      <c r="J143" s="1" t="n">
        <f aca="false">I143-I142</f>
        <v>5</v>
      </c>
    </row>
    <row r="144" customFormat="false" ht="13.8" hidden="false" customHeight="false" outlineLevel="0" collapsed="false">
      <c r="A144" s="1" t="n">
        <v>143</v>
      </c>
      <c r="B144" s="30" t="n">
        <v>43973</v>
      </c>
      <c r="C144" s="1" t="n">
        <v>4427</v>
      </c>
      <c r="D144" s="1" t="n">
        <f aca="false">C144-C143</f>
        <v>3150</v>
      </c>
      <c r="E144" s="1" t="n">
        <v>188</v>
      </c>
      <c r="F144" s="1" t="n">
        <f aca="false">E144-E143</f>
        <v>136.1</v>
      </c>
      <c r="G144" s="1" t="n">
        <v>3.19</v>
      </c>
      <c r="H144" s="1" t="n">
        <f aca="false">G144-G143</f>
        <v>2.27</v>
      </c>
      <c r="I144" s="1" t="n">
        <v>46</v>
      </c>
      <c r="J144" s="1" t="n">
        <f aca="false">I144-I143</f>
        <v>35</v>
      </c>
    </row>
    <row r="145" customFormat="false" ht="13.8" hidden="false" customHeight="false" outlineLevel="0" collapsed="false">
      <c r="A145" s="1" t="n">
        <v>144</v>
      </c>
      <c r="B145" s="30" t="n">
        <v>43974</v>
      </c>
      <c r="C145" s="1" t="n">
        <v>24404</v>
      </c>
      <c r="D145" s="1" t="n">
        <f aca="false">C145-C144</f>
        <v>19977</v>
      </c>
      <c r="E145" s="1" t="n">
        <v>1070.5</v>
      </c>
      <c r="F145" s="1" t="n">
        <f aca="false">E145-E144</f>
        <v>882.5</v>
      </c>
      <c r="G145" s="1" t="n">
        <v>17.57</v>
      </c>
      <c r="H145" s="1" t="n">
        <f aca="false">G145-G144</f>
        <v>14.38</v>
      </c>
      <c r="I145" s="1" t="n">
        <v>277</v>
      </c>
      <c r="J145" s="1" t="n">
        <f aca="false">I145-I144</f>
        <v>231</v>
      </c>
    </row>
    <row r="146" customFormat="false" ht="13.8" hidden="false" customHeight="false" outlineLevel="0" collapsed="false">
      <c r="A146" s="1" t="n">
        <v>145</v>
      </c>
      <c r="B146" s="30" t="n">
        <v>43975</v>
      </c>
      <c r="C146" s="1" t="n">
        <v>1089</v>
      </c>
      <c r="D146" s="1" t="n">
        <f aca="false">C146-C145</f>
        <v>-23315</v>
      </c>
      <c r="E146" s="1" t="n">
        <v>48.7</v>
      </c>
      <c r="F146" s="1" t="n">
        <f aca="false">E146-E145</f>
        <v>-1021.8</v>
      </c>
      <c r="G146" s="1" t="n">
        <v>0.78</v>
      </c>
      <c r="H146" s="1" t="n">
        <f aca="false">G146-G145</f>
        <v>-16.79</v>
      </c>
      <c r="I146" s="1" t="n">
        <v>12</v>
      </c>
      <c r="J146" s="1" t="n">
        <f aca="false">I146-I145</f>
        <v>-265</v>
      </c>
    </row>
    <row r="147" customFormat="false" ht="13.8" hidden="false" customHeight="false" outlineLevel="0" collapsed="false">
      <c r="A147" s="1" t="n">
        <v>146</v>
      </c>
      <c r="B147" s="30" t="n">
        <v>43976</v>
      </c>
      <c r="C147" s="1" t="n">
        <v>4265</v>
      </c>
      <c r="D147" s="1" t="n">
        <f aca="false">C147-C146</f>
        <v>3176</v>
      </c>
      <c r="E147" s="1" t="n">
        <v>190.9</v>
      </c>
      <c r="F147" s="1" t="n">
        <f aca="false">E147-E146</f>
        <v>142.2</v>
      </c>
      <c r="G147" s="1" t="n">
        <v>3.07</v>
      </c>
      <c r="H147" s="1" t="n">
        <f aca="false">G147-G146</f>
        <v>2.29</v>
      </c>
      <c r="I147" s="1" t="n">
        <v>50</v>
      </c>
      <c r="J147" s="1" t="n">
        <f aca="false">I147-I146</f>
        <v>38</v>
      </c>
    </row>
    <row r="148" customFormat="false" ht="13.8" hidden="false" customHeight="false" outlineLevel="0" collapsed="false">
      <c r="A148" s="1" t="n">
        <v>147</v>
      </c>
      <c r="B148" s="30" t="n">
        <v>43977</v>
      </c>
      <c r="C148" s="1" t="n">
        <v>1289</v>
      </c>
      <c r="D148" s="1" t="n">
        <f aca="false">C148-C147</f>
        <v>-2976</v>
      </c>
      <c r="E148" s="1" t="n">
        <v>53.4</v>
      </c>
      <c r="F148" s="1" t="n">
        <f aca="false">E148-E147</f>
        <v>-137.5</v>
      </c>
      <c r="G148" s="1" t="n">
        <v>0.93</v>
      </c>
      <c r="H148" s="1" t="n">
        <f aca="false">G148-G147</f>
        <v>-2.14</v>
      </c>
      <c r="I148" s="1" t="n">
        <v>12</v>
      </c>
      <c r="J148" s="1" t="n">
        <f aca="false">I148-I147</f>
        <v>-38</v>
      </c>
    </row>
    <row r="149" customFormat="false" ht="13.8" hidden="false" customHeight="false" outlineLevel="0" collapsed="false">
      <c r="A149" s="1" t="n">
        <v>148</v>
      </c>
      <c r="B149" s="30" t="n">
        <v>43978</v>
      </c>
      <c r="C149" s="1" t="n">
        <v>1520</v>
      </c>
      <c r="D149" s="1" t="n">
        <f aca="false">C149-C148</f>
        <v>231</v>
      </c>
      <c r="E149" s="1" t="n">
        <v>63.5</v>
      </c>
      <c r="F149" s="1" t="n">
        <f aca="false">E149-E148</f>
        <v>10.1</v>
      </c>
      <c r="G149" s="1" t="n">
        <v>1.09</v>
      </c>
      <c r="H149" s="1" t="n">
        <f aca="false">G149-G148</f>
        <v>0.16</v>
      </c>
      <c r="I149" s="1" t="n">
        <v>15</v>
      </c>
      <c r="J149" s="1" t="n">
        <f aca="false">I149-I148</f>
        <v>3</v>
      </c>
    </row>
    <row r="150" customFormat="false" ht="13.8" hidden="false" customHeight="false" outlineLevel="0" collapsed="false">
      <c r="A150" s="1" t="n">
        <v>149</v>
      </c>
      <c r="B150" s="30" t="n">
        <v>43979</v>
      </c>
      <c r="C150" s="1" t="n">
        <v>179</v>
      </c>
      <c r="D150" s="1" t="n">
        <f aca="false">C150-C149</f>
        <v>-1341</v>
      </c>
      <c r="E150" s="1" t="n">
        <v>8.1</v>
      </c>
      <c r="F150" s="1" t="n">
        <f aca="false">E150-E149</f>
        <v>-55.4</v>
      </c>
      <c r="G150" s="1" t="n">
        <v>0.13</v>
      </c>
      <c r="H150" s="1" t="n">
        <f aca="false">G150-G149</f>
        <v>-0.96</v>
      </c>
      <c r="I150" s="1" t="n">
        <v>2</v>
      </c>
      <c r="J150" s="1" t="n">
        <f aca="false">I150-I149</f>
        <v>-13</v>
      </c>
    </row>
    <row r="151" customFormat="false" ht="13.8" hidden="false" customHeight="false" outlineLevel="0" collapsed="false">
      <c r="A151" s="1" t="n">
        <v>150</v>
      </c>
      <c r="B151" s="30" t="n">
        <v>43980</v>
      </c>
      <c r="C151" s="1" t="n">
        <v>935</v>
      </c>
      <c r="D151" s="1" t="n">
        <f aca="false">C151-C150</f>
        <v>756</v>
      </c>
      <c r="E151" s="1" t="n">
        <v>43.9</v>
      </c>
      <c r="F151" s="1" t="n">
        <f aca="false">E151-E150</f>
        <v>35.8</v>
      </c>
      <c r="G151" s="1" t="n">
        <v>0.67</v>
      </c>
      <c r="H151" s="1" t="n">
        <f aca="false">G151-G150</f>
        <v>0.54</v>
      </c>
      <c r="I151" s="1" t="n">
        <v>12</v>
      </c>
      <c r="J151" s="1" t="n">
        <f aca="false">I151-I150</f>
        <v>10</v>
      </c>
    </row>
    <row r="152" customFormat="false" ht="13.8" hidden="false" customHeight="false" outlineLevel="0" collapsed="false">
      <c r="A152" s="1" t="n">
        <v>151</v>
      </c>
      <c r="B152" s="30" t="n">
        <v>43981</v>
      </c>
      <c r="C152" s="1" t="n">
        <v>3561</v>
      </c>
      <c r="D152" s="1" t="n">
        <f aca="false">C152-C151</f>
        <v>2626</v>
      </c>
      <c r="E152" s="1" t="n">
        <v>154.3</v>
      </c>
      <c r="F152" s="1" t="n">
        <f aca="false">E152-E151</f>
        <v>110.4</v>
      </c>
      <c r="G152" s="1" t="n">
        <v>2.56</v>
      </c>
      <c r="H152" s="1" t="n">
        <f aca="false">G152-G151</f>
        <v>1.89</v>
      </c>
      <c r="I152" s="1" t="n">
        <v>38</v>
      </c>
      <c r="J152" s="1" t="n">
        <f aca="false">I152-I151</f>
        <v>26</v>
      </c>
    </row>
    <row r="153" customFormat="false" ht="13.8" hidden="false" customHeight="false" outlineLevel="0" collapsed="false">
      <c r="A153" s="1" t="n">
        <v>152</v>
      </c>
      <c r="B153" s="30" t="n">
        <v>43982</v>
      </c>
      <c r="C153" s="1" t="n">
        <v>533</v>
      </c>
      <c r="D153" s="1" t="n">
        <f aca="false">C153-C152</f>
        <v>-3028</v>
      </c>
      <c r="E153" s="1" t="n">
        <v>23.4</v>
      </c>
      <c r="F153" s="1" t="n">
        <f aca="false">E153-E152</f>
        <v>-130.9</v>
      </c>
      <c r="G153" s="1" t="n">
        <v>0.38</v>
      </c>
      <c r="H153" s="1" t="n">
        <f aca="false">G153-G152</f>
        <v>-2.18</v>
      </c>
      <c r="I153" s="1" t="n">
        <v>6</v>
      </c>
      <c r="J153" s="1" t="n">
        <f aca="false">I153-I152</f>
        <v>-32</v>
      </c>
    </row>
    <row r="154" customFormat="false" ht="13.8" hidden="false" customHeight="false" outlineLevel="0" collapsed="false">
      <c r="A154" s="1" t="n">
        <v>153</v>
      </c>
      <c r="B154" s="30" t="n">
        <v>43983</v>
      </c>
      <c r="C154" s="1" t="n">
        <v>2239</v>
      </c>
      <c r="D154" s="1" t="n">
        <f aca="false">C154-C153</f>
        <v>1706</v>
      </c>
      <c r="E154" s="1" t="n">
        <v>97.2</v>
      </c>
      <c r="F154" s="1" t="n">
        <f aca="false">E154-E153</f>
        <v>73.8</v>
      </c>
      <c r="G154" s="1" t="n">
        <v>1.61</v>
      </c>
      <c r="H154" s="1" t="n">
        <f aca="false">G154-G153</f>
        <v>1.23</v>
      </c>
      <c r="I154" s="1" t="n">
        <v>24</v>
      </c>
      <c r="J154" s="1" t="n">
        <f aca="false">I154-I153</f>
        <v>18</v>
      </c>
      <c r="L154" s="1" t="s">
        <v>2</v>
      </c>
      <c r="M154" s="1" t="s">
        <v>179</v>
      </c>
      <c r="N154" s="1" t="s">
        <v>175</v>
      </c>
      <c r="O154" s="1" t="s">
        <v>177</v>
      </c>
    </row>
    <row r="155" customFormat="false" ht="13.8" hidden="false" customHeight="false" outlineLevel="0" collapsed="false">
      <c r="A155" s="1" t="n">
        <v>154</v>
      </c>
      <c r="B155" s="30" t="n">
        <v>43984</v>
      </c>
      <c r="C155" s="1" t="n">
        <v>171</v>
      </c>
      <c r="D155" s="1" t="n">
        <f aca="false">C155-C154</f>
        <v>-2068</v>
      </c>
      <c r="E155" s="1" t="n">
        <v>8.2</v>
      </c>
      <c r="F155" s="1" t="n">
        <f aca="false">E155-E154</f>
        <v>-89</v>
      </c>
      <c r="G155" s="1" t="n">
        <v>0.12</v>
      </c>
      <c r="H155" s="1" t="n">
        <f aca="false">G155-G154</f>
        <v>-1.49</v>
      </c>
      <c r="I155" s="1" t="n">
        <v>2</v>
      </c>
      <c r="J155" s="1" t="n">
        <f aca="false">I155-I154</f>
        <v>-22</v>
      </c>
      <c r="K155" s="1" t="s">
        <v>8</v>
      </c>
      <c r="L155" s="1" t="n">
        <f aca="false">AVERAGE($C$154:$C$183)</f>
        <v>7324.6</v>
      </c>
      <c r="M155" s="1" t="n">
        <f aca="false">AVERAGE($E$154:$E$183)</f>
        <v>308.486666666667</v>
      </c>
      <c r="N155" s="1" t="n">
        <f aca="false">AVERAGE($G$154:$G$183)</f>
        <v>5.27333333333333</v>
      </c>
      <c r="O155" s="1" t="n">
        <f aca="false">AVERAGE($I$154:$I$183)</f>
        <v>74.8</v>
      </c>
    </row>
    <row r="156" customFormat="false" ht="13.8" hidden="false" customHeight="false" outlineLevel="0" collapsed="false">
      <c r="A156" s="1" t="n">
        <v>155</v>
      </c>
      <c r="B156" s="30" t="n">
        <v>43985</v>
      </c>
      <c r="C156" s="1" t="n">
        <v>478</v>
      </c>
      <c r="D156" s="1" t="n">
        <f aca="false">C156-C155</f>
        <v>307</v>
      </c>
      <c r="E156" s="1" t="n">
        <v>20.6</v>
      </c>
      <c r="F156" s="1" t="n">
        <f aca="false">E156-E155</f>
        <v>12.4</v>
      </c>
      <c r="G156" s="1" t="n">
        <v>0.34</v>
      </c>
      <c r="H156" s="1" t="n">
        <f aca="false">G156-G155</f>
        <v>0.22</v>
      </c>
      <c r="I156" s="1" t="n">
        <v>5</v>
      </c>
      <c r="J156" s="1" t="n">
        <f aca="false">I156-I155</f>
        <v>3</v>
      </c>
      <c r="K156" s="1" t="s">
        <v>10</v>
      </c>
      <c r="L156" s="1" t="n">
        <f aca="false">SQRT(VAR($C$154:$C$183)/COUNT($C$154:$C$183))</f>
        <v>1517.16575943738</v>
      </c>
      <c r="M156" s="1" t="n">
        <f aca="false">SQRT(VAR($E$154:$E$183)/COUNT($E$154:$E$183))</f>
        <v>64.5937735395342</v>
      </c>
      <c r="N156" s="1" t="n">
        <f aca="false">SQRT(VAR($G$154:$G$183)/COUNT($G$154:$G$183))</f>
        <v>1.09225910922538</v>
      </c>
      <c r="O156" s="1" t="n">
        <f aca="false">SQRT(VAR($I$154:$I$183)/COUNT($I$154:$I$183))</f>
        <v>16.1064276453301</v>
      </c>
    </row>
    <row r="157" customFormat="false" ht="13.8" hidden="false" customHeight="false" outlineLevel="0" collapsed="false">
      <c r="A157" s="1" t="n">
        <v>156</v>
      </c>
      <c r="B157" s="30" t="n">
        <v>43986</v>
      </c>
      <c r="C157" s="1" t="n">
        <v>50</v>
      </c>
      <c r="D157" s="1" t="n">
        <f aca="false">C157-C156</f>
        <v>-428</v>
      </c>
      <c r="E157" s="1" t="n">
        <v>2.2</v>
      </c>
      <c r="F157" s="1" t="n">
        <f aca="false">E157-E156</f>
        <v>-18.4</v>
      </c>
      <c r="G157" s="1" t="n">
        <v>0.04</v>
      </c>
      <c r="H157" s="1" t="n">
        <f aca="false">G157-G156</f>
        <v>-0.3</v>
      </c>
      <c r="I157" s="1" t="n">
        <v>1</v>
      </c>
      <c r="J157" s="1" t="n">
        <f aca="false">I157-I156</f>
        <v>-4</v>
      </c>
      <c r="K157" s="1" t="s">
        <v>14</v>
      </c>
      <c r="L157" s="1" t="e">
        <f aca="false">MODE($C$154:$C$183)</f>
        <v>#VALUE!</v>
      </c>
      <c r="M157" s="1" t="e">
        <f aca="false">MODE($E$154:$E$183)</f>
        <v>#VALUE!</v>
      </c>
      <c r="N157" s="1" t="n">
        <f aca="false">MODE($G$154:$G$183)</f>
        <v>0.12</v>
      </c>
      <c r="O157" s="1" t="n">
        <f aca="false">MODE($I$154:$I$183)</f>
        <v>1</v>
      </c>
    </row>
    <row r="158" customFormat="false" ht="13.8" hidden="false" customHeight="false" outlineLevel="0" collapsed="false">
      <c r="A158" s="1" t="n">
        <v>157</v>
      </c>
      <c r="B158" s="30" t="n">
        <v>43987</v>
      </c>
      <c r="C158" s="1" t="n">
        <v>192</v>
      </c>
      <c r="D158" s="1" t="n">
        <f aca="false">C158-C157</f>
        <v>142</v>
      </c>
      <c r="E158" s="1" t="n">
        <v>8</v>
      </c>
      <c r="F158" s="1" t="n">
        <f aca="false">E158-E157</f>
        <v>5.8</v>
      </c>
      <c r="G158" s="1" t="n">
        <v>0.14</v>
      </c>
      <c r="H158" s="1" t="n">
        <f aca="false">G158-G157</f>
        <v>0.1</v>
      </c>
      <c r="I158" s="1" t="n">
        <v>1</v>
      </c>
      <c r="J158" s="1" t="n">
        <f aca="false">I158-I157</f>
        <v>0</v>
      </c>
      <c r="K158" s="1" t="s">
        <v>12</v>
      </c>
      <c r="L158" s="1" t="n">
        <f aca="false">MEDIAN($C$154:$C$183)</f>
        <v>6576</v>
      </c>
      <c r="M158" s="1" t="n">
        <f aca="false">MEDIAN($E$154:$E$183)</f>
        <v>268.95</v>
      </c>
      <c r="N158" s="1" t="n">
        <f aca="false">MEDIAN($G$154:$G$183)</f>
        <v>4.735</v>
      </c>
      <c r="O158" s="1" t="n">
        <f aca="false">MEDIAN($I$154:$I$183)</f>
        <v>62.5</v>
      </c>
    </row>
    <row r="159" customFormat="false" ht="13.8" hidden="false" customHeight="false" outlineLevel="0" collapsed="false">
      <c r="A159" s="1" t="n">
        <v>158</v>
      </c>
      <c r="B159" s="30" t="n">
        <v>43988</v>
      </c>
      <c r="C159" s="1" t="n">
        <v>40376</v>
      </c>
      <c r="D159" s="1" t="n">
        <f aca="false">C159-C158</f>
        <v>40184</v>
      </c>
      <c r="E159" s="1" t="n">
        <v>1697.5</v>
      </c>
      <c r="F159" s="1" t="n">
        <f aca="false">E159-E158</f>
        <v>1689.5</v>
      </c>
      <c r="G159" s="1" t="n">
        <v>29.07</v>
      </c>
      <c r="H159" s="1" t="n">
        <f aca="false">G159-G158</f>
        <v>28.93</v>
      </c>
      <c r="I159" s="1" t="n">
        <v>415</v>
      </c>
      <c r="J159" s="1" t="n">
        <f aca="false">I159-I158</f>
        <v>414</v>
      </c>
      <c r="K159" s="1" t="s">
        <v>180</v>
      </c>
      <c r="L159" s="1" t="n">
        <f aca="false">QUARTILE($C$154:$C$183, 1)</f>
        <v>2065</v>
      </c>
      <c r="M159" s="1" t="n">
        <f aca="false">QUARTILE($E$154:$E$183, 1)</f>
        <v>86.4</v>
      </c>
      <c r="N159" s="1" t="n">
        <f aca="false">QUARTILE($G$154:$G$183, 1)</f>
        <v>1.49</v>
      </c>
      <c r="O159" s="1" t="n">
        <f aca="false">QUARTILE($I$154:$I$183, 1)</f>
        <v>20.25</v>
      </c>
    </row>
    <row r="160" customFormat="false" ht="13.8" hidden="false" customHeight="false" outlineLevel="0" collapsed="false">
      <c r="A160" s="1" t="n">
        <v>159</v>
      </c>
      <c r="B160" s="30" t="n">
        <v>43989</v>
      </c>
      <c r="C160" s="1" t="n">
        <v>7684</v>
      </c>
      <c r="D160" s="1" t="n">
        <f aca="false">C160-C159</f>
        <v>-32692</v>
      </c>
      <c r="E160" s="1" t="n">
        <v>315.7</v>
      </c>
      <c r="F160" s="1" t="n">
        <f aca="false">E160-E159</f>
        <v>-1381.8</v>
      </c>
      <c r="G160" s="1" t="n">
        <v>5.53</v>
      </c>
      <c r="H160" s="1" t="n">
        <f aca="false">G160-G159</f>
        <v>-23.54</v>
      </c>
      <c r="I160" s="1" t="n">
        <v>72</v>
      </c>
      <c r="J160" s="1" t="n">
        <f aca="false">I160-I159</f>
        <v>-343</v>
      </c>
      <c r="K160" s="1" t="s">
        <v>181</v>
      </c>
      <c r="L160" s="1" t="n">
        <f aca="false">QUARTILE($C$154:$C$183, 3)</f>
        <v>8544</v>
      </c>
      <c r="M160" s="1" t="n">
        <f aca="false">QUARTILE($E$154:$E$183, 3)</f>
        <v>352.125</v>
      </c>
      <c r="N160" s="1" t="n">
        <f aca="false">QUARTILE($G$154:$G$183, 3)</f>
        <v>6.155</v>
      </c>
      <c r="O160" s="1" t="n">
        <f aca="false">QUARTILE($I$154:$I$183, 3)</f>
        <v>82.75</v>
      </c>
    </row>
    <row r="161" customFormat="false" ht="13.8" hidden="false" customHeight="false" outlineLevel="0" collapsed="false">
      <c r="A161" s="1" t="n">
        <v>160</v>
      </c>
      <c r="B161" s="30" t="n">
        <v>43990</v>
      </c>
      <c r="C161" s="1" t="n">
        <v>2007</v>
      </c>
      <c r="D161" s="1" t="n">
        <f aca="false">C161-C160</f>
        <v>-5677</v>
      </c>
      <c r="E161" s="1" t="n">
        <v>82.8</v>
      </c>
      <c r="F161" s="1" t="n">
        <f aca="false">E161-E160</f>
        <v>-232.9</v>
      </c>
      <c r="G161" s="1" t="n">
        <v>1.45</v>
      </c>
      <c r="H161" s="1" t="n">
        <f aca="false">G161-G160</f>
        <v>-4.08</v>
      </c>
      <c r="I161" s="1" t="n">
        <v>19</v>
      </c>
      <c r="J161" s="1" t="n">
        <f aca="false">I161-I160</f>
        <v>-53</v>
      </c>
      <c r="K161" s="1" t="s">
        <v>182</v>
      </c>
      <c r="L161" s="1" t="n">
        <f aca="false">VAR($C$154:$C$183)</f>
        <v>69053758.2482759</v>
      </c>
      <c r="M161" s="1" t="n">
        <f aca="false">VAR($E$154:$E$183)</f>
        <v>125170.667402299</v>
      </c>
      <c r="N161" s="1" t="n">
        <f aca="false">VAR($G$154:$G$183)</f>
        <v>35.7908988505747</v>
      </c>
      <c r="O161" s="1" t="n">
        <f aca="false">VAR($I$154:$I$183)</f>
        <v>7782.51034482759</v>
      </c>
    </row>
    <row r="162" customFormat="false" ht="13.8" hidden="false" customHeight="false" outlineLevel="0" collapsed="false">
      <c r="A162" s="1" t="n">
        <v>161</v>
      </c>
      <c r="B162" s="30" t="n">
        <v>43991</v>
      </c>
      <c r="C162" s="1" t="n">
        <v>544</v>
      </c>
      <c r="D162" s="1" t="n">
        <f aca="false">C162-C161</f>
        <v>-1463</v>
      </c>
      <c r="E162" s="1" t="n">
        <v>23.7</v>
      </c>
      <c r="F162" s="1" t="n">
        <f aca="false">E162-E161</f>
        <v>-59.1</v>
      </c>
      <c r="G162" s="1" t="n">
        <v>0.39</v>
      </c>
      <c r="H162" s="1" t="n">
        <f aca="false">G162-G161</f>
        <v>-1.06</v>
      </c>
      <c r="I162" s="1" t="n">
        <v>6</v>
      </c>
      <c r="J162" s="1" t="n">
        <f aca="false">I162-I161</f>
        <v>-13</v>
      </c>
      <c r="K162" s="1" t="s">
        <v>16</v>
      </c>
      <c r="L162" s="1" t="n">
        <f aca="false">STDEV($C$154:$C$183)</f>
        <v>8309.85909918308</v>
      </c>
      <c r="M162" s="1" t="n">
        <f aca="false">STDEV($E$154:$E$183)</f>
        <v>353.794668419832</v>
      </c>
      <c r="N162" s="1" t="n">
        <f aca="false">STDEV($G$154:$G$183)</f>
        <v>5.98254952763241</v>
      </c>
      <c r="O162" s="1" t="n">
        <f aca="false">STDEV($I$154:$I$183)</f>
        <v>88.218537421721</v>
      </c>
    </row>
    <row r="163" customFormat="false" ht="13.8" hidden="false" customHeight="false" outlineLevel="0" collapsed="false">
      <c r="A163" s="1" t="n">
        <v>162</v>
      </c>
      <c r="B163" s="30" t="n">
        <v>43992</v>
      </c>
      <c r="C163" s="1" t="n">
        <v>3178</v>
      </c>
      <c r="D163" s="1" t="n">
        <f aca="false">C163-C162</f>
        <v>2634</v>
      </c>
      <c r="E163" s="1" t="n">
        <v>147</v>
      </c>
      <c r="F163" s="1" t="n">
        <f aca="false">E163-E162</f>
        <v>123.3</v>
      </c>
      <c r="G163" s="1" t="n">
        <v>2.29</v>
      </c>
      <c r="H163" s="1" t="n">
        <f aca="false">G163-G162</f>
        <v>1.9</v>
      </c>
      <c r="I163" s="1" t="n">
        <v>40</v>
      </c>
      <c r="J163" s="1" t="n">
        <f aca="false">I163-I162</f>
        <v>34</v>
      </c>
      <c r="K163" s="1" t="s">
        <v>20</v>
      </c>
      <c r="L163" s="1" t="n">
        <f aca="false">KURT($C$154:$C$183)</f>
        <v>8.40212435736416</v>
      </c>
      <c r="M163" s="1" t="n">
        <f aca="false">KURT($E$154:$E$183)</f>
        <v>8.07688470638909</v>
      </c>
      <c r="N163" s="1" t="n">
        <f aca="false">KURT($G$154:$G$183)</f>
        <v>8.40479333926423</v>
      </c>
      <c r="O163" s="1" t="n">
        <f aca="false">KURT($I$154:$I$183)</f>
        <v>7.72073156875502</v>
      </c>
    </row>
    <row r="164" customFormat="false" ht="13.8" hidden="false" customHeight="false" outlineLevel="0" collapsed="false">
      <c r="A164" s="1" t="n">
        <v>163</v>
      </c>
      <c r="B164" s="30" t="n">
        <v>43993</v>
      </c>
      <c r="C164" s="1" t="n">
        <v>6240</v>
      </c>
      <c r="D164" s="1" t="n">
        <f aca="false">C164-C163</f>
        <v>3062</v>
      </c>
      <c r="E164" s="1" t="n">
        <v>257.7</v>
      </c>
      <c r="F164" s="1" t="n">
        <f aca="false">E164-E163</f>
        <v>110.7</v>
      </c>
      <c r="G164" s="1" t="n">
        <v>4.49</v>
      </c>
      <c r="H164" s="1" t="n">
        <f aca="false">G164-G163</f>
        <v>2.2</v>
      </c>
      <c r="I164" s="1" t="n">
        <v>60</v>
      </c>
      <c r="J164" s="1" t="n">
        <f aca="false">I164-I163</f>
        <v>20</v>
      </c>
      <c r="K164" s="1" t="s">
        <v>22</v>
      </c>
      <c r="L164" s="1" t="n">
        <f aca="false">SKEW($C$154:$C$183)</f>
        <v>2.58004001992965</v>
      </c>
      <c r="M164" s="1" t="n">
        <f aca="false">SKEW($E$154:$E$183)</f>
        <v>2.56925433094673</v>
      </c>
      <c r="N164" s="1" t="n">
        <f aca="false">SKEW($G$154:$G$183)</f>
        <v>2.58036807632877</v>
      </c>
      <c r="O164" s="1" t="n">
        <f aca="false">SKEW($I$154:$I$183)</f>
        <v>2.57258215585495</v>
      </c>
    </row>
    <row r="165" customFormat="false" ht="13.8" hidden="false" customHeight="false" outlineLevel="0" collapsed="false">
      <c r="A165" s="1" t="n">
        <v>164</v>
      </c>
      <c r="B165" s="30" t="n">
        <v>43994</v>
      </c>
      <c r="C165" s="1" t="n">
        <v>456</v>
      </c>
      <c r="D165" s="1" t="n">
        <f aca="false">C165-C164</f>
        <v>-5784</v>
      </c>
      <c r="E165" s="1" t="n">
        <v>19.1</v>
      </c>
      <c r="F165" s="1" t="n">
        <f aca="false">E165-E164</f>
        <v>-238.6</v>
      </c>
      <c r="G165" s="1" t="n">
        <v>0.33</v>
      </c>
      <c r="H165" s="1" t="n">
        <f aca="false">G165-G164</f>
        <v>-4.16</v>
      </c>
      <c r="I165" s="1" t="n">
        <v>4</v>
      </c>
      <c r="J165" s="1" t="n">
        <f aca="false">I165-I164</f>
        <v>-56</v>
      </c>
      <c r="K165" s="1" t="s">
        <v>24</v>
      </c>
      <c r="L165" s="1" t="n">
        <f aca="false">MAX($C$154:$C$183)-MIN($C$154:$C$183)</f>
        <v>40326</v>
      </c>
      <c r="M165" s="1" t="n">
        <f aca="false">MAX($E$154:$E$183)-MIN($E$154:$E$183)</f>
        <v>1695.3</v>
      </c>
      <c r="N165" s="1" t="n">
        <f aca="false">MAX($G$154:$G$183)-MIN($G$154:$G$183)</f>
        <v>29.03</v>
      </c>
      <c r="O165" s="1" t="n">
        <f aca="false">MAX($I$154:$I$183)-MIN($I$154:$I$183)</f>
        <v>414</v>
      </c>
    </row>
    <row r="166" customFormat="false" ht="13.8" hidden="false" customHeight="false" outlineLevel="0" collapsed="false">
      <c r="A166" s="1" t="n">
        <v>165</v>
      </c>
      <c r="B166" s="30" t="n">
        <v>43995</v>
      </c>
      <c r="C166" s="1" t="n">
        <v>8487</v>
      </c>
      <c r="D166" s="1" t="n">
        <f aca="false">C166-C165</f>
        <v>8031</v>
      </c>
      <c r="E166" s="1" t="n">
        <v>350.1</v>
      </c>
      <c r="F166" s="1" t="n">
        <f aca="false">E166-E165</f>
        <v>331</v>
      </c>
      <c r="G166" s="1" t="n">
        <v>6.11</v>
      </c>
      <c r="H166" s="1" t="n">
        <f aca="false">G166-G165</f>
        <v>5.78</v>
      </c>
      <c r="I166" s="1" t="n">
        <v>83</v>
      </c>
      <c r="J166" s="1" t="n">
        <f aca="false">I166-I165</f>
        <v>79</v>
      </c>
      <c r="K166" s="1" t="s">
        <v>26</v>
      </c>
      <c r="L166" s="1" t="n">
        <f aca="false">MIN($C$154:$C$183)</f>
        <v>50</v>
      </c>
      <c r="M166" s="1" t="n">
        <f aca="false">MIN($E$154:$E$183)</f>
        <v>2.2</v>
      </c>
      <c r="N166" s="1" t="n">
        <f aca="false">MIN($G$154:$G$183)</f>
        <v>0.04</v>
      </c>
      <c r="O166" s="1" t="n">
        <f aca="false">MIN($I$154:$I$183)</f>
        <v>1</v>
      </c>
    </row>
    <row r="167" customFormat="false" ht="13.8" hidden="false" customHeight="false" outlineLevel="0" collapsed="false">
      <c r="A167" s="1" t="n">
        <v>166</v>
      </c>
      <c r="B167" s="30" t="n">
        <v>43996</v>
      </c>
      <c r="C167" s="1" t="n">
        <v>168</v>
      </c>
      <c r="D167" s="1" t="n">
        <f aca="false">C167-C166</f>
        <v>-8319</v>
      </c>
      <c r="E167" s="1" t="n">
        <v>7.5</v>
      </c>
      <c r="F167" s="1" t="n">
        <f aca="false">E167-E166</f>
        <v>-342.6</v>
      </c>
      <c r="G167" s="1" t="n">
        <v>0.12</v>
      </c>
      <c r="H167" s="1" t="n">
        <f aca="false">G167-G166</f>
        <v>-5.99</v>
      </c>
      <c r="I167" s="1" t="n">
        <v>1</v>
      </c>
      <c r="J167" s="1" t="n">
        <f aca="false">I167-I166</f>
        <v>-82</v>
      </c>
      <c r="K167" s="1" t="s">
        <v>28</v>
      </c>
      <c r="L167" s="1" t="n">
        <f aca="false">MAX($C$154:$C$183)</f>
        <v>40376</v>
      </c>
      <c r="M167" s="1" t="n">
        <f aca="false">MAX($E$154:$E$183)</f>
        <v>1697.5</v>
      </c>
      <c r="N167" s="1" t="n">
        <f aca="false">MAX($G$154:$G$183)</f>
        <v>29.07</v>
      </c>
      <c r="O167" s="1" t="n">
        <f aca="false">MAX($I$154:$I$183)</f>
        <v>415</v>
      </c>
    </row>
    <row r="168" customFormat="false" ht="13.8" hidden="false" customHeight="false" outlineLevel="0" collapsed="false">
      <c r="A168" s="1" t="n">
        <v>167</v>
      </c>
      <c r="B168" s="30" t="n">
        <v>43997</v>
      </c>
      <c r="C168" s="1" t="n">
        <v>10061</v>
      </c>
      <c r="D168" s="1" t="n">
        <f aca="false">C168-C167</f>
        <v>9893</v>
      </c>
      <c r="E168" s="1" t="n">
        <v>412.8</v>
      </c>
      <c r="F168" s="1" t="n">
        <f aca="false">E168-E167</f>
        <v>405.3</v>
      </c>
      <c r="G168" s="1" t="n">
        <v>7.24</v>
      </c>
      <c r="H168" s="1" t="n">
        <f aca="false">G168-G167</f>
        <v>7.12</v>
      </c>
      <c r="I168" s="1" t="n">
        <v>96</v>
      </c>
      <c r="J168" s="1" t="n">
        <f aca="false">I168-I167</f>
        <v>95</v>
      </c>
      <c r="K168" s="1" t="s">
        <v>30</v>
      </c>
      <c r="L168" s="1" t="n">
        <f aca="false">SUM($C$154:$C$183)</f>
        <v>219738</v>
      </c>
      <c r="M168" s="1" t="n">
        <f aca="false">SUM($E$154:$E$183)</f>
        <v>9254.6</v>
      </c>
      <c r="N168" s="1" t="n">
        <f aca="false">SUM($G$154:$G$183)</f>
        <v>158.2</v>
      </c>
      <c r="O168" s="1" t="n">
        <f aca="false">SUM($I$154:$I$183)</f>
        <v>2244</v>
      </c>
    </row>
    <row r="169" customFormat="false" ht="13.8" hidden="false" customHeight="false" outlineLevel="0" collapsed="false">
      <c r="A169" s="1" t="n">
        <v>168</v>
      </c>
      <c r="B169" s="30" t="n">
        <v>43998</v>
      </c>
      <c r="C169" s="1" t="n">
        <v>6926</v>
      </c>
      <c r="D169" s="1" t="n">
        <f aca="false">C169-C168</f>
        <v>-3135</v>
      </c>
      <c r="E169" s="1" t="n">
        <v>287.8</v>
      </c>
      <c r="F169" s="1" t="n">
        <f aca="false">E169-E168</f>
        <v>-125</v>
      </c>
      <c r="G169" s="1" t="n">
        <v>4.99</v>
      </c>
      <c r="H169" s="1" t="n">
        <f aca="false">G169-G168</f>
        <v>-2.25</v>
      </c>
      <c r="I169" s="1" t="n">
        <v>68</v>
      </c>
      <c r="J169" s="1" t="n">
        <f aca="false">I169-I168</f>
        <v>-28</v>
      </c>
      <c r="K169" s="1" t="s">
        <v>32</v>
      </c>
      <c r="L169" s="1" t="n">
        <f aca="false">COUNT($C$154:$C$183)</f>
        <v>30</v>
      </c>
      <c r="M169" s="1" t="n">
        <f aca="false">COUNT($E$154:$E$183)</f>
        <v>30</v>
      </c>
      <c r="N169" s="1" t="n">
        <f aca="false">COUNT($G$154:$G$183)</f>
        <v>30</v>
      </c>
      <c r="O169" s="1" t="n">
        <f aca="false">COUNT($I$154:$I$183)</f>
        <v>30</v>
      </c>
    </row>
    <row r="170" customFormat="false" ht="13.8" hidden="false" customHeight="false" outlineLevel="0" collapsed="false">
      <c r="A170" s="1" t="n">
        <v>169</v>
      </c>
      <c r="B170" s="30" t="n">
        <v>43999</v>
      </c>
      <c r="C170" s="1" t="n">
        <v>7871</v>
      </c>
      <c r="D170" s="1" t="n">
        <f aca="false">C170-C169</f>
        <v>945</v>
      </c>
      <c r="E170" s="1" t="n">
        <v>327.6</v>
      </c>
      <c r="F170" s="1" t="n">
        <f aca="false">E170-E169</f>
        <v>39.8</v>
      </c>
      <c r="G170" s="1" t="n">
        <v>5.67</v>
      </c>
      <c r="H170" s="1" t="n">
        <f aca="false">G170-G169</f>
        <v>0.68</v>
      </c>
      <c r="I170" s="1" t="n">
        <v>78</v>
      </c>
      <c r="J170" s="1" t="n">
        <f aca="false">I170-I169</f>
        <v>10</v>
      </c>
    </row>
    <row r="171" customFormat="false" ht="13.8" hidden="false" customHeight="false" outlineLevel="0" collapsed="false">
      <c r="A171" s="1" t="n">
        <v>170</v>
      </c>
      <c r="B171" s="30" t="n">
        <v>44000</v>
      </c>
      <c r="C171" s="1" t="n">
        <v>7339</v>
      </c>
      <c r="D171" s="1" t="n">
        <f aca="false">C171-C170</f>
        <v>-532</v>
      </c>
      <c r="E171" s="1" t="n">
        <v>303.3</v>
      </c>
      <c r="F171" s="1" t="n">
        <f aca="false">E171-E170</f>
        <v>-24.3</v>
      </c>
      <c r="G171" s="1" t="n">
        <v>5.28</v>
      </c>
      <c r="H171" s="1" t="n">
        <f aca="false">G171-G170</f>
        <v>-0.39</v>
      </c>
      <c r="I171" s="1" t="n">
        <v>71</v>
      </c>
      <c r="J171" s="1" t="n">
        <f aca="false">I171-I170</f>
        <v>-7</v>
      </c>
    </row>
    <row r="172" customFormat="false" ht="13.8" hidden="false" customHeight="false" outlineLevel="0" collapsed="false">
      <c r="A172" s="1" t="n">
        <v>171</v>
      </c>
      <c r="B172" s="30" t="n">
        <v>44001</v>
      </c>
      <c r="C172" s="1" t="n">
        <v>8563</v>
      </c>
      <c r="D172" s="1" t="n">
        <f aca="false">C172-C171</f>
        <v>1224</v>
      </c>
      <c r="E172" s="1" t="n">
        <v>361.7</v>
      </c>
      <c r="F172" s="1" t="n">
        <f aca="false">E172-E171</f>
        <v>58.4</v>
      </c>
      <c r="G172" s="1" t="n">
        <v>6.17</v>
      </c>
      <c r="H172" s="1" t="n">
        <f aca="false">G172-G171</f>
        <v>0.89</v>
      </c>
      <c r="I172" s="1" t="n">
        <v>89</v>
      </c>
      <c r="J172" s="1" t="n">
        <f aca="false">I172-I171</f>
        <v>18</v>
      </c>
    </row>
    <row r="173" customFormat="false" ht="13.8" hidden="false" customHeight="false" outlineLevel="0" collapsed="false">
      <c r="A173" s="1" t="n">
        <v>172</v>
      </c>
      <c r="B173" s="30" t="n">
        <v>44002</v>
      </c>
      <c r="C173" s="1" t="n">
        <v>19615</v>
      </c>
      <c r="D173" s="1" t="n">
        <f aca="false">C173-C172</f>
        <v>11052</v>
      </c>
      <c r="E173" s="1" t="n">
        <v>846.2</v>
      </c>
      <c r="F173" s="1" t="n">
        <f aca="false">E173-E172</f>
        <v>484.5</v>
      </c>
      <c r="G173" s="1" t="n">
        <v>14.12</v>
      </c>
      <c r="H173" s="1" t="n">
        <f aca="false">G173-G172</f>
        <v>7.95</v>
      </c>
      <c r="I173" s="1" t="n">
        <v>214</v>
      </c>
      <c r="J173" s="1" t="n">
        <f aca="false">I173-I172</f>
        <v>125</v>
      </c>
    </row>
    <row r="174" customFormat="false" ht="13.8" hidden="false" customHeight="false" outlineLevel="0" collapsed="false">
      <c r="A174" s="1" t="n">
        <v>173</v>
      </c>
      <c r="B174" s="30" t="n">
        <v>44003</v>
      </c>
      <c r="C174" s="1" t="n">
        <v>2983</v>
      </c>
      <c r="D174" s="1" t="n">
        <f aca="false">C174-C173</f>
        <v>-16632</v>
      </c>
      <c r="E174" s="1" t="n">
        <v>127.3</v>
      </c>
      <c r="F174" s="1" t="n">
        <f aca="false">E174-E173</f>
        <v>-718.9</v>
      </c>
      <c r="G174" s="1" t="n">
        <v>2.15</v>
      </c>
      <c r="H174" s="1" t="n">
        <f aca="false">G174-G173</f>
        <v>-11.97</v>
      </c>
      <c r="I174" s="1" t="n">
        <v>31</v>
      </c>
      <c r="J174" s="1" t="n">
        <f aca="false">I174-I173</f>
        <v>-183</v>
      </c>
    </row>
    <row r="175" customFormat="false" ht="13.8" hidden="false" customHeight="false" outlineLevel="0" collapsed="false">
      <c r="A175" s="1" t="n">
        <v>174</v>
      </c>
      <c r="B175" s="30" t="n">
        <v>44004</v>
      </c>
      <c r="C175" s="1" t="n">
        <v>6696</v>
      </c>
      <c r="D175" s="1" t="n">
        <f aca="false">C175-C174</f>
        <v>3713</v>
      </c>
      <c r="E175" s="1" t="n">
        <v>273.5</v>
      </c>
      <c r="F175" s="1" t="n">
        <f aca="false">E175-E174</f>
        <v>146.2</v>
      </c>
      <c r="G175" s="1" t="n">
        <v>4.82</v>
      </c>
      <c r="H175" s="1" t="n">
        <f aca="false">G175-G174</f>
        <v>2.67</v>
      </c>
      <c r="I175" s="1" t="n">
        <v>63</v>
      </c>
      <c r="J175" s="1" t="n">
        <f aca="false">I175-I174</f>
        <v>32</v>
      </c>
    </row>
    <row r="176" customFormat="false" ht="13.8" hidden="false" customHeight="false" outlineLevel="0" collapsed="false">
      <c r="A176" s="1" t="n">
        <v>175</v>
      </c>
      <c r="B176" s="30" t="n">
        <v>44005</v>
      </c>
      <c r="C176" s="1" t="n">
        <v>5546</v>
      </c>
      <c r="D176" s="1" t="n">
        <f aca="false">C176-C175</f>
        <v>-1150</v>
      </c>
      <c r="E176" s="1" t="n">
        <v>228.1</v>
      </c>
      <c r="F176" s="1" t="n">
        <f aca="false">E176-E175</f>
        <v>-45.4</v>
      </c>
      <c r="G176" s="1" t="n">
        <v>3.99</v>
      </c>
      <c r="H176" s="1" t="n">
        <f aca="false">G176-G175</f>
        <v>-0.83</v>
      </c>
      <c r="I176" s="1" t="n">
        <v>53</v>
      </c>
      <c r="J176" s="1" t="n">
        <f aca="false">I176-I175</f>
        <v>-10</v>
      </c>
    </row>
    <row r="177" customFormat="false" ht="13.8" hidden="false" customHeight="false" outlineLevel="0" collapsed="false">
      <c r="A177" s="1" t="n">
        <v>176</v>
      </c>
      <c r="B177" s="30" t="n">
        <v>44006</v>
      </c>
      <c r="C177" s="1" t="n">
        <v>9851</v>
      </c>
      <c r="D177" s="1" t="n">
        <f aca="false">C177-C176</f>
        <v>4305</v>
      </c>
      <c r="E177" s="1" t="n">
        <v>406.6</v>
      </c>
      <c r="F177" s="1" t="n">
        <f aca="false">E177-E176</f>
        <v>178.5</v>
      </c>
      <c r="G177" s="1" t="n">
        <v>7.09</v>
      </c>
      <c r="H177" s="1" t="n">
        <f aca="false">G177-G176</f>
        <v>3.1</v>
      </c>
      <c r="I177" s="1" t="n">
        <v>95</v>
      </c>
      <c r="J177" s="1" t="n">
        <f aca="false">I177-I176</f>
        <v>42</v>
      </c>
    </row>
    <row r="178" customFormat="false" ht="13.8" hidden="false" customHeight="false" outlineLevel="0" collapsed="false">
      <c r="A178" s="1" t="n">
        <v>177</v>
      </c>
      <c r="B178" s="30" t="n">
        <v>44007</v>
      </c>
      <c r="C178" s="1" t="n">
        <v>8600</v>
      </c>
      <c r="D178" s="1" t="n">
        <f aca="false">C178-C177</f>
        <v>-1251</v>
      </c>
      <c r="E178" s="1" t="n">
        <v>352.8</v>
      </c>
      <c r="F178" s="1" t="n">
        <f aca="false">E178-E177</f>
        <v>-53.8</v>
      </c>
      <c r="G178" s="1" t="n">
        <v>6.19</v>
      </c>
      <c r="H178" s="1" t="n">
        <f aca="false">G178-G177</f>
        <v>-0.9</v>
      </c>
      <c r="I178" s="1" t="n">
        <v>82</v>
      </c>
      <c r="J178" s="1" t="n">
        <f aca="false">I178-I177</f>
        <v>-13</v>
      </c>
    </row>
    <row r="179" customFormat="false" ht="13.8" hidden="false" customHeight="false" outlineLevel="0" collapsed="false">
      <c r="A179" s="1" t="n">
        <v>178</v>
      </c>
      <c r="B179" s="30" t="n">
        <v>44008</v>
      </c>
      <c r="C179" s="1" t="n">
        <v>9773</v>
      </c>
      <c r="D179" s="1" t="n">
        <f aca="false">C179-C178</f>
        <v>1173</v>
      </c>
      <c r="E179" s="1" t="n">
        <v>405.3</v>
      </c>
      <c r="F179" s="1" t="n">
        <f aca="false">E179-E178</f>
        <v>52.5</v>
      </c>
      <c r="G179" s="1" t="n">
        <v>7.04</v>
      </c>
      <c r="H179" s="1" t="n">
        <f aca="false">G179-G178</f>
        <v>0.85</v>
      </c>
      <c r="I179" s="1" t="n">
        <v>97</v>
      </c>
      <c r="J179" s="1" t="n">
        <f aca="false">I179-I178</f>
        <v>15</v>
      </c>
    </row>
    <row r="180" customFormat="false" ht="13.8" hidden="false" customHeight="false" outlineLevel="0" collapsed="false">
      <c r="A180" s="1" t="n">
        <v>179</v>
      </c>
      <c r="B180" s="30" t="n">
        <v>44009</v>
      </c>
      <c r="C180" s="1" t="n">
        <v>5834</v>
      </c>
      <c r="D180" s="1" t="n">
        <f aca="false">C180-C179</f>
        <v>-3939</v>
      </c>
      <c r="E180" s="1" t="n">
        <v>248.4</v>
      </c>
      <c r="F180" s="1" t="n">
        <f aca="false">E180-E179</f>
        <v>-156.9</v>
      </c>
      <c r="G180" s="1" t="n">
        <v>4.2</v>
      </c>
      <c r="H180" s="1" t="n">
        <f aca="false">G180-G179</f>
        <v>-2.84</v>
      </c>
      <c r="I180" s="1" t="n">
        <v>62</v>
      </c>
      <c r="J180" s="1" t="n">
        <f aca="false">I180-I179</f>
        <v>-35</v>
      </c>
    </row>
    <row r="181" customFormat="false" ht="13.8" hidden="false" customHeight="false" outlineLevel="0" collapsed="false">
      <c r="A181" s="1" t="n">
        <v>180</v>
      </c>
      <c r="B181" s="30" t="n">
        <v>44010</v>
      </c>
      <c r="C181" s="1" t="n">
        <v>24352</v>
      </c>
      <c r="D181" s="1" t="n">
        <f aca="false">C181-C180</f>
        <v>18518</v>
      </c>
      <c r="E181" s="1" t="n">
        <v>1077.3</v>
      </c>
      <c r="F181" s="1" t="n">
        <f aca="false">E181-E180</f>
        <v>828.9</v>
      </c>
      <c r="G181" s="1" t="n">
        <v>17.53</v>
      </c>
      <c r="H181" s="1" t="n">
        <f aca="false">G181-G180</f>
        <v>13.33</v>
      </c>
      <c r="I181" s="1" t="n">
        <v>281</v>
      </c>
      <c r="J181" s="1" t="n">
        <f aca="false">I181-I180</f>
        <v>219</v>
      </c>
    </row>
    <row r="182" customFormat="false" ht="13.8" hidden="false" customHeight="false" outlineLevel="0" collapsed="false">
      <c r="A182" s="1" t="n">
        <v>181</v>
      </c>
      <c r="B182" s="30" t="n">
        <v>44011</v>
      </c>
      <c r="C182" s="1" t="n">
        <v>6456</v>
      </c>
      <c r="D182" s="1" t="n">
        <f aca="false">C182-C181</f>
        <v>-17896</v>
      </c>
      <c r="E182" s="1" t="n">
        <v>264.4</v>
      </c>
      <c r="F182" s="1" t="n">
        <f aca="false">E182-E181</f>
        <v>-812.9</v>
      </c>
      <c r="G182" s="1" t="n">
        <v>4.65</v>
      </c>
      <c r="H182" s="1" t="n">
        <f aca="false">G182-G181</f>
        <v>-12.88</v>
      </c>
      <c r="I182" s="1" t="n">
        <v>60</v>
      </c>
      <c r="J182" s="1" t="n">
        <f aca="false">I182-I181</f>
        <v>-221</v>
      </c>
    </row>
    <row r="183" customFormat="false" ht="13.8" hidden="false" customHeight="false" outlineLevel="0" collapsed="false">
      <c r="A183" s="1" t="n">
        <v>182</v>
      </c>
      <c r="B183" s="30" t="n">
        <v>44012</v>
      </c>
      <c r="C183" s="1" t="n">
        <v>7002</v>
      </c>
      <c r="D183" s="1" t="n">
        <f aca="false">C183-C182</f>
        <v>546</v>
      </c>
      <c r="E183" s="1" t="n">
        <v>294.2</v>
      </c>
      <c r="F183" s="1" t="n">
        <f aca="false">E183-E182</f>
        <v>29.8</v>
      </c>
      <c r="G183" s="1" t="n">
        <v>5.04</v>
      </c>
      <c r="H183" s="1" t="n">
        <f aca="false">G183-G182</f>
        <v>0.39</v>
      </c>
      <c r="I183" s="1" t="n">
        <v>71</v>
      </c>
      <c r="J183" s="1" t="n">
        <f aca="false">I183-I182</f>
        <v>11</v>
      </c>
    </row>
    <row r="184" customFormat="false" ht="13.8" hidden="false" customHeight="false" outlineLevel="0" collapsed="false">
      <c r="A184" s="1" t="n">
        <v>183</v>
      </c>
      <c r="B184" s="30" t="n">
        <v>44013</v>
      </c>
      <c r="C184" s="1" t="n">
        <v>9650</v>
      </c>
      <c r="D184" s="1" t="n">
        <f aca="false">C184-C183</f>
        <v>2648</v>
      </c>
      <c r="E184" s="1" t="n">
        <v>395.3</v>
      </c>
      <c r="F184" s="1" t="n">
        <f aca="false">E184-E183</f>
        <v>101.1</v>
      </c>
      <c r="G184" s="1" t="n">
        <v>6.95</v>
      </c>
      <c r="H184" s="1" t="n">
        <f aca="false">G184-G183</f>
        <v>1.91</v>
      </c>
      <c r="I184" s="1" t="n">
        <v>92</v>
      </c>
      <c r="J184" s="1" t="n">
        <f aca="false">I184-I183</f>
        <v>21</v>
      </c>
      <c r="L184" s="1" t="s">
        <v>2</v>
      </c>
      <c r="M184" s="1" t="s">
        <v>179</v>
      </c>
      <c r="N184" s="1" t="s">
        <v>175</v>
      </c>
      <c r="O184" s="1" t="s">
        <v>177</v>
      </c>
    </row>
    <row r="185" customFormat="false" ht="13.8" hidden="false" customHeight="false" outlineLevel="0" collapsed="false">
      <c r="A185" s="1" t="n">
        <v>184</v>
      </c>
      <c r="B185" s="30" t="n">
        <v>44014</v>
      </c>
      <c r="C185" s="1" t="n">
        <v>14487</v>
      </c>
      <c r="D185" s="1" t="n">
        <f aca="false">C185-C184</f>
        <v>4837</v>
      </c>
      <c r="E185" s="1" t="n">
        <v>593.3</v>
      </c>
      <c r="F185" s="1" t="n">
        <f aca="false">E185-E184</f>
        <v>198</v>
      </c>
      <c r="G185" s="1" t="n">
        <v>10.43</v>
      </c>
      <c r="H185" s="1" t="n">
        <f aca="false">G185-G184</f>
        <v>3.48</v>
      </c>
      <c r="I185" s="1" t="n">
        <v>138</v>
      </c>
      <c r="J185" s="1" t="n">
        <f aca="false">I185-I184</f>
        <v>46</v>
      </c>
      <c r="K185" s="1" t="s">
        <v>8</v>
      </c>
      <c r="L185" s="1" t="n">
        <f aca="false">AVERAGE($C$184:$C$214)</f>
        <v>4836.74193548387</v>
      </c>
      <c r="M185" s="1" t="n">
        <f aca="false">AVERAGE($E$184:$E$214)</f>
        <v>206.890322580645</v>
      </c>
      <c r="N185" s="1" t="n">
        <f aca="false">AVERAGE($G$184:$G$214)</f>
        <v>3.48193548387097</v>
      </c>
      <c r="O185" s="1" t="n">
        <f aca="false">AVERAGE($I$184:$I$214)</f>
        <v>51.1612903225807</v>
      </c>
    </row>
    <row r="186" customFormat="false" ht="13.8" hidden="false" customHeight="false" outlineLevel="0" collapsed="false">
      <c r="A186" s="1" t="n">
        <v>185</v>
      </c>
      <c r="B186" s="30" t="n">
        <v>44015</v>
      </c>
      <c r="C186" s="1" t="n">
        <v>12736</v>
      </c>
      <c r="D186" s="1" t="n">
        <f aca="false">C186-C185</f>
        <v>-1751</v>
      </c>
      <c r="E186" s="1" t="n">
        <v>528.5</v>
      </c>
      <c r="F186" s="1" t="n">
        <f aca="false">E186-E185</f>
        <v>-64.8</v>
      </c>
      <c r="G186" s="1" t="n">
        <v>9.17</v>
      </c>
      <c r="H186" s="1" t="n">
        <f aca="false">G186-G185</f>
        <v>-1.26</v>
      </c>
      <c r="I186" s="1" t="n">
        <v>127</v>
      </c>
      <c r="J186" s="1" t="n">
        <f aca="false">I186-I185</f>
        <v>-11</v>
      </c>
      <c r="K186" s="1" t="s">
        <v>10</v>
      </c>
      <c r="L186" s="1" t="n">
        <f aca="false">SQRT(VAR($C$184:$C$214)/COUNT($C$184:$C$214))</f>
        <v>1036.23390784059</v>
      </c>
      <c r="M186" s="1" t="n">
        <f aca="false">SQRT(VAR($E$184:$E$214)/COUNT($E$184:$E$214))</f>
        <v>44.2544947853459</v>
      </c>
      <c r="N186" s="1" t="n">
        <f aca="false">SQRT(VAR($G$184:$G$214)/COUNT($G$184:$G$214))</f>
        <v>0.74599351655559</v>
      </c>
      <c r="O186" s="1" t="n">
        <f aca="false">SQRT(VAR($I$184:$I$214)/COUNT($I$184:$I$214))</f>
        <v>11.1006244883125</v>
      </c>
    </row>
    <row r="187" customFormat="false" ht="13.8" hidden="false" customHeight="false" outlineLevel="0" collapsed="false">
      <c r="A187" s="1" t="n">
        <v>186</v>
      </c>
      <c r="B187" s="30" t="n">
        <v>44016</v>
      </c>
      <c r="C187" s="1" t="n">
        <v>22881</v>
      </c>
      <c r="D187" s="1" t="n">
        <f aca="false">C187-C186</f>
        <v>10145</v>
      </c>
      <c r="E187" s="1" t="n">
        <v>998.2</v>
      </c>
      <c r="F187" s="1" t="n">
        <f aca="false">E187-E186</f>
        <v>469.7</v>
      </c>
      <c r="G187" s="1" t="n">
        <v>16.47</v>
      </c>
      <c r="H187" s="1" t="n">
        <f aca="false">G187-G186</f>
        <v>7.3</v>
      </c>
      <c r="I187" s="1" t="n">
        <v>257</v>
      </c>
      <c r="J187" s="1" t="n">
        <f aca="false">I187-I186</f>
        <v>130</v>
      </c>
      <c r="K187" s="1" t="s">
        <v>14</v>
      </c>
      <c r="L187" s="1" t="e">
        <f aca="false">MODE($C$184:$C$214)</f>
        <v>#VALUE!</v>
      </c>
      <c r="M187" s="1" t="e">
        <f aca="false">MODE($E$184:$E$214)</f>
        <v>#VALUE!</v>
      </c>
      <c r="N187" s="1" t="n">
        <f aca="false">MODE($G$184:$G$214)</f>
        <v>0.6</v>
      </c>
      <c r="O187" s="1" t="n">
        <f aca="false">MODE($I$184:$I$214)</f>
        <v>2</v>
      </c>
    </row>
    <row r="188" customFormat="false" ht="13.8" hidden="false" customHeight="false" outlineLevel="0" collapsed="false">
      <c r="A188" s="1" t="n">
        <v>187</v>
      </c>
      <c r="B188" s="30" t="n">
        <v>44017</v>
      </c>
      <c r="C188" s="1" t="n">
        <v>16504</v>
      </c>
      <c r="D188" s="1" t="n">
        <f aca="false">C188-C187</f>
        <v>-6377</v>
      </c>
      <c r="E188" s="1" t="n">
        <v>735.3</v>
      </c>
      <c r="F188" s="1" t="n">
        <f aca="false">E188-E187</f>
        <v>-262.9</v>
      </c>
      <c r="G188" s="1" t="n">
        <v>11.88</v>
      </c>
      <c r="H188" s="1" t="n">
        <f aca="false">G188-G187</f>
        <v>-4.59</v>
      </c>
      <c r="I188" s="1" t="n">
        <v>193</v>
      </c>
      <c r="J188" s="1" t="n">
        <f aca="false">I188-I187</f>
        <v>-64</v>
      </c>
      <c r="K188" s="1" t="s">
        <v>12</v>
      </c>
      <c r="L188" s="1" t="n">
        <f aca="false">MEDIAN($C$184:$C$214)</f>
        <v>2178</v>
      </c>
      <c r="M188" s="1" t="n">
        <f aca="false">MEDIAN($E$184:$E$214)</f>
        <v>106.7</v>
      </c>
      <c r="N188" s="1" t="n">
        <f aca="false">MEDIAN($G$184:$G$214)</f>
        <v>1.57</v>
      </c>
      <c r="O188" s="1" t="n">
        <f aca="false">MEDIAN($I$184:$I$214)</f>
        <v>30</v>
      </c>
    </row>
    <row r="189" customFormat="false" ht="13.8" hidden="false" customHeight="false" outlineLevel="0" collapsed="false">
      <c r="A189" s="1" t="n">
        <v>188</v>
      </c>
      <c r="B189" s="30" t="n">
        <v>44018</v>
      </c>
      <c r="C189" s="1" t="n">
        <v>1017</v>
      </c>
      <c r="D189" s="1" t="n">
        <f aca="false">C189-C188</f>
        <v>-15487</v>
      </c>
      <c r="E189" s="1" t="n">
        <v>46.3</v>
      </c>
      <c r="F189" s="1" t="n">
        <f aca="false">E189-E188</f>
        <v>-689</v>
      </c>
      <c r="G189" s="1" t="n">
        <v>0.73</v>
      </c>
      <c r="H189" s="1" t="n">
        <f aca="false">G189-G188</f>
        <v>-11.15</v>
      </c>
      <c r="I189" s="1" t="n">
        <v>12</v>
      </c>
      <c r="J189" s="1" t="n">
        <f aca="false">I189-I188</f>
        <v>-181</v>
      </c>
      <c r="K189" s="1" t="s">
        <v>180</v>
      </c>
      <c r="L189" s="1" t="n">
        <f aca="false">QUARTILE($C$184:$C$214, 1)</f>
        <v>838.5</v>
      </c>
      <c r="M189" s="1" t="n">
        <f aca="false">QUARTILE($E$184:$E$214, 1)</f>
        <v>36.35</v>
      </c>
      <c r="N189" s="1" t="n">
        <f aca="false">QUARTILE($G$184:$G$214, 1)</f>
        <v>0.6</v>
      </c>
      <c r="O189" s="1" t="n">
        <f aca="false">QUARTILE($I$184:$I$214, 1)</f>
        <v>8.5</v>
      </c>
    </row>
    <row r="190" customFormat="false" ht="13.8" hidden="false" customHeight="false" outlineLevel="0" collapsed="false">
      <c r="A190" s="1" t="n">
        <v>189</v>
      </c>
      <c r="B190" s="30" t="n">
        <v>44019</v>
      </c>
      <c r="C190" s="1" t="n">
        <v>505</v>
      </c>
      <c r="D190" s="1" t="n">
        <f aca="false">C190-C189</f>
        <v>-512</v>
      </c>
      <c r="E190" s="1" t="n">
        <v>24.7</v>
      </c>
      <c r="F190" s="1" t="n">
        <f aca="false">E190-E189</f>
        <v>-21.6</v>
      </c>
      <c r="G190" s="1" t="n">
        <v>0.36</v>
      </c>
      <c r="H190" s="1" t="n">
        <f aca="false">G190-G189</f>
        <v>-0.37</v>
      </c>
      <c r="I190" s="1" t="n">
        <v>6</v>
      </c>
      <c r="J190" s="1" t="n">
        <f aca="false">I190-I189</f>
        <v>-6</v>
      </c>
      <c r="K190" s="1" t="s">
        <v>181</v>
      </c>
      <c r="L190" s="1" t="n">
        <f aca="false">QUARTILE($C$184:$C$214, 3)</f>
        <v>6430</v>
      </c>
      <c r="M190" s="1" t="n">
        <f aca="false">QUARTILE($E$184:$E$214, 3)</f>
        <v>271.4</v>
      </c>
      <c r="N190" s="1" t="n">
        <f aca="false">QUARTILE($G$184:$G$214, 3)</f>
        <v>4.63</v>
      </c>
      <c r="O190" s="1" t="n">
        <f aca="false">QUARTILE($I$184:$I$214, 3)</f>
        <v>66</v>
      </c>
    </row>
    <row r="191" customFormat="false" ht="13.8" hidden="false" customHeight="false" outlineLevel="0" collapsed="false">
      <c r="A191" s="1" t="n">
        <v>190</v>
      </c>
      <c r="B191" s="30" t="n">
        <v>44020</v>
      </c>
      <c r="C191" s="1" t="n">
        <v>4902</v>
      </c>
      <c r="D191" s="1" t="n">
        <f aca="false">C191-C190</f>
        <v>4397</v>
      </c>
      <c r="E191" s="1" t="n">
        <v>217.5</v>
      </c>
      <c r="F191" s="1" t="n">
        <f aca="false">E191-E190</f>
        <v>192.8</v>
      </c>
      <c r="G191" s="1" t="n">
        <v>3.53</v>
      </c>
      <c r="H191" s="1" t="n">
        <f aca="false">G191-G190</f>
        <v>3.17</v>
      </c>
      <c r="I191" s="1" t="n">
        <v>56</v>
      </c>
      <c r="J191" s="1" t="n">
        <f aca="false">I191-I190</f>
        <v>50</v>
      </c>
      <c r="K191" s="1" t="s">
        <v>182</v>
      </c>
      <c r="L191" s="1" t="n">
        <f aca="false">VAR($C$184:$C$214)</f>
        <v>33287202.0645161</v>
      </c>
      <c r="M191" s="1" t="n">
        <f aca="false">VAR($E$184:$E$214)</f>
        <v>60712.2695698925</v>
      </c>
      <c r="N191" s="1" t="n">
        <f aca="false">VAR($G$184:$G$214)</f>
        <v>17.2516961290323</v>
      </c>
      <c r="O191" s="1" t="n">
        <f aca="false">VAR($I$184:$I$214)</f>
        <v>3819.93978494624</v>
      </c>
    </row>
    <row r="192" customFormat="false" ht="13.8" hidden="false" customHeight="false" outlineLevel="0" collapsed="false">
      <c r="A192" s="1" t="n">
        <v>191</v>
      </c>
      <c r="B192" s="30" t="n">
        <v>44021</v>
      </c>
      <c r="C192" s="1" t="n">
        <v>2178</v>
      </c>
      <c r="D192" s="1" t="n">
        <f aca="false">C192-C191</f>
        <v>-2724</v>
      </c>
      <c r="E192" s="1" t="n">
        <v>106.7</v>
      </c>
      <c r="F192" s="1" t="n">
        <f aca="false">E192-E191</f>
        <v>-110.8</v>
      </c>
      <c r="G192" s="1" t="n">
        <v>1.57</v>
      </c>
      <c r="H192" s="1" t="n">
        <f aca="false">G192-G191</f>
        <v>-1.96</v>
      </c>
      <c r="I192" s="1" t="n">
        <v>30</v>
      </c>
      <c r="J192" s="1" t="n">
        <f aca="false">I192-I191</f>
        <v>-26</v>
      </c>
      <c r="K192" s="1" t="s">
        <v>16</v>
      </c>
      <c r="L192" s="1" t="n">
        <f aca="false">STDEV($C$184:$C$214)</f>
        <v>5769.50622363094</v>
      </c>
      <c r="M192" s="1" t="n">
        <f aca="false">STDEV($E$184:$E$214)</f>
        <v>246.398598960896</v>
      </c>
      <c r="N192" s="1" t="n">
        <f aca="false">STDEV($G$184:$G$214)</f>
        <v>4.15351611638046</v>
      </c>
      <c r="O192" s="1" t="n">
        <f aca="false">STDEV($I$184:$I$214)</f>
        <v>61.8056614311847</v>
      </c>
    </row>
    <row r="193" customFormat="false" ht="13.8" hidden="false" customHeight="false" outlineLevel="0" collapsed="false">
      <c r="A193" s="1" t="n">
        <v>192</v>
      </c>
      <c r="B193" s="30" t="n">
        <v>44022</v>
      </c>
      <c r="C193" s="1" t="n">
        <v>3198</v>
      </c>
      <c r="D193" s="1" t="n">
        <f aca="false">C193-C192</f>
        <v>1020</v>
      </c>
      <c r="E193" s="1" t="n">
        <v>136.6</v>
      </c>
      <c r="F193" s="1" t="n">
        <f aca="false">E193-E192</f>
        <v>29.9</v>
      </c>
      <c r="G193" s="1" t="n">
        <v>2.3</v>
      </c>
      <c r="H193" s="1" t="n">
        <f aca="false">G193-G192</f>
        <v>0.73</v>
      </c>
      <c r="I193" s="1" t="n">
        <v>34</v>
      </c>
      <c r="J193" s="1" t="n">
        <f aca="false">I193-I192</f>
        <v>4</v>
      </c>
      <c r="K193" s="1" t="s">
        <v>20</v>
      </c>
      <c r="L193" s="1" t="n">
        <f aca="false">KURT($C$184:$C$214)</f>
        <v>2.0463693771431</v>
      </c>
      <c r="M193" s="1" t="n">
        <f aca="false">KURT($E$184:$E$214)</f>
        <v>2.5306224933022</v>
      </c>
      <c r="N193" s="1" t="n">
        <f aca="false">KURT($G$184:$G$214)</f>
        <v>2.04368597695611</v>
      </c>
      <c r="O193" s="1" t="n">
        <f aca="false">KURT($I$184:$I$214)</f>
        <v>3.32142962605083</v>
      </c>
    </row>
    <row r="194" customFormat="false" ht="13.8" hidden="false" customHeight="false" outlineLevel="0" collapsed="false">
      <c r="A194" s="1" t="n">
        <v>193</v>
      </c>
      <c r="B194" s="30" t="n">
        <v>44023</v>
      </c>
      <c r="C194" s="1" t="n">
        <v>3039</v>
      </c>
      <c r="D194" s="1" t="n">
        <f aca="false">C194-C193</f>
        <v>-159</v>
      </c>
      <c r="E194" s="1" t="n">
        <v>129.3</v>
      </c>
      <c r="F194" s="1" t="n">
        <f aca="false">E194-E193</f>
        <v>-7.29999999999998</v>
      </c>
      <c r="G194" s="1" t="n">
        <v>2.19</v>
      </c>
      <c r="H194" s="1" t="n">
        <f aca="false">G194-G193</f>
        <v>-0.11</v>
      </c>
      <c r="I194" s="1" t="n">
        <v>32</v>
      </c>
      <c r="J194" s="1" t="n">
        <f aca="false">I194-I193</f>
        <v>-2</v>
      </c>
      <c r="K194" s="1" t="s">
        <v>22</v>
      </c>
      <c r="L194" s="1" t="n">
        <f aca="false">SKEW($C$184:$C$214)</f>
        <v>1.57607369582502</v>
      </c>
      <c r="M194" s="1" t="n">
        <f aca="false">SKEW($E$184:$E$214)</f>
        <v>1.66715041209441</v>
      </c>
      <c r="N194" s="1" t="n">
        <f aca="false">SKEW($G$184:$G$214)</f>
        <v>1.57538528363091</v>
      </c>
      <c r="O194" s="1" t="n">
        <f aca="false">SKEW($I$184:$I$214)</f>
        <v>1.81628859362388</v>
      </c>
    </row>
    <row r="195" customFormat="false" ht="13.8" hidden="false" customHeight="false" outlineLevel="0" collapsed="false">
      <c r="A195" s="1" t="n">
        <v>194</v>
      </c>
      <c r="B195" s="30" t="n">
        <v>44024</v>
      </c>
      <c r="C195" s="1" t="n">
        <v>2075</v>
      </c>
      <c r="D195" s="1" t="n">
        <f aca="false">C195-C194</f>
        <v>-964</v>
      </c>
      <c r="E195" s="1" t="n">
        <v>86</v>
      </c>
      <c r="F195" s="1" t="n">
        <f aca="false">E195-E194</f>
        <v>-43.3</v>
      </c>
      <c r="G195" s="1" t="n">
        <v>1.49</v>
      </c>
      <c r="H195" s="1" t="n">
        <f aca="false">G195-G194</f>
        <v>-0.7</v>
      </c>
      <c r="I195" s="1" t="n">
        <v>20</v>
      </c>
      <c r="J195" s="1" t="n">
        <f aca="false">I195-I194</f>
        <v>-12</v>
      </c>
      <c r="K195" s="1" t="s">
        <v>24</v>
      </c>
      <c r="L195" s="1" t="n">
        <f aca="false">MAX($C$184:$C$214)-MIN($C$184:$C$214)</f>
        <v>22819</v>
      </c>
      <c r="M195" s="1" t="n">
        <f aca="false">MAX($E$184:$E$214)-MIN($E$184:$E$214)</f>
        <v>995.6</v>
      </c>
      <c r="N195" s="1" t="n">
        <f aca="false">MAX($G$184:$G$214)-MIN($G$184:$G$214)</f>
        <v>16.43</v>
      </c>
      <c r="O195" s="1" t="n">
        <f aca="false">MAX($I$184:$I$214)-MIN($I$184:$I$214)</f>
        <v>256</v>
      </c>
    </row>
    <row r="196" customFormat="false" ht="13.8" hidden="false" customHeight="false" outlineLevel="0" collapsed="false">
      <c r="A196" s="1" t="n">
        <v>195</v>
      </c>
      <c r="B196" s="30" t="n">
        <v>44025</v>
      </c>
      <c r="C196" s="1" t="n">
        <v>6411</v>
      </c>
      <c r="D196" s="1" t="n">
        <f aca="false">C196-C195</f>
        <v>4336</v>
      </c>
      <c r="E196" s="1" t="n">
        <v>277.6</v>
      </c>
      <c r="F196" s="1" t="n">
        <f aca="false">E196-E195</f>
        <v>191.6</v>
      </c>
      <c r="G196" s="1" t="n">
        <v>4.62</v>
      </c>
      <c r="H196" s="1" t="n">
        <f aca="false">G196-G195</f>
        <v>3.13</v>
      </c>
      <c r="I196" s="1" t="n">
        <v>70</v>
      </c>
      <c r="J196" s="1" t="n">
        <f aca="false">I196-I195</f>
        <v>50</v>
      </c>
      <c r="K196" s="1" t="s">
        <v>26</v>
      </c>
      <c r="L196" s="1" t="n">
        <f aca="false">MIN($C$184:$C$214)</f>
        <v>62</v>
      </c>
      <c r="M196" s="1" t="n">
        <f aca="false">MIN($E$184:$E$214)</f>
        <v>2.6</v>
      </c>
      <c r="N196" s="1" t="n">
        <f aca="false">MIN($G$184:$G$214)</f>
        <v>0.04</v>
      </c>
      <c r="O196" s="1" t="n">
        <f aca="false">MIN($I$184:$I$214)</f>
        <v>1</v>
      </c>
    </row>
    <row r="197" customFormat="false" ht="13.8" hidden="false" customHeight="false" outlineLevel="0" collapsed="false">
      <c r="A197" s="1" t="n">
        <v>196</v>
      </c>
      <c r="B197" s="30" t="n">
        <v>44026</v>
      </c>
      <c r="C197" s="1" t="n">
        <v>5522</v>
      </c>
      <c r="D197" s="1" t="n">
        <f aca="false">C197-C196</f>
        <v>-889</v>
      </c>
      <c r="E197" s="1" t="n">
        <v>232.1</v>
      </c>
      <c r="F197" s="1" t="n">
        <f aca="false">E197-E196</f>
        <v>-45.5</v>
      </c>
      <c r="G197" s="1" t="n">
        <v>3.98</v>
      </c>
      <c r="H197" s="1" t="n">
        <f aca="false">G197-G196</f>
        <v>-0.64</v>
      </c>
      <c r="I197" s="1" t="n">
        <v>56</v>
      </c>
      <c r="J197" s="1" t="n">
        <f aca="false">I197-I196</f>
        <v>-14</v>
      </c>
      <c r="K197" s="1" t="s">
        <v>28</v>
      </c>
      <c r="L197" s="1" t="n">
        <f aca="false">MAX($C$184:$C$214)</f>
        <v>22881</v>
      </c>
      <c r="M197" s="1" t="n">
        <f aca="false">MAX($E$184:$E$214)</f>
        <v>998.2</v>
      </c>
      <c r="N197" s="1" t="n">
        <f aca="false">MAX($G$184:$G$214)</f>
        <v>16.47</v>
      </c>
      <c r="O197" s="1" t="n">
        <f aca="false">MAX($I$184:$I$214)</f>
        <v>257</v>
      </c>
    </row>
    <row r="198" customFormat="false" ht="13.8" hidden="false" customHeight="false" outlineLevel="0" collapsed="false">
      <c r="A198" s="1" t="n">
        <v>197</v>
      </c>
      <c r="B198" s="30" t="n">
        <v>44027</v>
      </c>
      <c r="C198" s="1" t="n">
        <v>1659</v>
      </c>
      <c r="D198" s="1" t="n">
        <f aca="false">C198-C197</f>
        <v>-3863</v>
      </c>
      <c r="E198" s="1" t="n">
        <v>70.7</v>
      </c>
      <c r="F198" s="1" t="n">
        <f aca="false">E198-E197</f>
        <v>-161.4</v>
      </c>
      <c r="G198" s="1" t="n">
        <v>1.19</v>
      </c>
      <c r="H198" s="1" t="n">
        <f aca="false">G198-G197</f>
        <v>-2.79</v>
      </c>
      <c r="I198" s="1" t="n">
        <v>17</v>
      </c>
      <c r="J198" s="1" t="n">
        <f aca="false">I198-I197</f>
        <v>-39</v>
      </c>
      <c r="K198" s="1" t="s">
        <v>30</v>
      </c>
      <c r="L198" s="1" t="n">
        <f aca="false">SUM($C$184:$C$214)</f>
        <v>149939</v>
      </c>
      <c r="M198" s="1" t="n">
        <f aca="false">SUM($E$184:$E$214)</f>
        <v>6413.6</v>
      </c>
      <c r="N198" s="1" t="n">
        <f aca="false">SUM($G$184:$G$214)</f>
        <v>107.94</v>
      </c>
      <c r="O198" s="1" t="n">
        <f aca="false">SUM($I$184:$I$214)</f>
        <v>1586</v>
      </c>
    </row>
    <row r="199" customFormat="false" ht="13.8" hidden="false" customHeight="false" outlineLevel="0" collapsed="false">
      <c r="A199" s="1" t="n">
        <v>198</v>
      </c>
      <c r="B199" s="30" t="n">
        <v>44028</v>
      </c>
      <c r="C199" s="1" t="n">
        <v>6449</v>
      </c>
      <c r="D199" s="1" t="n">
        <f aca="false">C199-C198</f>
        <v>4790</v>
      </c>
      <c r="E199" s="1" t="n">
        <v>265.2</v>
      </c>
      <c r="F199" s="1" t="n">
        <f aca="false">E199-E198</f>
        <v>194.5</v>
      </c>
      <c r="G199" s="1" t="n">
        <v>4.64</v>
      </c>
      <c r="H199" s="1" t="n">
        <f aca="false">G199-G198</f>
        <v>3.45</v>
      </c>
      <c r="I199" s="1" t="n">
        <v>62</v>
      </c>
      <c r="J199" s="1" t="n">
        <f aca="false">I199-I198</f>
        <v>45</v>
      </c>
      <c r="K199" s="1" t="s">
        <v>32</v>
      </c>
      <c r="L199" s="1" t="n">
        <f aca="false">COUNT($C$184:$C$214)</f>
        <v>31</v>
      </c>
      <c r="M199" s="1" t="n">
        <f aca="false">COUNT($E$184:$E$214)</f>
        <v>31</v>
      </c>
      <c r="N199" s="1" t="n">
        <f aca="false">COUNT($G$184:$G$214)</f>
        <v>31</v>
      </c>
      <c r="O199" s="1" t="n">
        <f aca="false">COUNT($I$184:$I$214)</f>
        <v>31</v>
      </c>
    </row>
    <row r="200" customFormat="false" ht="13.8" hidden="false" customHeight="false" outlineLevel="0" collapsed="false">
      <c r="A200" s="1" t="n">
        <v>199</v>
      </c>
      <c r="B200" s="30" t="n">
        <v>44029</v>
      </c>
      <c r="C200" s="1" t="n">
        <v>1816</v>
      </c>
      <c r="D200" s="1" t="n">
        <f aca="false">C200-C199</f>
        <v>-4633</v>
      </c>
      <c r="E200" s="1" t="n">
        <v>83.5</v>
      </c>
      <c r="F200" s="1" t="n">
        <f aca="false">E200-E199</f>
        <v>-181.7</v>
      </c>
      <c r="G200" s="1" t="n">
        <v>1.31</v>
      </c>
      <c r="H200" s="1" t="n">
        <f aca="false">G200-G199</f>
        <v>-3.33</v>
      </c>
      <c r="I200" s="1" t="n">
        <v>22</v>
      </c>
      <c r="J200" s="1" t="n">
        <f aca="false">I200-I199</f>
        <v>-40</v>
      </c>
    </row>
    <row r="201" customFormat="false" ht="13.8" hidden="false" customHeight="false" outlineLevel="0" collapsed="false">
      <c r="A201" s="1" t="n">
        <v>200</v>
      </c>
      <c r="B201" s="30" t="n">
        <v>44030</v>
      </c>
      <c r="C201" s="1" t="n">
        <v>203</v>
      </c>
      <c r="D201" s="1" t="n">
        <f aca="false">C201-C200</f>
        <v>-1613</v>
      </c>
      <c r="E201" s="1" t="n">
        <v>9.2</v>
      </c>
      <c r="F201" s="1" t="n">
        <f aca="false">E201-E200</f>
        <v>-74.3</v>
      </c>
      <c r="G201" s="1" t="n">
        <v>0.15</v>
      </c>
      <c r="H201" s="1" t="n">
        <f aca="false">G201-G200</f>
        <v>-1.16</v>
      </c>
      <c r="I201" s="1" t="n">
        <v>2</v>
      </c>
      <c r="J201" s="1" t="n">
        <f aca="false">I201-I200</f>
        <v>-20</v>
      </c>
    </row>
    <row r="202" customFormat="false" ht="13.8" hidden="false" customHeight="false" outlineLevel="0" collapsed="false">
      <c r="A202" s="1" t="n">
        <v>201</v>
      </c>
      <c r="B202" s="30" t="n">
        <v>44031</v>
      </c>
      <c r="C202" s="1" t="n">
        <v>136</v>
      </c>
      <c r="D202" s="1" t="n">
        <f aca="false">C202-C201</f>
        <v>-67</v>
      </c>
      <c r="E202" s="1" t="n">
        <v>6.7</v>
      </c>
      <c r="F202" s="1" t="n">
        <f aca="false">E202-E201</f>
        <v>-2.5</v>
      </c>
      <c r="G202" s="1" t="n">
        <v>0.1</v>
      </c>
      <c r="H202" s="1" t="n">
        <f aca="false">G202-G201</f>
        <v>-0.05</v>
      </c>
      <c r="I202" s="1" t="n">
        <v>1</v>
      </c>
      <c r="J202" s="1" t="n">
        <f aca="false">I202-I201</f>
        <v>-1</v>
      </c>
    </row>
    <row r="203" customFormat="false" ht="13.8" hidden="false" customHeight="false" outlineLevel="0" collapsed="false">
      <c r="A203" s="1" t="n">
        <v>202</v>
      </c>
      <c r="B203" s="30" t="n">
        <v>44032</v>
      </c>
      <c r="C203" s="1" t="n">
        <v>186</v>
      </c>
      <c r="D203" s="1" t="n">
        <f aca="false">C203-C202</f>
        <v>50</v>
      </c>
      <c r="E203" s="1" t="n">
        <v>8</v>
      </c>
      <c r="F203" s="1" t="n">
        <f aca="false">E203-E202</f>
        <v>1.3</v>
      </c>
      <c r="G203" s="1" t="n">
        <v>0.13</v>
      </c>
      <c r="H203" s="1" t="n">
        <f aca="false">G203-G202</f>
        <v>0.03</v>
      </c>
      <c r="I203" s="1" t="n">
        <v>2</v>
      </c>
      <c r="J203" s="1" t="n">
        <f aca="false">I203-I202</f>
        <v>1</v>
      </c>
    </row>
    <row r="204" customFormat="false" ht="13.8" hidden="false" customHeight="false" outlineLevel="0" collapsed="false">
      <c r="A204" s="1" t="n">
        <v>203</v>
      </c>
      <c r="B204" s="30" t="n">
        <v>44033</v>
      </c>
      <c r="C204" s="1" t="n">
        <v>840</v>
      </c>
      <c r="D204" s="1" t="n">
        <f aca="false">C204-C203</f>
        <v>654</v>
      </c>
      <c r="E204" s="1" t="n">
        <v>35.6</v>
      </c>
      <c r="F204" s="1" t="n">
        <f aca="false">E204-E203</f>
        <v>27.6</v>
      </c>
      <c r="G204" s="1" t="n">
        <v>0.6</v>
      </c>
      <c r="H204" s="1" t="n">
        <f aca="false">G204-G203</f>
        <v>0.47</v>
      </c>
      <c r="I204" s="1" t="n">
        <v>8</v>
      </c>
      <c r="J204" s="1" t="n">
        <f aca="false">I204-I203</f>
        <v>6</v>
      </c>
    </row>
    <row r="205" customFormat="false" ht="13.8" hidden="false" customHeight="false" outlineLevel="0" collapsed="false">
      <c r="A205" s="1" t="n">
        <v>204</v>
      </c>
      <c r="B205" s="30" t="n">
        <v>44034</v>
      </c>
      <c r="C205" s="1" t="n">
        <v>1433</v>
      </c>
      <c r="D205" s="1" t="n">
        <f aca="false">C205-C204</f>
        <v>593</v>
      </c>
      <c r="E205" s="1" t="n">
        <v>65.8</v>
      </c>
      <c r="F205" s="1" t="n">
        <f aca="false">E205-E204</f>
        <v>30.2</v>
      </c>
      <c r="G205" s="1" t="n">
        <v>1.03</v>
      </c>
      <c r="H205" s="1" t="n">
        <f aca="false">G205-G204</f>
        <v>0.43</v>
      </c>
      <c r="I205" s="1" t="n">
        <v>17</v>
      </c>
      <c r="J205" s="1" t="n">
        <f aca="false">I205-I204</f>
        <v>9</v>
      </c>
    </row>
    <row r="206" customFormat="false" ht="13.8" hidden="false" customHeight="false" outlineLevel="0" collapsed="false">
      <c r="A206" s="1" t="n">
        <v>205</v>
      </c>
      <c r="B206" s="30" t="n">
        <v>44035</v>
      </c>
      <c r="C206" s="1" t="n">
        <v>62</v>
      </c>
      <c r="D206" s="1" t="n">
        <f aca="false">C206-C205</f>
        <v>-1371</v>
      </c>
      <c r="E206" s="1" t="n">
        <v>2.6</v>
      </c>
      <c r="F206" s="1" t="n">
        <f aca="false">E206-E205</f>
        <v>-63.2</v>
      </c>
      <c r="G206" s="1" t="n">
        <v>0.04</v>
      </c>
      <c r="H206" s="1" t="n">
        <f aca="false">G206-G205</f>
        <v>-0.99</v>
      </c>
      <c r="I206" s="1" t="n">
        <v>1</v>
      </c>
      <c r="J206" s="1" t="n">
        <f aca="false">I206-I205</f>
        <v>-16</v>
      </c>
    </row>
    <row r="207" customFormat="false" ht="13.8" hidden="false" customHeight="false" outlineLevel="0" collapsed="false">
      <c r="A207" s="1" t="n">
        <v>206</v>
      </c>
      <c r="B207" s="30" t="n">
        <v>44036</v>
      </c>
      <c r="C207" s="1" t="n">
        <v>2621</v>
      </c>
      <c r="D207" s="1" t="n">
        <f aca="false">C207-C206</f>
        <v>2559</v>
      </c>
      <c r="E207" s="1" t="n">
        <v>121.5</v>
      </c>
      <c r="F207" s="1" t="n">
        <f aca="false">E207-E206</f>
        <v>118.9</v>
      </c>
      <c r="G207" s="1" t="n">
        <v>1.89</v>
      </c>
      <c r="H207" s="1" t="n">
        <f aca="false">G207-G206</f>
        <v>1.85</v>
      </c>
      <c r="I207" s="1" t="n">
        <v>33</v>
      </c>
      <c r="J207" s="1" t="n">
        <f aca="false">I207-I206</f>
        <v>32</v>
      </c>
    </row>
    <row r="208" customFormat="false" ht="13.8" hidden="false" customHeight="false" outlineLevel="0" collapsed="false">
      <c r="A208" s="1" t="n">
        <v>207</v>
      </c>
      <c r="B208" s="30" t="n">
        <v>44037</v>
      </c>
      <c r="C208" s="1" t="n">
        <v>982</v>
      </c>
      <c r="D208" s="1" t="n">
        <f aca="false">C208-C207</f>
        <v>-1639</v>
      </c>
      <c r="E208" s="1" t="n">
        <v>45.7</v>
      </c>
      <c r="F208" s="1" t="n">
        <f aca="false">E208-E207</f>
        <v>-75.8</v>
      </c>
      <c r="G208" s="1" t="n">
        <v>0.71</v>
      </c>
      <c r="H208" s="1" t="n">
        <f aca="false">G208-G207</f>
        <v>-1.18</v>
      </c>
      <c r="I208" s="1" t="n">
        <v>12</v>
      </c>
      <c r="J208" s="1" t="n">
        <f aca="false">I208-I207</f>
        <v>-21</v>
      </c>
    </row>
    <row r="209" customFormat="false" ht="13.8" hidden="false" customHeight="false" outlineLevel="0" collapsed="false">
      <c r="A209" s="1" t="n">
        <v>208</v>
      </c>
      <c r="B209" s="30" t="n">
        <v>44038</v>
      </c>
      <c r="C209" s="1" t="n">
        <v>567</v>
      </c>
      <c r="D209" s="1" t="n">
        <f aca="false">C209-C208</f>
        <v>-415</v>
      </c>
      <c r="E209" s="1" t="n">
        <v>26.8</v>
      </c>
      <c r="F209" s="1" t="n">
        <f aca="false">E209-E208</f>
        <v>-18.9</v>
      </c>
      <c r="G209" s="1" t="n">
        <v>0.41</v>
      </c>
      <c r="H209" s="1" t="n">
        <f aca="false">G209-G208</f>
        <v>-0.3</v>
      </c>
      <c r="I209" s="1" t="n">
        <v>7</v>
      </c>
      <c r="J209" s="1" t="n">
        <f aca="false">I209-I208</f>
        <v>-5</v>
      </c>
    </row>
    <row r="210" customFormat="false" ht="13.8" hidden="false" customHeight="false" outlineLevel="0" collapsed="false">
      <c r="A210" s="1" t="n">
        <v>209</v>
      </c>
      <c r="B210" s="30" t="n">
        <v>44039</v>
      </c>
      <c r="C210" s="1" t="n">
        <v>231</v>
      </c>
      <c r="D210" s="1" t="n">
        <f aca="false">C210-C209</f>
        <v>-336</v>
      </c>
      <c r="E210" s="1" t="n">
        <v>9.9</v>
      </c>
      <c r="F210" s="1" t="n">
        <f aca="false">E210-E209</f>
        <v>-16.9</v>
      </c>
      <c r="G210" s="1" t="n">
        <v>0.17</v>
      </c>
      <c r="H210" s="1" t="n">
        <f aca="false">G210-G209</f>
        <v>-0.24</v>
      </c>
      <c r="I210" s="1" t="n">
        <v>2</v>
      </c>
      <c r="J210" s="1" t="n">
        <f aca="false">I210-I209</f>
        <v>-5</v>
      </c>
    </row>
    <row r="211" customFormat="false" ht="13.8" hidden="false" customHeight="false" outlineLevel="0" collapsed="false">
      <c r="A211" s="1" t="n">
        <v>210</v>
      </c>
      <c r="B211" s="30" t="n">
        <v>44040</v>
      </c>
      <c r="C211" s="1" t="n">
        <v>3944</v>
      </c>
      <c r="D211" s="1" t="n">
        <f aca="false">C211-C210</f>
        <v>3713</v>
      </c>
      <c r="E211" s="1" t="n">
        <v>167.9</v>
      </c>
      <c r="F211" s="1" t="n">
        <f aca="false">E211-E210</f>
        <v>158</v>
      </c>
      <c r="G211" s="1" t="n">
        <v>2.84</v>
      </c>
      <c r="H211" s="1" t="n">
        <f aca="false">G211-G210</f>
        <v>2.67</v>
      </c>
      <c r="I211" s="1" t="n">
        <v>41</v>
      </c>
      <c r="J211" s="1" t="n">
        <f aca="false">I211-I210</f>
        <v>39</v>
      </c>
    </row>
    <row r="212" customFormat="false" ht="13.8" hidden="false" customHeight="false" outlineLevel="0" collapsed="false">
      <c r="A212" s="1" t="n">
        <v>211</v>
      </c>
      <c r="B212" s="30" t="n">
        <v>44041</v>
      </c>
      <c r="C212" s="1" t="n">
        <v>12086</v>
      </c>
      <c r="D212" s="1" t="n">
        <f aca="false">C212-C211</f>
        <v>8142</v>
      </c>
      <c r="E212" s="1" t="n">
        <v>505.8</v>
      </c>
      <c r="F212" s="1" t="n">
        <f aca="false">E212-E211</f>
        <v>337.9</v>
      </c>
      <c r="G212" s="1" t="n">
        <v>8.7</v>
      </c>
      <c r="H212" s="1" t="n">
        <f aca="false">G212-G211</f>
        <v>5.86</v>
      </c>
      <c r="I212" s="1" t="n">
        <v>123</v>
      </c>
      <c r="J212" s="1" t="n">
        <f aca="false">I212-I211</f>
        <v>82</v>
      </c>
    </row>
    <row r="213" customFormat="false" ht="13.8" hidden="false" customHeight="false" outlineLevel="0" collapsed="false">
      <c r="A213" s="1" t="n">
        <v>212</v>
      </c>
      <c r="B213" s="30" t="n">
        <v>44042</v>
      </c>
      <c r="C213" s="1" t="n">
        <v>10782</v>
      </c>
      <c r="D213" s="1" t="n">
        <f aca="false">C213-C212</f>
        <v>-1304</v>
      </c>
      <c r="E213" s="1" t="n">
        <v>444.2</v>
      </c>
      <c r="F213" s="1" t="n">
        <f aca="false">E213-E212</f>
        <v>-61.6</v>
      </c>
      <c r="G213" s="1" t="n">
        <v>7.76</v>
      </c>
      <c r="H213" s="1" t="n">
        <f aca="false">G213-G212</f>
        <v>-0.94</v>
      </c>
      <c r="I213" s="1" t="n">
        <v>104</v>
      </c>
      <c r="J213" s="1" t="n">
        <f aca="false">I213-I212</f>
        <v>-19</v>
      </c>
    </row>
    <row r="214" customFormat="false" ht="13.8" hidden="false" customHeight="false" outlineLevel="0" collapsed="false">
      <c r="A214" s="1" t="n">
        <v>213</v>
      </c>
      <c r="B214" s="30" t="n">
        <v>44043</v>
      </c>
      <c r="C214" s="1" t="n">
        <v>837</v>
      </c>
      <c r="D214" s="1" t="n">
        <f aca="false">C214-C213</f>
        <v>-9945</v>
      </c>
      <c r="E214" s="1" t="n">
        <v>37.1</v>
      </c>
      <c r="F214" s="1" t="n">
        <f aca="false">E214-E213</f>
        <v>-407.1</v>
      </c>
      <c r="G214" s="1" t="n">
        <v>0.6</v>
      </c>
      <c r="H214" s="1" t="n">
        <f aca="false">G214-G213</f>
        <v>-7.16</v>
      </c>
      <c r="I214" s="1" t="n">
        <v>9</v>
      </c>
      <c r="J214" s="1" t="n">
        <f aca="false">I214-I213</f>
        <v>-95</v>
      </c>
    </row>
    <row r="215" customFormat="false" ht="13.8" hidden="false" customHeight="false" outlineLevel="0" collapsed="false">
      <c r="A215" s="1" t="n">
        <v>214</v>
      </c>
      <c r="B215" s="30" t="n">
        <v>44044</v>
      </c>
      <c r="C215" s="1" t="n">
        <v>750</v>
      </c>
      <c r="D215" s="1" t="n">
        <f aca="false">C215-C214</f>
        <v>-87</v>
      </c>
      <c r="E215" s="1" t="n">
        <v>36.1</v>
      </c>
      <c r="F215" s="1" t="n">
        <f aca="false">E215-E214</f>
        <v>-1</v>
      </c>
      <c r="G215" s="1" t="n">
        <v>0.54</v>
      </c>
      <c r="H215" s="1" t="n">
        <f aca="false">G215-G214</f>
        <v>-0.0599999999999999</v>
      </c>
      <c r="I215" s="1" t="n">
        <v>10</v>
      </c>
      <c r="J215" s="1" t="n">
        <f aca="false">I215-I214</f>
        <v>1</v>
      </c>
      <c r="L215" s="1" t="s">
        <v>2</v>
      </c>
      <c r="M215" s="1" t="s">
        <v>179</v>
      </c>
      <c r="N215" s="1" t="s">
        <v>175</v>
      </c>
      <c r="O215" s="1" t="s">
        <v>177</v>
      </c>
    </row>
    <row r="216" customFormat="false" ht="13.8" hidden="false" customHeight="false" outlineLevel="0" collapsed="false">
      <c r="A216" s="1" t="n">
        <v>215</v>
      </c>
      <c r="B216" s="30" t="n">
        <v>44045</v>
      </c>
      <c r="C216" s="1" t="n">
        <v>24864</v>
      </c>
      <c r="D216" s="1" t="n">
        <f aca="false">C216-C215</f>
        <v>24114</v>
      </c>
      <c r="E216" s="1" t="n">
        <v>1089.2</v>
      </c>
      <c r="F216" s="1" t="n">
        <f aca="false">E216-E215</f>
        <v>1053.1</v>
      </c>
      <c r="G216" s="1" t="n">
        <v>17.9</v>
      </c>
      <c r="H216" s="1" t="n">
        <f aca="false">G216-G215</f>
        <v>17.36</v>
      </c>
      <c r="I216" s="1" t="n">
        <v>280</v>
      </c>
      <c r="J216" s="1" t="n">
        <f aca="false">I216-I215</f>
        <v>270</v>
      </c>
      <c r="K216" s="1" t="s">
        <v>8</v>
      </c>
      <c r="L216" s="1" t="n">
        <f aca="false">AVERAGE($C$215:$C$245)</f>
        <v>5146.32258064516</v>
      </c>
      <c r="M216" s="1" t="n">
        <f aca="false">AVERAGE($E$215:$E$245)</f>
        <v>222.812903225806</v>
      </c>
      <c r="N216" s="1" t="n">
        <f aca="false">AVERAGE($G$215:$G$245)</f>
        <v>3.7058064516129</v>
      </c>
      <c r="O216" s="1" t="n">
        <f aca="false">AVERAGE($I$215:$I$245)</f>
        <v>55.9677419354839</v>
      </c>
    </row>
    <row r="217" customFormat="false" ht="13.8" hidden="false" customHeight="false" outlineLevel="0" collapsed="false">
      <c r="A217" s="1" t="n">
        <v>216</v>
      </c>
      <c r="B217" s="30" t="n">
        <v>44046</v>
      </c>
      <c r="C217" s="1" t="n">
        <v>3549</v>
      </c>
      <c r="D217" s="1" t="n">
        <f aca="false">C217-C216</f>
        <v>-21315</v>
      </c>
      <c r="E217" s="1" t="n">
        <v>152.4</v>
      </c>
      <c r="F217" s="1" t="n">
        <f aca="false">E217-E216</f>
        <v>-936.8</v>
      </c>
      <c r="G217" s="1" t="n">
        <v>2.56</v>
      </c>
      <c r="H217" s="1" t="n">
        <f aca="false">G217-G216</f>
        <v>-15.34</v>
      </c>
      <c r="I217" s="1" t="n">
        <v>38</v>
      </c>
      <c r="J217" s="1" t="n">
        <f aca="false">I217-I216</f>
        <v>-242</v>
      </c>
      <c r="K217" s="1" t="s">
        <v>10</v>
      </c>
      <c r="L217" s="1" t="n">
        <f aca="false">SQRT(VAR($C$215:$C$245)/COUNT($C$215:$C$245))</f>
        <v>1195.00206360293</v>
      </c>
      <c r="M217" s="1" t="n">
        <f aca="false">SQRT(VAR($E$215:$E$245)/COUNT($E$215:$E$245))</f>
        <v>51.0841994682352</v>
      </c>
      <c r="N217" s="1" t="n">
        <f aca="false">SQRT(VAR($G$215:$G$245)/COUNT($G$215:$G$245))</f>
        <v>0.860268372003516</v>
      </c>
      <c r="O217" s="1" t="n">
        <f aca="false">SQRT(VAR($I$215:$I$245)/COUNT($I$215:$I$245))</f>
        <v>12.7774569525444</v>
      </c>
    </row>
    <row r="218" customFormat="false" ht="13.8" hidden="false" customHeight="false" outlineLevel="0" collapsed="false">
      <c r="A218" s="1" t="n">
        <v>217</v>
      </c>
      <c r="B218" s="30" t="n">
        <v>44047</v>
      </c>
      <c r="C218" s="1" t="n">
        <v>2226</v>
      </c>
      <c r="D218" s="1" t="n">
        <f aca="false">C218-C217</f>
        <v>-1323</v>
      </c>
      <c r="E218" s="1" t="n">
        <v>94</v>
      </c>
      <c r="F218" s="1" t="n">
        <f aca="false">E218-E217</f>
        <v>-58.4</v>
      </c>
      <c r="G218" s="1" t="n">
        <v>1.6</v>
      </c>
      <c r="H218" s="1" t="n">
        <f aca="false">G218-G217</f>
        <v>-0.96</v>
      </c>
      <c r="I218" s="1" t="n">
        <v>23</v>
      </c>
      <c r="J218" s="1" t="n">
        <f aca="false">I218-I217</f>
        <v>-15</v>
      </c>
      <c r="K218" s="1" t="s">
        <v>14</v>
      </c>
      <c r="L218" s="1" t="e">
        <f aca="false">MODE($C$215:$C$245)</f>
        <v>#VALUE!</v>
      </c>
      <c r="M218" s="1" t="e">
        <f aca="false">MODE($E$215:$E$245)</f>
        <v>#VALUE!</v>
      </c>
      <c r="N218" s="1" t="e">
        <f aca="false">MODE($G$215:$G$245)</f>
        <v>#VALUE!</v>
      </c>
      <c r="O218" s="1" t="n">
        <f aca="false">MODE($I$215:$I$245)</f>
        <v>15</v>
      </c>
    </row>
    <row r="219" customFormat="false" ht="13.8" hidden="false" customHeight="false" outlineLevel="0" collapsed="false">
      <c r="A219" s="1" t="n">
        <v>218</v>
      </c>
      <c r="B219" s="30" t="n">
        <v>44048</v>
      </c>
      <c r="C219" s="1" t="n">
        <v>569</v>
      </c>
      <c r="D219" s="1" t="n">
        <f aca="false">C219-C218</f>
        <v>-1657</v>
      </c>
      <c r="E219" s="1" t="n">
        <v>26.6</v>
      </c>
      <c r="F219" s="1" t="n">
        <f aca="false">E219-E218</f>
        <v>-67.4</v>
      </c>
      <c r="G219" s="1" t="n">
        <v>0.41</v>
      </c>
      <c r="H219" s="1" t="n">
        <f aca="false">G219-G218</f>
        <v>-1.19</v>
      </c>
      <c r="I219" s="1" t="n">
        <v>7</v>
      </c>
      <c r="J219" s="1" t="n">
        <f aca="false">I219-I218</f>
        <v>-16</v>
      </c>
      <c r="K219" s="1" t="s">
        <v>12</v>
      </c>
      <c r="L219" s="1" t="n">
        <f aca="false">MEDIAN($C$215:$C$245)</f>
        <v>2731</v>
      </c>
      <c r="M219" s="1" t="n">
        <f aca="false">MEDIAN($E$215:$E$245)</f>
        <v>119.6</v>
      </c>
      <c r="N219" s="1" t="n">
        <f aca="false">MEDIAN($G$215:$G$245)</f>
        <v>1.97</v>
      </c>
      <c r="O219" s="1" t="n">
        <f aca="false">MEDIAN($I$215:$I$245)</f>
        <v>30</v>
      </c>
    </row>
    <row r="220" customFormat="false" ht="13.8" hidden="false" customHeight="false" outlineLevel="0" collapsed="false">
      <c r="A220" s="1" t="n">
        <v>219</v>
      </c>
      <c r="B220" s="30" t="n">
        <v>44049</v>
      </c>
      <c r="C220" s="1" t="n">
        <v>577</v>
      </c>
      <c r="D220" s="1" t="n">
        <f aca="false">C220-C219</f>
        <v>8</v>
      </c>
      <c r="E220" s="1" t="n">
        <v>26.8</v>
      </c>
      <c r="F220" s="1" t="n">
        <f aca="false">E220-E219</f>
        <v>0.199999999999999</v>
      </c>
      <c r="G220" s="1" t="n">
        <v>0.42</v>
      </c>
      <c r="H220" s="1" t="n">
        <f aca="false">G220-G219</f>
        <v>0.01</v>
      </c>
      <c r="I220" s="1" t="n">
        <v>7</v>
      </c>
      <c r="J220" s="1" t="n">
        <f aca="false">I220-I219</f>
        <v>0</v>
      </c>
      <c r="K220" s="1" t="s">
        <v>180</v>
      </c>
      <c r="L220" s="1" t="n">
        <f aca="false">QUARTILE($C$215:$C$245, 1)</f>
        <v>1689.5</v>
      </c>
      <c r="M220" s="1" t="n">
        <f aca="false">QUARTILE($E$215:$E$245, 1)</f>
        <v>72.2</v>
      </c>
      <c r="N220" s="1" t="n">
        <f aca="false">QUARTILE($G$215:$G$245, 1)</f>
        <v>1.215</v>
      </c>
      <c r="O220" s="1" t="n">
        <f aca="false">QUARTILE($I$215:$I$245, 1)</f>
        <v>18</v>
      </c>
    </row>
    <row r="221" customFormat="false" ht="13.8" hidden="false" customHeight="false" outlineLevel="0" collapsed="false">
      <c r="A221" s="1" t="n">
        <v>220</v>
      </c>
      <c r="B221" s="30" t="n">
        <v>44050</v>
      </c>
      <c r="C221" s="1" t="n">
        <v>5341</v>
      </c>
      <c r="D221" s="1" t="n">
        <f aca="false">C221-C220</f>
        <v>4764</v>
      </c>
      <c r="E221" s="1" t="n">
        <v>233.4</v>
      </c>
      <c r="F221" s="1" t="n">
        <f aca="false">E221-E220</f>
        <v>206.6</v>
      </c>
      <c r="G221" s="1" t="n">
        <v>3.85</v>
      </c>
      <c r="H221" s="1" t="n">
        <f aca="false">G221-G220</f>
        <v>3.43</v>
      </c>
      <c r="I221" s="1" t="n">
        <v>59</v>
      </c>
      <c r="J221" s="1" t="n">
        <f aca="false">I221-I220</f>
        <v>52</v>
      </c>
      <c r="K221" s="1" t="s">
        <v>181</v>
      </c>
      <c r="L221" s="1" t="n">
        <f aca="false">QUARTILE($C$215:$C$245, 3)</f>
        <v>4438.5</v>
      </c>
      <c r="M221" s="1" t="n">
        <f aca="false">QUARTILE($E$215:$E$245, 3)</f>
        <v>203.8</v>
      </c>
      <c r="N221" s="1" t="n">
        <f aca="false">QUARTILE($G$215:$G$245, 3)</f>
        <v>3.2</v>
      </c>
      <c r="O221" s="1" t="n">
        <f aca="false">QUARTILE($I$215:$I$245, 3)</f>
        <v>52.5</v>
      </c>
    </row>
    <row r="222" customFormat="false" ht="13.8" hidden="false" customHeight="false" outlineLevel="0" collapsed="false">
      <c r="A222" s="1" t="n">
        <v>221</v>
      </c>
      <c r="B222" s="30" t="n">
        <v>44051</v>
      </c>
      <c r="C222" s="1" t="n">
        <v>21131</v>
      </c>
      <c r="D222" s="1" t="n">
        <f aca="false">C222-C221</f>
        <v>15790</v>
      </c>
      <c r="E222" s="1" t="n">
        <v>889.9</v>
      </c>
      <c r="F222" s="1" t="n">
        <f aca="false">E222-E221</f>
        <v>656.5</v>
      </c>
      <c r="G222" s="1" t="n">
        <v>15.21</v>
      </c>
      <c r="H222" s="1" t="n">
        <f aca="false">G222-G221</f>
        <v>11.36</v>
      </c>
      <c r="I222" s="1" t="n">
        <v>218</v>
      </c>
      <c r="J222" s="1" t="n">
        <f aca="false">I222-I221</f>
        <v>159</v>
      </c>
      <c r="K222" s="1" t="s">
        <v>182</v>
      </c>
      <c r="L222" s="1" t="n">
        <f aca="false">VAR($C$215:$C$245)</f>
        <v>44268927.8924731</v>
      </c>
      <c r="M222" s="1" t="n">
        <f aca="false">VAR($E$215:$E$245)</f>
        <v>80897.4584946237</v>
      </c>
      <c r="N222" s="1" t="n">
        <f aca="false">VAR($G$215:$G$245)</f>
        <v>22.941911827957</v>
      </c>
      <c r="O222" s="1" t="n">
        <f aca="false">VAR($I$215:$I$245)</f>
        <v>5061.16559139785</v>
      </c>
    </row>
    <row r="223" customFormat="false" ht="13.8" hidden="false" customHeight="false" outlineLevel="0" collapsed="false">
      <c r="A223" s="1" t="n">
        <v>222</v>
      </c>
      <c r="B223" s="30" t="n">
        <v>44052</v>
      </c>
      <c r="C223" s="1" t="n">
        <v>1604</v>
      </c>
      <c r="D223" s="1" t="n">
        <f aca="false">C223-C222</f>
        <v>-19527</v>
      </c>
      <c r="E223" s="1" t="n">
        <v>65.5</v>
      </c>
      <c r="F223" s="1" t="n">
        <f aca="false">E223-E222</f>
        <v>-824.4</v>
      </c>
      <c r="G223" s="1" t="n">
        <v>1.15</v>
      </c>
      <c r="H223" s="1" t="n">
        <f aca="false">G223-G222</f>
        <v>-14.06</v>
      </c>
      <c r="I223" s="1" t="n">
        <v>15</v>
      </c>
      <c r="J223" s="1" t="n">
        <f aca="false">I223-I222</f>
        <v>-203</v>
      </c>
      <c r="K223" s="1" t="s">
        <v>16</v>
      </c>
      <c r="L223" s="1" t="n">
        <f aca="false">STDEV($C$215:$C$245)</f>
        <v>6653.48990323673</v>
      </c>
      <c r="M223" s="1" t="n">
        <f aca="false">STDEV($E$215:$E$245)</f>
        <v>284.42478530294</v>
      </c>
      <c r="N223" s="1" t="n">
        <f aca="false">STDEV($G$215:$G$245)</f>
        <v>4.78977158411098</v>
      </c>
      <c r="O223" s="1" t="n">
        <f aca="false">STDEV($I$215:$I$245)</f>
        <v>71.1418694679712</v>
      </c>
    </row>
    <row r="224" customFormat="false" ht="13.8" hidden="false" customHeight="false" outlineLevel="0" collapsed="false">
      <c r="A224" s="1" t="n">
        <v>223</v>
      </c>
      <c r="B224" s="30" t="n">
        <v>44053</v>
      </c>
      <c r="C224" s="1" t="n">
        <v>3871</v>
      </c>
      <c r="D224" s="1" t="n">
        <f aca="false">C224-C223</f>
        <v>2267</v>
      </c>
      <c r="E224" s="1" t="n">
        <v>178.6</v>
      </c>
      <c r="F224" s="1" t="n">
        <f aca="false">E224-E223</f>
        <v>113.1</v>
      </c>
      <c r="G224" s="1" t="n">
        <v>2.79</v>
      </c>
      <c r="H224" s="1" t="n">
        <f aca="false">G224-G223</f>
        <v>1.64</v>
      </c>
      <c r="I224" s="1" t="n">
        <v>48</v>
      </c>
      <c r="J224" s="1" t="n">
        <f aca="false">I224-I223</f>
        <v>33</v>
      </c>
      <c r="K224" s="1" t="s">
        <v>20</v>
      </c>
      <c r="L224" s="1" t="n">
        <f aca="false">KURT($C$215:$C$245)</f>
        <v>3.4815399023279</v>
      </c>
      <c r="M224" s="1" t="n">
        <f aca="false">KURT($E$215:$E$245)</f>
        <v>3.61781101259031</v>
      </c>
      <c r="N224" s="1" t="n">
        <f aca="false">KURT($G$215:$G$245)</f>
        <v>3.48109207022549</v>
      </c>
      <c r="O224" s="1" t="n">
        <f aca="false">KURT($I$215:$I$245)</f>
        <v>3.89340080623457</v>
      </c>
    </row>
    <row r="225" customFormat="false" ht="13.8" hidden="false" customHeight="false" outlineLevel="0" collapsed="false">
      <c r="A225" s="1" t="n">
        <v>224</v>
      </c>
      <c r="B225" s="30" t="n">
        <v>44054</v>
      </c>
      <c r="C225" s="1" t="n">
        <v>2089</v>
      </c>
      <c r="D225" s="1" t="n">
        <f aca="false">C225-C224</f>
        <v>-1782</v>
      </c>
      <c r="E225" s="1" t="n">
        <v>97.1</v>
      </c>
      <c r="F225" s="1" t="n">
        <f aca="false">E225-E224</f>
        <v>-81.5</v>
      </c>
      <c r="G225" s="1" t="n">
        <v>1.5</v>
      </c>
      <c r="H225" s="1" t="n">
        <f aca="false">G225-G224</f>
        <v>-1.29</v>
      </c>
      <c r="I225" s="1" t="n">
        <v>26</v>
      </c>
      <c r="J225" s="1" t="n">
        <f aca="false">I225-I224</f>
        <v>-22</v>
      </c>
      <c r="K225" s="1" t="s">
        <v>22</v>
      </c>
      <c r="L225" s="1" t="n">
        <f aca="false">SKEW($C$215:$C$245)</f>
        <v>2.18512756103122</v>
      </c>
      <c r="M225" s="1" t="n">
        <f aca="false">SKEW($E$215:$E$245)</f>
        <v>2.19700840964655</v>
      </c>
      <c r="N225" s="1" t="n">
        <f aca="false">SKEW($G$215:$G$245)</f>
        <v>2.18502906393588</v>
      </c>
      <c r="O225" s="1" t="n">
        <f aca="false">SKEW($I$215:$I$245)</f>
        <v>2.22637772859934</v>
      </c>
    </row>
    <row r="226" customFormat="false" ht="13.8" hidden="false" customHeight="false" outlineLevel="0" collapsed="false">
      <c r="A226" s="1" t="n">
        <v>225</v>
      </c>
      <c r="B226" s="30" t="n">
        <v>44055</v>
      </c>
      <c r="C226" s="1" t="n">
        <v>1970</v>
      </c>
      <c r="D226" s="1" t="n">
        <f aca="false">C226-C225</f>
        <v>-119</v>
      </c>
      <c r="E226" s="1" t="n">
        <v>82.6</v>
      </c>
      <c r="F226" s="1" t="n">
        <f aca="false">E226-E225</f>
        <v>-14.5</v>
      </c>
      <c r="G226" s="1" t="n">
        <v>1.42</v>
      </c>
      <c r="H226" s="1" t="n">
        <f aca="false">G226-G225</f>
        <v>-0.0800000000000001</v>
      </c>
      <c r="I226" s="1" t="n">
        <v>20</v>
      </c>
      <c r="J226" s="1" t="n">
        <f aca="false">I226-I225</f>
        <v>-6</v>
      </c>
      <c r="K226" s="1" t="s">
        <v>24</v>
      </c>
      <c r="L226" s="1" t="n">
        <f aca="false">MAX($C$215:$C$245)-MIN($C$215:$C$245)</f>
        <v>24295</v>
      </c>
      <c r="M226" s="1" t="n">
        <f aca="false">MAX($E$215:$E$245)-MIN($E$215:$E$245)</f>
        <v>1062.6</v>
      </c>
      <c r="N226" s="1" t="n">
        <f aca="false">MAX($G$215:$G$245)-MIN($G$215:$G$245)</f>
        <v>17.49</v>
      </c>
      <c r="O226" s="1" t="n">
        <f aca="false">MAX($I$215:$I$245)-MIN($I$215:$I$245)</f>
        <v>273</v>
      </c>
    </row>
    <row r="227" customFormat="false" ht="13.8" hidden="false" customHeight="false" outlineLevel="0" collapsed="false">
      <c r="A227" s="1" t="n">
        <v>226</v>
      </c>
      <c r="B227" s="30" t="n">
        <v>44056</v>
      </c>
      <c r="C227" s="1" t="n">
        <v>3613</v>
      </c>
      <c r="D227" s="1" t="n">
        <f aca="false">C227-C226</f>
        <v>1643</v>
      </c>
      <c r="E227" s="1" t="n">
        <v>159.3</v>
      </c>
      <c r="F227" s="1" t="n">
        <f aca="false">E227-E226</f>
        <v>76.7</v>
      </c>
      <c r="G227" s="1" t="n">
        <v>2.6</v>
      </c>
      <c r="H227" s="1" t="n">
        <f aca="false">G227-G226</f>
        <v>1.18</v>
      </c>
      <c r="I227" s="1" t="n">
        <v>41</v>
      </c>
      <c r="J227" s="1" t="n">
        <f aca="false">I227-I226</f>
        <v>21</v>
      </c>
      <c r="K227" s="1" t="s">
        <v>26</v>
      </c>
      <c r="L227" s="1" t="n">
        <f aca="false">MIN($C$215:$C$245)</f>
        <v>569</v>
      </c>
      <c r="M227" s="1" t="n">
        <f aca="false">MIN($E$215:$E$245)</f>
        <v>26.6</v>
      </c>
      <c r="N227" s="1" t="n">
        <f aca="false">MIN($G$215:$G$245)</f>
        <v>0.41</v>
      </c>
      <c r="O227" s="1" t="n">
        <f aca="false">MIN($I$215:$I$245)</f>
        <v>7</v>
      </c>
    </row>
    <row r="228" customFormat="false" ht="13.8" hidden="false" customHeight="false" outlineLevel="0" collapsed="false">
      <c r="A228" s="1" t="n">
        <v>227</v>
      </c>
      <c r="B228" s="30" t="n">
        <v>44057</v>
      </c>
      <c r="C228" s="1" t="n">
        <v>1314</v>
      </c>
      <c r="D228" s="1" t="n">
        <f aca="false">C228-C227</f>
        <v>-2299</v>
      </c>
      <c r="E228" s="1" t="n">
        <v>61.4</v>
      </c>
      <c r="F228" s="1" t="n">
        <f aca="false">E228-E227</f>
        <v>-97.9</v>
      </c>
      <c r="G228" s="1" t="n">
        <v>0.95</v>
      </c>
      <c r="H228" s="1" t="n">
        <f aca="false">G228-G227</f>
        <v>-1.65</v>
      </c>
      <c r="I228" s="1" t="n">
        <v>16</v>
      </c>
      <c r="J228" s="1" t="n">
        <f aca="false">I228-I227</f>
        <v>-25</v>
      </c>
      <c r="K228" s="1" t="s">
        <v>28</v>
      </c>
      <c r="L228" s="1" t="n">
        <f aca="false">MAX($C$215:$C$245)</f>
        <v>24864</v>
      </c>
      <c r="M228" s="1" t="n">
        <f aca="false">MAX($E$215:$E$245)</f>
        <v>1089.2</v>
      </c>
      <c r="N228" s="1" t="n">
        <f aca="false">MAX($G$215:$G$245)</f>
        <v>17.9</v>
      </c>
      <c r="O228" s="1" t="n">
        <f aca="false">MAX($I$215:$I$245)</f>
        <v>280</v>
      </c>
    </row>
    <row r="229" customFormat="false" ht="13.8" hidden="false" customHeight="false" outlineLevel="0" collapsed="false">
      <c r="A229" s="1" t="n">
        <v>228</v>
      </c>
      <c r="B229" s="30" t="n">
        <v>44058</v>
      </c>
      <c r="C229" s="1" t="n">
        <v>4481</v>
      </c>
      <c r="D229" s="1" t="n">
        <f aca="false">C229-C228</f>
        <v>3167</v>
      </c>
      <c r="E229" s="1" t="n">
        <v>201.2</v>
      </c>
      <c r="F229" s="1" t="n">
        <f aca="false">E229-E228</f>
        <v>139.8</v>
      </c>
      <c r="G229" s="1" t="n">
        <v>3.23</v>
      </c>
      <c r="H229" s="1" t="n">
        <f aca="false">G229-G228</f>
        <v>2.28</v>
      </c>
      <c r="I229" s="1" t="n">
        <v>53</v>
      </c>
      <c r="J229" s="1" t="n">
        <f aca="false">I229-I228</f>
        <v>37</v>
      </c>
      <c r="K229" s="1" t="s">
        <v>30</v>
      </c>
      <c r="L229" s="1" t="n">
        <f aca="false">SUM($C$215:$C$245)</f>
        <v>159536</v>
      </c>
      <c r="M229" s="1" t="n">
        <f aca="false">SUM($E$215:$E$245)</f>
        <v>6907.2</v>
      </c>
      <c r="N229" s="1" t="n">
        <f aca="false">SUM($G$215:$G$245)</f>
        <v>114.88</v>
      </c>
      <c r="O229" s="1" t="n">
        <f aca="false">SUM($I$215:$I$245)</f>
        <v>1735</v>
      </c>
    </row>
    <row r="230" customFormat="false" ht="13.8" hidden="false" customHeight="false" outlineLevel="0" collapsed="false">
      <c r="A230" s="1" t="n">
        <v>229</v>
      </c>
      <c r="B230" s="30" t="n">
        <v>44059</v>
      </c>
      <c r="C230" s="1" t="n">
        <v>2488</v>
      </c>
      <c r="D230" s="1" t="n">
        <f aca="false">C230-C229</f>
        <v>-1993</v>
      </c>
      <c r="E230" s="1" t="n">
        <v>114.2</v>
      </c>
      <c r="F230" s="1" t="n">
        <f aca="false">E230-E229</f>
        <v>-87</v>
      </c>
      <c r="G230" s="1" t="n">
        <v>1.79</v>
      </c>
      <c r="H230" s="1" t="n">
        <f aca="false">G230-G229</f>
        <v>-1.44</v>
      </c>
      <c r="I230" s="1" t="n">
        <v>30</v>
      </c>
      <c r="J230" s="1" t="n">
        <f aca="false">I230-I229</f>
        <v>-23</v>
      </c>
      <c r="K230" s="1" t="s">
        <v>32</v>
      </c>
      <c r="L230" s="1" t="n">
        <f aca="false">COUNT($C$215:$C$245)</f>
        <v>31</v>
      </c>
      <c r="M230" s="1" t="n">
        <f aca="false">COUNT($E$215:$E$245)</f>
        <v>31</v>
      </c>
      <c r="N230" s="1" t="n">
        <f aca="false">COUNT($G$215:$G$245)</f>
        <v>31</v>
      </c>
      <c r="O230" s="1" t="n">
        <f aca="false">COUNT($I$215:$I$245)</f>
        <v>31</v>
      </c>
    </row>
    <row r="231" customFormat="false" ht="13.8" hidden="false" customHeight="false" outlineLevel="0" collapsed="false">
      <c r="A231" s="1" t="n">
        <v>230</v>
      </c>
      <c r="B231" s="30" t="n">
        <v>44060</v>
      </c>
      <c r="C231" s="1" t="n">
        <v>1296</v>
      </c>
      <c r="D231" s="1" t="n">
        <f aca="false">C231-C230</f>
        <v>-1192</v>
      </c>
      <c r="E231" s="1" t="n">
        <v>58.3</v>
      </c>
      <c r="F231" s="1" t="n">
        <f aca="false">E231-E230</f>
        <v>-55.9</v>
      </c>
      <c r="G231" s="1" t="n">
        <v>0.93</v>
      </c>
      <c r="H231" s="1" t="n">
        <f aca="false">G231-G230</f>
        <v>-0.86</v>
      </c>
      <c r="I231" s="1" t="n">
        <v>15</v>
      </c>
      <c r="J231" s="1" t="n">
        <f aca="false">I231-I230</f>
        <v>-15</v>
      </c>
    </row>
    <row r="232" customFormat="false" ht="13.8" hidden="false" customHeight="false" outlineLevel="0" collapsed="false">
      <c r="A232" s="1" t="n">
        <v>231</v>
      </c>
      <c r="B232" s="30" t="n">
        <v>44061</v>
      </c>
      <c r="C232" s="1" t="n">
        <v>5654</v>
      </c>
      <c r="D232" s="1" t="n">
        <f aca="false">C232-C231</f>
        <v>4358</v>
      </c>
      <c r="E232" s="1" t="n">
        <v>250.3</v>
      </c>
      <c r="F232" s="1" t="n">
        <f aca="false">E232-E231</f>
        <v>192</v>
      </c>
      <c r="G232" s="1" t="n">
        <v>4.07</v>
      </c>
      <c r="H232" s="1" t="n">
        <f aca="false">G232-G231</f>
        <v>3.14</v>
      </c>
      <c r="I232" s="1" t="n">
        <v>65</v>
      </c>
      <c r="J232" s="1" t="n">
        <f aca="false">I232-I231</f>
        <v>50</v>
      </c>
    </row>
    <row r="233" customFormat="false" ht="13.8" hidden="false" customHeight="false" outlineLevel="0" collapsed="false">
      <c r="A233" s="1" t="n">
        <v>232</v>
      </c>
      <c r="B233" s="30" t="n">
        <v>44062</v>
      </c>
      <c r="C233" s="1" t="n">
        <v>2370</v>
      </c>
      <c r="D233" s="1" t="n">
        <f aca="false">C233-C232</f>
        <v>-3284</v>
      </c>
      <c r="E233" s="1" t="n">
        <v>101.2</v>
      </c>
      <c r="F233" s="1" t="n">
        <f aca="false">E233-E232</f>
        <v>-149.1</v>
      </c>
      <c r="G233" s="1" t="n">
        <v>1.71</v>
      </c>
      <c r="H233" s="1" t="n">
        <f aca="false">G233-G232</f>
        <v>-2.36</v>
      </c>
      <c r="I233" s="1" t="n">
        <v>24</v>
      </c>
      <c r="J233" s="1" t="n">
        <f aca="false">I233-I232</f>
        <v>-41</v>
      </c>
    </row>
    <row r="234" customFormat="false" ht="13.8" hidden="false" customHeight="false" outlineLevel="0" collapsed="false">
      <c r="A234" s="1" t="n">
        <v>233</v>
      </c>
      <c r="B234" s="30" t="n">
        <v>44063</v>
      </c>
      <c r="C234" s="1" t="n">
        <v>2585</v>
      </c>
      <c r="D234" s="1" t="n">
        <f aca="false">C234-C233</f>
        <v>215</v>
      </c>
      <c r="E234" s="1" t="n">
        <v>105.5</v>
      </c>
      <c r="F234" s="1" t="n">
        <f aca="false">E234-E233</f>
        <v>4.3</v>
      </c>
      <c r="G234" s="1" t="n">
        <v>1.86</v>
      </c>
      <c r="H234" s="1" t="n">
        <f aca="false">G234-G233</f>
        <v>0.15</v>
      </c>
      <c r="I234" s="1" t="n">
        <v>23</v>
      </c>
      <c r="J234" s="1" t="n">
        <f aca="false">I234-I233</f>
        <v>-1</v>
      </c>
    </row>
    <row r="235" customFormat="false" ht="13.8" hidden="false" customHeight="false" outlineLevel="0" collapsed="false">
      <c r="A235" s="1" t="n">
        <v>234</v>
      </c>
      <c r="B235" s="30" t="n">
        <v>44064</v>
      </c>
      <c r="C235" s="1" t="n">
        <v>4396</v>
      </c>
      <c r="D235" s="1" t="n">
        <f aca="false">C235-C234</f>
        <v>1811</v>
      </c>
      <c r="E235" s="1" t="n">
        <v>206.4</v>
      </c>
      <c r="F235" s="1" t="n">
        <f aca="false">E235-E234</f>
        <v>100.9</v>
      </c>
      <c r="G235" s="1" t="n">
        <v>3.17</v>
      </c>
      <c r="H235" s="1" t="n">
        <f aca="false">G235-G234</f>
        <v>1.31</v>
      </c>
      <c r="I235" s="1" t="n">
        <v>56</v>
      </c>
      <c r="J235" s="1" t="n">
        <f aca="false">I235-I234</f>
        <v>33</v>
      </c>
    </row>
    <row r="236" customFormat="false" ht="13.8" hidden="false" customHeight="false" outlineLevel="0" collapsed="false">
      <c r="A236" s="1" t="n">
        <v>235</v>
      </c>
      <c r="B236" s="30" t="n">
        <v>44065</v>
      </c>
      <c r="C236" s="1" t="n">
        <v>5088</v>
      </c>
      <c r="D236" s="1" t="n">
        <f aca="false">C236-C235</f>
        <v>692</v>
      </c>
      <c r="E236" s="1" t="n">
        <v>213.8</v>
      </c>
      <c r="F236" s="1" t="n">
        <f aca="false">E236-E235</f>
        <v>7.40000000000001</v>
      </c>
      <c r="G236" s="1" t="n">
        <v>3.66</v>
      </c>
      <c r="H236" s="1" t="n">
        <f aca="false">G236-G235</f>
        <v>0.49</v>
      </c>
      <c r="I236" s="1" t="n">
        <v>52</v>
      </c>
      <c r="J236" s="1" t="n">
        <f aca="false">I236-I235</f>
        <v>-4</v>
      </c>
    </row>
    <row r="237" customFormat="false" ht="13.8" hidden="false" customHeight="false" outlineLevel="0" collapsed="false">
      <c r="A237" s="1" t="n">
        <v>236</v>
      </c>
      <c r="B237" s="30" t="n">
        <v>44066</v>
      </c>
      <c r="C237" s="1" t="n">
        <v>20495</v>
      </c>
      <c r="D237" s="1" t="n">
        <f aca="false">C237-C236</f>
        <v>15407</v>
      </c>
      <c r="E237" s="1" t="n">
        <v>843.3</v>
      </c>
      <c r="F237" s="1" t="n">
        <f aca="false">E237-E236</f>
        <v>629.5</v>
      </c>
      <c r="G237" s="1" t="n">
        <v>14.76</v>
      </c>
      <c r="H237" s="1" t="n">
        <f aca="false">G237-G236</f>
        <v>11.1</v>
      </c>
      <c r="I237" s="1" t="n">
        <v>197</v>
      </c>
      <c r="J237" s="1" t="n">
        <f aca="false">I237-I236</f>
        <v>145</v>
      </c>
    </row>
    <row r="238" customFormat="false" ht="13.8" hidden="false" customHeight="false" outlineLevel="0" collapsed="false">
      <c r="A238" s="1" t="n">
        <v>237</v>
      </c>
      <c r="B238" s="30" t="n">
        <v>44067</v>
      </c>
      <c r="C238" s="1" t="n">
        <v>1411</v>
      </c>
      <c r="D238" s="1" t="n">
        <f aca="false">C238-C237</f>
        <v>-19084</v>
      </c>
      <c r="E238" s="1" t="n">
        <v>60.8</v>
      </c>
      <c r="F238" s="1" t="n">
        <f aca="false">E238-E237</f>
        <v>-782.5</v>
      </c>
      <c r="G238" s="1" t="n">
        <v>1.02</v>
      </c>
      <c r="H238" s="1" t="n">
        <f aca="false">G238-G237</f>
        <v>-13.74</v>
      </c>
      <c r="I238" s="1" t="n">
        <v>15</v>
      </c>
      <c r="J238" s="1" t="n">
        <f aca="false">I238-I237</f>
        <v>-182</v>
      </c>
    </row>
    <row r="239" customFormat="false" ht="13.8" hidden="false" customHeight="false" outlineLevel="0" collapsed="false">
      <c r="A239" s="1" t="n">
        <v>238</v>
      </c>
      <c r="B239" s="30" t="n">
        <v>44068</v>
      </c>
      <c r="C239" s="1" t="n">
        <v>2731</v>
      </c>
      <c r="D239" s="1" t="n">
        <f aca="false">C239-C238</f>
        <v>1320</v>
      </c>
      <c r="E239" s="1" t="n">
        <v>125.7</v>
      </c>
      <c r="F239" s="1" t="n">
        <f aca="false">E239-E238</f>
        <v>64.9</v>
      </c>
      <c r="G239" s="1" t="n">
        <v>1.97</v>
      </c>
      <c r="H239" s="1" t="n">
        <f aca="false">G239-G238</f>
        <v>0.95</v>
      </c>
      <c r="I239" s="1" t="n">
        <v>34</v>
      </c>
      <c r="J239" s="1" t="n">
        <f aca="false">I239-I238</f>
        <v>19</v>
      </c>
    </row>
    <row r="240" customFormat="false" ht="13.8" hidden="false" customHeight="false" outlineLevel="0" collapsed="false">
      <c r="A240" s="1" t="n">
        <v>239</v>
      </c>
      <c r="B240" s="30" t="n">
        <v>44069</v>
      </c>
      <c r="C240" s="1" t="n">
        <v>1775</v>
      </c>
      <c r="D240" s="1" t="n">
        <f aca="false">C240-C239</f>
        <v>-956</v>
      </c>
      <c r="E240" s="1" t="n">
        <v>78.9</v>
      </c>
      <c r="F240" s="1" t="n">
        <f aca="false">E240-E239</f>
        <v>-46.8</v>
      </c>
      <c r="G240" s="1" t="n">
        <v>1.28</v>
      </c>
      <c r="H240" s="1" t="n">
        <f aca="false">G240-G239</f>
        <v>-0.69</v>
      </c>
      <c r="I240" s="1" t="n">
        <v>20</v>
      </c>
      <c r="J240" s="1" t="n">
        <f aca="false">I240-I239</f>
        <v>-14</v>
      </c>
    </row>
    <row r="241" customFormat="false" ht="13.8" hidden="false" customHeight="false" outlineLevel="0" collapsed="false">
      <c r="A241" s="1" t="n">
        <v>240</v>
      </c>
      <c r="B241" s="30" t="n">
        <v>44070</v>
      </c>
      <c r="C241" s="1" t="n">
        <v>1064</v>
      </c>
      <c r="D241" s="1" t="n">
        <f aca="false">C241-C240</f>
        <v>-711</v>
      </c>
      <c r="E241" s="1" t="n">
        <v>45.6</v>
      </c>
      <c r="F241" s="1" t="n">
        <f aca="false">E241-E240</f>
        <v>-33.3</v>
      </c>
      <c r="G241" s="1" t="n">
        <v>0.77</v>
      </c>
      <c r="H241" s="1" t="n">
        <f aca="false">G241-G240</f>
        <v>-0.51</v>
      </c>
      <c r="I241" s="1" t="n">
        <v>11</v>
      </c>
      <c r="J241" s="1" t="n">
        <f aca="false">I241-I240</f>
        <v>-9</v>
      </c>
    </row>
    <row r="242" customFormat="false" ht="13.8" hidden="false" customHeight="false" outlineLevel="0" collapsed="false">
      <c r="A242" s="1" t="n">
        <v>241</v>
      </c>
      <c r="B242" s="30" t="n">
        <v>44071</v>
      </c>
      <c r="C242" s="1" t="n">
        <v>2783</v>
      </c>
      <c r="D242" s="1" t="n">
        <f aca="false">C242-C241</f>
        <v>1719</v>
      </c>
      <c r="E242" s="1" t="n">
        <v>119.6</v>
      </c>
      <c r="F242" s="1" t="n">
        <f aca="false">E242-E241</f>
        <v>74</v>
      </c>
      <c r="G242" s="1" t="n">
        <v>2</v>
      </c>
      <c r="H242" s="1" t="n">
        <f aca="false">G242-G241</f>
        <v>1.23</v>
      </c>
      <c r="I242" s="1" t="n">
        <v>30</v>
      </c>
      <c r="J242" s="1" t="n">
        <f aca="false">I242-I241</f>
        <v>19</v>
      </c>
    </row>
    <row r="243" customFormat="false" ht="13.8" hidden="false" customHeight="false" outlineLevel="0" collapsed="false">
      <c r="A243" s="1" t="n">
        <v>242</v>
      </c>
      <c r="B243" s="30" t="n">
        <v>44072</v>
      </c>
      <c r="C243" s="1" t="n">
        <v>20296</v>
      </c>
      <c r="D243" s="1" t="n">
        <f aca="false">C243-C242</f>
        <v>17513</v>
      </c>
      <c r="E243" s="1" t="n">
        <v>888.2</v>
      </c>
      <c r="F243" s="1" t="n">
        <f aca="false">E243-E242</f>
        <v>768.6</v>
      </c>
      <c r="G243" s="1" t="n">
        <v>14.61</v>
      </c>
      <c r="H243" s="1" t="n">
        <f aca="false">G243-G242</f>
        <v>12.61</v>
      </c>
      <c r="I243" s="1" t="n">
        <v>229</v>
      </c>
      <c r="J243" s="1" t="n">
        <f aca="false">I243-I242</f>
        <v>199</v>
      </c>
    </row>
    <row r="244" customFormat="false" ht="13.8" hidden="false" customHeight="false" outlineLevel="0" collapsed="false">
      <c r="A244" s="1" t="n">
        <v>243</v>
      </c>
      <c r="B244" s="30" t="n">
        <v>44073</v>
      </c>
      <c r="C244" s="1" t="n">
        <v>3573</v>
      </c>
      <c r="D244" s="1" t="n">
        <f aca="false">C244-C243</f>
        <v>-16723</v>
      </c>
      <c r="E244" s="1" t="n">
        <v>150.3</v>
      </c>
      <c r="F244" s="1" t="n">
        <f aca="false">E244-E243</f>
        <v>-737.9</v>
      </c>
      <c r="G244" s="1" t="n">
        <v>2.57</v>
      </c>
      <c r="H244" s="1" t="n">
        <f aca="false">G244-G243</f>
        <v>-12.04</v>
      </c>
      <c r="I244" s="1" t="n">
        <v>37</v>
      </c>
      <c r="J244" s="1" t="n">
        <f aca="false">I244-I243</f>
        <v>-192</v>
      </c>
    </row>
    <row r="245" customFormat="false" ht="13.8" hidden="false" customHeight="false" outlineLevel="0" collapsed="false">
      <c r="A245" s="1" t="n">
        <v>244</v>
      </c>
      <c r="B245" s="30" t="n">
        <v>44074</v>
      </c>
      <c r="C245" s="1" t="n">
        <v>3582</v>
      </c>
      <c r="D245" s="1" t="n">
        <f aca="false">C245-C244</f>
        <v>9</v>
      </c>
      <c r="E245" s="1" t="n">
        <v>151</v>
      </c>
      <c r="F245" s="1" t="n">
        <f aca="false">E245-E244</f>
        <v>0.699999999999989</v>
      </c>
      <c r="G245" s="1" t="n">
        <v>2.58</v>
      </c>
      <c r="H245" s="1" t="n">
        <f aca="false">G245-G244</f>
        <v>0.0100000000000002</v>
      </c>
      <c r="I245" s="1" t="n">
        <v>36</v>
      </c>
      <c r="J245" s="1" t="n">
        <f aca="false">I245-I244</f>
        <v>-1</v>
      </c>
    </row>
    <row r="246" customFormat="false" ht="13.8" hidden="false" customHeight="false" outlineLevel="0" collapsed="false">
      <c r="A246" s="1" t="n">
        <v>245</v>
      </c>
      <c r="B246" s="30" t="n">
        <v>44075</v>
      </c>
      <c r="C246" s="1" t="n">
        <v>2361</v>
      </c>
      <c r="D246" s="1" t="n">
        <f aca="false">C246-C245</f>
        <v>-1221</v>
      </c>
      <c r="E246" s="1" t="n">
        <v>99.6</v>
      </c>
      <c r="F246" s="1" t="n">
        <f aca="false">E246-E245</f>
        <v>-51.4</v>
      </c>
      <c r="G246" s="1" t="n">
        <v>1.7</v>
      </c>
      <c r="H246" s="1" t="n">
        <f aca="false">G246-G245</f>
        <v>-0.88</v>
      </c>
      <c r="I246" s="1" t="n">
        <v>24</v>
      </c>
      <c r="J246" s="1" t="n">
        <f aca="false">I246-I245</f>
        <v>-12</v>
      </c>
      <c r="L246" s="1" t="s">
        <v>2</v>
      </c>
      <c r="M246" s="1" t="s">
        <v>179</v>
      </c>
      <c r="N246" s="1" t="s">
        <v>175</v>
      </c>
      <c r="O246" s="1" t="s">
        <v>177</v>
      </c>
    </row>
    <row r="247" customFormat="false" ht="13.8" hidden="false" customHeight="false" outlineLevel="0" collapsed="false">
      <c r="A247" s="1" t="n">
        <v>246</v>
      </c>
      <c r="B247" s="30" t="n">
        <v>44076</v>
      </c>
      <c r="C247" s="1" t="n">
        <v>1056</v>
      </c>
      <c r="D247" s="1" t="n">
        <f aca="false">C247-C246</f>
        <v>-1305</v>
      </c>
      <c r="E247" s="1" t="n">
        <v>46.8</v>
      </c>
      <c r="F247" s="1" t="n">
        <f aca="false">E247-E246</f>
        <v>-52.8</v>
      </c>
      <c r="G247" s="1" t="n">
        <v>0.76</v>
      </c>
      <c r="H247" s="1" t="n">
        <f aca="false">G247-G246</f>
        <v>-0.94</v>
      </c>
      <c r="I247" s="1" t="n">
        <v>12</v>
      </c>
      <c r="J247" s="1" t="n">
        <f aca="false">I247-I246</f>
        <v>-12</v>
      </c>
      <c r="K247" s="1" t="s">
        <v>8</v>
      </c>
      <c r="L247" s="1" t="n">
        <f aca="false">AVERAGE($C$246:$C$275)</f>
        <v>8955.1</v>
      </c>
      <c r="M247" s="1" t="n">
        <f aca="false">AVERAGE($E$246:$E$275)</f>
        <v>383.066666666667</v>
      </c>
      <c r="N247" s="1" t="n">
        <f aca="false">AVERAGE($G$246:$G$275)</f>
        <v>6.447</v>
      </c>
      <c r="O247" s="1" t="n">
        <f aca="false">AVERAGE($I$246:$I$275)</f>
        <v>95.1333333333333</v>
      </c>
    </row>
    <row r="248" customFormat="false" ht="13.8" hidden="false" customHeight="false" outlineLevel="0" collapsed="false">
      <c r="A248" s="1" t="n">
        <v>247</v>
      </c>
      <c r="B248" s="30" t="n">
        <v>44077</v>
      </c>
      <c r="C248" s="1" t="n">
        <v>4728</v>
      </c>
      <c r="D248" s="1" t="n">
        <f aca="false">C248-C247</f>
        <v>3672</v>
      </c>
      <c r="E248" s="1" t="n">
        <v>202.4</v>
      </c>
      <c r="F248" s="1" t="n">
        <f aca="false">E248-E247</f>
        <v>155.6</v>
      </c>
      <c r="G248" s="1" t="n">
        <v>3.4</v>
      </c>
      <c r="H248" s="1" t="n">
        <f aca="false">G248-G247</f>
        <v>2.64</v>
      </c>
      <c r="I248" s="1" t="n">
        <v>50</v>
      </c>
      <c r="J248" s="1" t="n">
        <f aca="false">I248-I247</f>
        <v>38</v>
      </c>
      <c r="K248" s="1" t="s">
        <v>10</v>
      </c>
      <c r="L248" s="1" t="n">
        <f aca="false">SQRT(VAR($C$246:$C$275)/COUNT($C$246:$C$275))</f>
        <v>1674.61724729639</v>
      </c>
      <c r="M248" s="1" t="n">
        <f aca="false">SQRT(VAR($E$246:$E$275)/COUNT($E$246:$E$275))</f>
        <v>73.61107821007</v>
      </c>
      <c r="N248" s="1" t="n">
        <f aca="false">SQRT(VAR($G$246:$G$275)/COUNT($G$246:$G$275))</f>
        <v>1.20556059836154</v>
      </c>
      <c r="O248" s="1" t="n">
        <f aca="false">SQRT(VAR($I$246:$I$275)/COUNT($I$246:$I$275))</f>
        <v>19.1534477154108</v>
      </c>
    </row>
    <row r="249" customFormat="false" ht="13.8" hidden="false" customHeight="false" outlineLevel="0" collapsed="false">
      <c r="A249" s="1" t="n">
        <v>248</v>
      </c>
      <c r="B249" s="30" t="n">
        <v>44078</v>
      </c>
      <c r="C249" s="1" t="n">
        <v>11826</v>
      </c>
      <c r="D249" s="1" t="n">
        <f aca="false">C249-C248</f>
        <v>7098</v>
      </c>
      <c r="E249" s="1" t="n">
        <v>490.8</v>
      </c>
      <c r="F249" s="1" t="n">
        <f aca="false">E249-E248</f>
        <v>288.4</v>
      </c>
      <c r="G249" s="1" t="n">
        <v>8.51</v>
      </c>
      <c r="H249" s="1" t="n">
        <f aca="false">G249-G248</f>
        <v>5.11</v>
      </c>
      <c r="I249" s="1" t="n">
        <v>118</v>
      </c>
      <c r="J249" s="1" t="n">
        <f aca="false">I249-I248</f>
        <v>68</v>
      </c>
      <c r="K249" s="1" t="s">
        <v>14</v>
      </c>
      <c r="L249" s="1" t="e">
        <f aca="false">MODE($C$246:$C$275)</f>
        <v>#VALUE!</v>
      </c>
      <c r="M249" s="1" t="e">
        <f aca="false">MODE($E$246:$E$275)</f>
        <v>#VALUE!</v>
      </c>
      <c r="N249" s="1" t="e">
        <f aca="false">MODE($G$246:$G$275)</f>
        <v>#VALUE!</v>
      </c>
      <c r="O249" s="1" t="e">
        <f aca="false">MODE($I$246:$I$275)</f>
        <v>#VALUE!</v>
      </c>
    </row>
    <row r="250" customFormat="false" ht="13.8" hidden="false" customHeight="false" outlineLevel="0" collapsed="false">
      <c r="A250" s="1" t="n">
        <v>249</v>
      </c>
      <c r="B250" s="30" t="n">
        <v>44079</v>
      </c>
      <c r="C250" s="1" t="n">
        <v>30395</v>
      </c>
      <c r="D250" s="1" t="n">
        <f aca="false">C250-C249</f>
        <v>18569</v>
      </c>
      <c r="E250" s="1" t="n">
        <v>1331.6</v>
      </c>
      <c r="F250" s="1" t="n">
        <f aca="false">E250-E249</f>
        <v>840.8</v>
      </c>
      <c r="G250" s="1" t="n">
        <v>21.88</v>
      </c>
      <c r="H250" s="1" t="n">
        <f aca="false">G250-G249</f>
        <v>13.37</v>
      </c>
      <c r="I250" s="1" t="n">
        <v>345</v>
      </c>
      <c r="J250" s="1" t="n">
        <f aca="false">I250-I249</f>
        <v>227</v>
      </c>
      <c r="K250" s="1" t="s">
        <v>12</v>
      </c>
      <c r="L250" s="1" t="n">
        <f aca="false">MEDIAN($C$246:$C$275)</f>
        <v>4935.5</v>
      </c>
      <c r="M250" s="1" t="n">
        <f aca="false">MEDIAN($E$246:$E$275)</f>
        <v>208.65</v>
      </c>
      <c r="N250" s="1" t="n">
        <f aca="false">MEDIAN($G$246:$G$275)</f>
        <v>3.555</v>
      </c>
      <c r="O250" s="1" t="n">
        <f aca="false">MEDIAN($I$246:$I$275)</f>
        <v>51.5</v>
      </c>
    </row>
    <row r="251" customFormat="false" ht="13.8" hidden="false" customHeight="false" outlineLevel="0" collapsed="false">
      <c r="A251" s="1" t="n">
        <v>250</v>
      </c>
      <c r="B251" s="30" t="n">
        <v>44080</v>
      </c>
      <c r="C251" s="1" t="n">
        <v>15540</v>
      </c>
      <c r="D251" s="1" t="n">
        <f aca="false">C251-C250</f>
        <v>-14855</v>
      </c>
      <c r="E251" s="1" t="n">
        <v>726.9</v>
      </c>
      <c r="F251" s="1" t="n">
        <f aca="false">E251-E250</f>
        <v>-604.7</v>
      </c>
      <c r="G251" s="1" t="n">
        <v>11.19</v>
      </c>
      <c r="H251" s="1" t="n">
        <f aca="false">G251-G250</f>
        <v>-10.69</v>
      </c>
      <c r="I251" s="1" t="n">
        <v>199</v>
      </c>
      <c r="J251" s="1" t="n">
        <f aca="false">I251-I250</f>
        <v>-146</v>
      </c>
      <c r="K251" s="1" t="s">
        <v>180</v>
      </c>
      <c r="L251" s="1" t="n">
        <f aca="false">QUARTILE($C$246:$C$275, 1)</f>
        <v>3106</v>
      </c>
      <c r="M251" s="1" t="n">
        <f aca="false">QUARTILE($E$246:$E$275, 1)</f>
        <v>129.15</v>
      </c>
      <c r="N251" s="1" t="n">
        <f aca="false">QUARTILE($G$246:$G$275, 1)</f>
        <v>2.2325</v>
      </c>
      <c r="O251" s="1" t="n">
        <f aca="false">QUARTILE($I$246:$I$275, 1)</f>
        <v>30.5</v>
      </c>
    </row>
    <row r="252" customFormat="false" ht="13.8" hidden="false" customHeight="false" outlineLevel="0" collapsed="false">
      <c r="A252" s="1" t="n">
        <v>251</v>
      </c>
      <c r="B252" s="30" t="n">
        <v>44081</v>
      </c>
      <c r="C252" s="1" t="n">
        <v>2287</v>
      </c>
      <c r="D252" s="1" t="n">
        <f aca="false">C252-C251</f>
        <v>-13253</v>
      </c>
      <c r="E252" s="1" t="n">
        <v>95.8</v>
      </c>
      <c r="F252" s="1" t="n">
        <f aca="false">E252-E251</f>
        <v>-631.1</v>
      </c>
      <c r="G252" s="1" t="n">
        <v>1.65</v>
      </c>
      <c r="H252" s="1" t="n">
        <f aca="false">G252-G251</f>
        <v>-9.54</v>
      </c>
      <c r="I252" s="1" t="n">
        <v>23</v>
      </c>
      <c r="J252" s="1" t="n">
        <f aca="false">I252-I251</f>
        <v>-176</v>
      </c>
      <c r="K252" s="1" t="s">
        <v>181</v>
      </c>
      <c r="L252" s="1" t="n">
        <f aca="false">QUARTILE($C$246:$C$275, 3)</f>
        <v>11552</v>
      </c>
      <c r="M252" s="1" t="n">
        <f aca="false">QUARTILE($E$246:$E$275, 3)</f>
        <v>480.475</v>
      </c>
      <c r="N252" s="1" t="n">
        <f aca="false">QUARTILE($G$246:$G$275, 3)</f>
        <v>8.315</v>
      </c>
      <c r="O252" s="1" t="n">
        <f aca="false">QUARTILE($I$246:$I$275, 3)</f>
        <v>115.75</v>
      </c>
    </row>
    <row r="253" customFormat="false" ht="13.8" hidden="false" customHeight="false" outlineLevel="0" collapsed="false">
      <c r="A253" s="1" t="n">
        <v>252</v>
      </c>
      <c r="B253" s="30" t="n">
        <v>44082</v>
      </c>
      <c r="C253" s="1" t="n">
        <v>1256</v>
      </c>
      <c r="D253" s="1" t="n">
        <f aca="false">C253-C252</f>
        <v>-1031</v>
      </c>
      <c r="E253" s="1" t="n">
        <v>63.1</v>
      </c>
      <c r="F253" s="1" t="n">
        <f aca="false">E253-E252</f>
        <v>-32.7</v>
      </c>
      <c r="G253" s="1" t="n">
        <v>0.9</v>
      </c>
      <c r="H253" s="1" t="n">
        <f aca="false">G253-G252</f>
        <v>-0.75</v>
      </c>
      <c r="I253" s="1" t="n">
        <v>18</v>
      </c>
      <c r="J253" s="1" t="n">
        <f aca="false">I253-I252</f>
        <v>-5</v>
      </c>
      <c r="K253" s="1" t="s">
        <v>182</v>
      </c>
      <c r="L253" s="1" t="n">
        <f aca="false">VAR($C$246:$C$275)</f>
        <v>84130287.7482759</v>
      </c>
      <c r="M253" s="1" t="n">
        <f aca="false">VAR($E$246:$E$275)</f>
        <v>162557.725057471</v>
      </c>
      <c r="N253" s="1" t="n">
        <f aca="false">VAR($G$246:$G$275)</f>
        <v>43.6012906896552</v>
      </c>
      <c r="O253" s="1" t="n">
        <f aca="false">VAR($I$246:$I$275)</f>
        <v>11005.6367816092</v>
      </c>
    </row>
    <row r="254" customFormat="false" ht="13.8" hidden="false" customHeight="false" outlineLevel="0" collapsed="false">
      <c r="A254" s="1" t="n">
        <v>253</v>
      </c>
      <c r="B254" s="30" t="n">
        <v>44083</v>
      </c>
      <c r="C254" s="1" t="n">
        <v>7020</v>
      </c>
      <c r="D254" s="1" t="n">
        <f aca="false">C254-C253</f>
        <v>5764</v>
      </c>
      <c r="E254" s="1" t="n">
        <v>305.6</v>
      </c>
      <c r="F254" s="1" t="n">
        <f aca="false">E254-E253</f>
        <v>242.5</v>
      </c>
      <c r="G254" s="1" t="n">
        <v>5.05</v>
      </c>
      <c r="H254" s="1" t="n">
        <f aca="false">G254-G253</f>
        <v>4.15</v>
      </c>
      <c r="I254" s="1" t="n">
        <v>78</v>
      </c>
      <c r="J254" s="1" t="n">
        <f aca="false">I254-I253</f>
        <v>60</v>
      </c>
      <c r="K254" s="1" t="s">
        <v>16</v>
      </c>
      <c r="L254" s="1" t="n">
        <f aca="false">STDEV($C$246:$C$275)</f>
        <v>9172.25641531438</v>
      </c>
      <c r="M254" s="1" t="n">
        <f aca="false">STDEV($E$246:$E$275)</f>
        <v>403.184480179324</v>
      </c>
      <c r="N254" s="1" t="n">
        <f aca="false">STDEV($G$246:$G$275)</f>
        <v>6.60312734162042</v>
      </c>
      <c r="O254" s="1" t="n">
        <f aca="false">STDEV($I$246:$I$275)</f>
        <v>104.907753677263</v>
      </c>
    </row>
    <row r="255" customFormat="false" ht="13.8" hidden="false" customHeight="false" outlineLevel="0" collapsed="false">
      <c r="A255" s="1" t="n">
        <v>254</v>
      </c>
      <c r="B255" s="30" t="n">
        <v>44084</v>
      </c>
      <c r="C255" s="1" t="n">
        <v>14595</v>
      </c>
      <c r="D255" s="1" t="n">
        <f aca="false">C255-C254</f>
        <v>7575</v>
      </c>
      <c r="E255" s="1" t="n">
        <v>608.8</v>
      </c>
      <c r="F255" s="1" t="n">
        <f aca="false">E255-E254</f>
        <v>303.2</v>
      </c>
      <c r="G255" s="1" t="n">
        <v>10.51</v>
      </c>
      <c r="H255" s="1" t="n">
        <f aca="false">G255-G254</f>
        <v>5.46</v>
      </c>
      <c r="I255" s="1" t="n">
        <v>146</v>
      </c>
      <c r="J255" s="1" t="n">
        <f aca="false">I255-I254</f>
        <v>68</v>
      </c>
      <c r="K255" s="1" t="s">
        <v>20</v>
      </c>
      <c r="L255" s="1" t="n">
        <f aca="false">KURT($C$246:$C$275)</f>
        <v>5.50248892772872</v>
      </c>
      <c r="M255" s="1" t="n">
        <f aca="false">KURT($E$246:$E$275)</f>
        <v>6.09533547488029</v>
      </c>
      <c r="N255" s="1" t="n">
        <f aca="false">KURT($G$246:$G$275)</f>
        <v>5.5013487401933</v>
      </c>
      <c r="O255" s="1" t="n">
        <f aca="false">KURT($I$246:$I$275)</f>
        <v>6.8638203278055</v>
      </c>
    </row>
    <row r="256" customFormat="false" ht="13.8" hidden="false" customHeight="false" outlineLevel="0" collapsed="false">
      <c r="A256" s="1" t="n">
        <v>255</v>
      </c>
      <c r="B256" s="30" t="n">
        <v>44085</v>
      </c>
      <c r="C256" s="1" t="n">
        <v>13589</v>
      </c>
      <c r="D256" s="1" t="n">
        <f aca="false">C256-C255</f>
        <v>-1006</v>
      </c>
      <c r="E256" s="1" t="n">
        <v>567</v>
      </c>
      <c r="F256" s="1" t="n">
        <f aca="false">E256-E255</f>
        <v>-41.8</v>
      </c>
      <c r="G256" s="1" t="n">
        <v>9.78</v>
      </c>
      <c r="H256" s="1" t="n">
        <f aca="false">G256-G255</f>
        <v>-0.73</v>
      </c>
      <c r="I256" s="1" t="n">
        <v>137</v>
      </c>
      <c r="J256" s="1" t="n">
        <f aca="false">I256-I255</f>
        <v>-9</v>
      </c>
      <c r="K256" s="1" t="s">
        <v>22</v>
      </c>
      <c r="L256" s="1" t="n">
        <f aca="false">SKEW($C$246:$C$275)</f>
        <v>2.14709346907129</v>
      </c>
      <c r="M256" s="1" t="n">
        <f aca="false">SKEW($E$246:$E$275)</f>
        <v>2.26875249539321</v>
      </c>
      <c r="N256" s="1" t="n">
        <f aca="false">SKEW($G$246:$G$275)</f>
        <v>2.14675898620331</v>
      </c>
      <c r="O256" s="1" t="n">
        <f aca="false">SKEW($I$246:$I$275)</f>
        <v>2.43043296103061</v>
      </c>
    </row>
    <row r="257" customFormat="false" ht="13.8" hidden="false" customHeight="false" outlineLevel="0" collapsed="false">
      <c r="A257" s="1" t="n">
        <v>256</v>
      </c>
      <c r="B257" s="30" t="n">
        <v>44086</v>
      </c>
      <c r="C257" s="1" t="n">
        <v>42145</v>
      </c>
      <c r="D257" s="1" t="n">
        <f aca="false">C257-C256</f>
        <v>28556</v>
      </c>
      <c r="E257" s="1" t="n">
        <v>1870.9</v>
      </c>
      <c r="F257" s="1" t="n">
        <f aca="false">E257-E256</f>
        <v>1303.9</v>
      </c>
      <c r="G257" s="1" t="n">
        <v>30.34</v>
      </c>
      <c r="H257" s="1" t="n">
        <f aca="false">G257-G256</f>
        <v>20.56</v>
      </c>
      <c r="I257" s="1" t="n">
        <v>491</v>
      </c>
      <c r="J257" s="1" t="n">
        <f aca="false">I257-I256</f>
        <v>354</v>
      </c>
      <c r="K257" s="1" t="s">
        <v>24</v>
      </c>
      <c r="L257" s="1" t="n">
        <f aca="false">MAX($C$246:$C$275)-MIN($C$246:$C$275)</f>
        <v>42145</v>
      </c>
      <c r="M257" s="1" t="n">
        <f aca="false">MAX($E$246:$E$275)-MIN($E$246:$E$275)</f>
        <v>1870.9</v>
      </c>
      <c r="N257" s="1" t="n">
        <f aca="false">MAX($G$246:$G$275)-MIN($G$246:$G$275)</f>
        <v>30.34</v>
      </c>
      <c r="O257" s="1" t="n">
        <f aca="false">MAX($I$246:$I$275)-MIN($I$246:$I$275)</f>
        <v>491</v>
      </c>
    </row>
    <row r="258" customFormat="false" ht="13.8" hidden="false" customHeight="false" outlineLevel="0" collapsed="false">
      <c r="A258" s="1" t="n">
        <v>257</v>
      </c>
      <c r="B258" s="30" t="n">
        <v>44087</v>
      </c>
      <c r="C258" s="1" t="n">
        <v>4417</v>
      </c>
      <c r="D258" s="1" t="n">
        <f aca="false">C258-C257</f>
        <v>-37728</v>
      </c>
      <c r="E258" s="1" t="n">
        <v>186.9</v>
      </c>
      <c r="F258" s="1" t="n">
        <f aca="false">E258-E257</f>
        <v>-1684</v>
      </c>
      <c r="G258" s="1" t="n">
        <v>3.18</v>
      </c>
      <c r="H258" s="1" t="n">
        <f aca="false">G258-G257</f>
        <v>-27.16</v>
      </c>
      <c r="I258" s="1" t="n">
        <v>46</v>
      </c>
      <c r="J258" s="1" t="n">
        <f aca="false">I258-I257</f>
        <v>-445</v>
      </c>
      <c r="K258" s="1" t="s">
        <v>26</v>
      </c>
      <c r="L258" s="1" t="n">
        <f aca="false">MIN($C$246:$C$275)</f>
        <v>0</v>
      </c>
      <c r="M258" s="1" t="n">
        <f aca="false">MIN($E$246:$E$275)</f>
        <v>0</v>
      </c>
      <c r="N258" s="1" t="n">
        <f aca="false">MIN($G$246:$G$275)</f>
        <v>0</v>
      </c>
      <c r="O258" s="1" t="n">
        <f aca="false">MIN($I$246:$I$275)</f>
        <v>0</v>
      </c>
    </row>
    <row r="259" customFormat="false" ht="13.8" hidden="false" customHeight="false" outlineLevel="0" collapsed="false">
      <c r="A259" s="1" t="n">
        <v>258</v>
      </c>
      <c r="B259" s="30" t="n">
        <v>44088</v>
      </c>
      <c r="C259" s="1" t="n">
        <v>3102</v>
      </c>
      <c r="D259" s="1" t="n">
        <f aca="false">C259-C258</f>
        <v>-1315</v>
      </c>
      <c r="E259" s="1" t="n">
        <v>128.8</v>
      </c>
      <c r="F259" s="1" t="n">
        <f aca="false">E259-E258</f>
        <v>-58.1</v>
      </c>
      <c r="G259" s="1" t="n">
        <v>2.23</v>
      </c>
      <c r="H259" s="1" t="n">
        <f aca="false">G259-G258</f>
        <v>-0.95</v>
      </c>
      <c r="I259" s="1" t="n">
        <v>30</v>
      </c>
      <c r="J259" s="1" t="n">
        <f aca="false">I259-I258</f>
        <v>-16</v>
      </c>
      <c r="K259" s="1" t="s">
        <v>28</v>
      </c>
      <c r="L259" s="1" t="n">
        <f aca="false">MAX($C$246:$C$275)</f>
        <v>42145</v>
      </c>
      <c r="M259" s="1" t="n">
        <f aca="false">MAX($E$246:$E$275)</f>
        <v>1870.9</v>
      </c>
      <c r="N259" s="1" t="n">
        <f aca="false">MAX($G$246:$G$275)</f>
        <v>30.34</v>
      </c>
      <c r="O259" s="1" t="n">
        <f aca="false">MAX($I$246:$I$275)</f>
        <v>491</v>
      </c>
    </row>
    <row r="260" customFormat="false" ht="13.8" hidden="false" customHeight="false" outlineLevel="0" collapsed="false">
      <c r="A260" s="1" t="n">
        <v>259</v>
      </c>
      <c r="B260" s="30" t="n">
        <v>44089</v>
      </c>
      <c r="C260" s="1" t="n">
        <v>3845</v>
      </c>
      <c r="D260" s="1" t="n">
        <f aca="false">C260-C259</f>
        <v>743</v>
      </c>
      <c r="E260" s="1" t="n">
        <v>163.7</v>
      </c>
      <c r="F260" s="1" t="n">
        <f aca="false">E260-E259</f>
        <v>34.9</v>
      </c>
      <c r="G260" s="1" t="n">
        <v>2.77</v>
      </c>
      <c r="H260" s="1" t="n">
        <f aca="false">G260-G259</f>
        <v>0.54</v>
      </c>
      <c r="I260" s="1" t="n">
        <v>40</v>
      </c>
      <c r="J260" s="1" t="n">
        <f aca="false">I260-I259</f>
        <v>10</v>
      </c>
      <c r="K260" s="1" t="s">
        <v>30</v>
      </c>
      <c r="L260" s="1" t="n">
        <f aca="false">SUM($C$246:$C$275)</f>
        <v>268653</v>
      </c>
      <c r="M260" s="1" t="n">
        <f aca="false">SUM($E$246:$E$275)</f>
        <v>11492</v>
      </c>
      <c r="N260" s="1" t="n">
        <f aca="false">SUM($G$246:$G$275)</f>
        <v>193.41</v>
      </c>
      <c r="O260" s="1" t="n">
        <f aca="false">SUM($I$246:$I$275)</f>
        <v>2854</v>
      </c>
    </row>
    <row r="261" customFormat="false" ht="13.8" hidden="false" customHeight="false" outlineLevel="0" collapsed="false">
      <c r="A261" s="1" t="n">
        <v>260</v>
      </c>
      <c r="B261" s="30" t="n">
        <v>44090</v>
      </c>
      <c r="C261" s="1" t="n">
        <v>4914</v>
      </c>
      <c r="D261" s="1" t="n">
        <f aca="false">C261-C260</f>
        <v>1069</v>
      </c>
      <c r="E261" s="1" t="n">
        <v>205.3</v>
      </c>
      <c r="F261" s="1" t="n">
        <f aca="false">E261-E260</f>
        <v>41.6</v>
      </c>
      <c r="G261" s="1" t="n">
        <v>3.54</v>
      </c>
      <c r="H261" s="1" t="n">
        <f aca="false">G261-G260</f>
        <v>0.77</v>
      </c>
      <c r="I261" s="1" t="n">
        <v>49</v>
      </c>
      <c r="J261" s="1" t="n">
        <f aca="false">I261-I260</f>
        <v>9</v>
      </c>
      <c r="K261" s="1" t="s">
        <v>32</v>
      </c>
      <c r="L261" s="1" t="n">
        <f aca="false">COUNT($C$246:$C$275)</f>
        <v>30</v>
      </c>
      <c r="M261" s="1" t="n">
        <f aca="false">COUNT($E$246:$E$275)</f>
        <v>30</v>
      </c>
      <c r="N261" s="1" t="n">
        <f aca="false">COUNT($G$246:$G$275)</f>
        <v>30</v>
      </c>
      <c r="O261" s="1" t="n">
        <f aca="false">COUNT($I$246:$I$275)</f>
        <v>30</v>
      </c>
    </row>
    <row r="262" customFormat="false" ht="13.8" hidden="false" customHeight="false" outlineLevel="0" collapsed="false">
      <c r="A262" s="1" t="n">
        <v>261</v>
      </c>
      <c r="B262" s="30" t="n">
        <v>44091</v>
      </c>
      <c r="C262" s="1" t="n">
        <v>10067</v>
      </c>
      <c r="D262" s="1" t="n">
        <f aca="false">C262-C261</f>
        <v>5153</v>
      </c>
      <c r="E262" s="1" t="n">
        <v>416.2</v>
      </c>
      <c r="F262" s="1" t="n">
        <f aca="false">E262-E261</f>
        <v>210.9</v>
      </c>
      <c r="G262" s="1" t="n">
        <v>7.25</v>
      </c>
      <c r="H262" s="1" t="n">
        <f aca="false">G262-G261</f>
        <v>3.71</v>
      </c>
      <c r="I262" s="1" t="n">
        <v>98</v>
      </c>
      <c r="J262" s="1" t="n">
        <f aca="false">I262-I261</f>
        <v>49</v>
      </c>
    </row>
    <row r="263" customFormat="false" ht="13.8" hidden="false" customHeight="false" outlineLevel="0" collapsed="false">
      <c r="A263" s="1" t="n">
        <v>262</v>
      </c>
      <c r="B263" s="30" t="n">
        <v>44092</v>
      </c>
      <c r="C263" s="1" t="n">
        <v>9987</v>
      </c>
      <c r="D263" s="1" t="n">
        <f aca="false">C263-C262</f>
        <v>-80</v>
      </c>
      <c r="E263" s="1" t="n">
        <v>410.2</v>
      </c>
      <c r="F263" s="1" t="n">
        <f aca="false">E263-E262</f>
        <v>-6</v>
      </c>
      <c r="G263" s="1" t="n">
        <v>7.19</v>
      </c>
      <c r="H263" s="1" t="n">
        <f aca="false">G263-G262</f>
        <v>-0.0599999999999996</v>
      </c>
      <c r="I263" s="1" t="n">
        <v>95</v>
      </c>
      <c r="J263" s="1" t="n">
        <f aca="false">I263-I262</f>
        <v>-3</v>
      </c>
    </row>
    <row r="264" customFormat="false" ht="13.8" hidden="false" customHeight="false" outlineLevel="0" collapsed="false">
      <c r="A264" s="1" t="n">
        <v>263</v>
      </c>
      <c r="B264" s="30" t="n">
        <v>44093</v>
      </c>
      <c r="C264" s="1" t="n">
        <v>20562</v>
      </c>
      <c r="D264" s="1" t="n">
        <f aca="false">C264-C263</f>
        <v>10575</v>
      </c>
      <c r="E264" s="1" t="n">
        <v>867.1</v>
      </c>
      <c r="F264" s="1" t="n">
        <f aca="false">E264-E263</f>
        <v>456.9</v>
      </c>
      <c r="G264" s="1" t="n">
        <v>14.8</v>
      </c>
      <c r="H264" s="1" t="n">
        <f aca="false">G264-G263</f>
        <v>7.61</v>
      </c>
      <c r="I264" s="1" t="n">
        <v>213</v>
      </c>
      <c r="J264" s="1" t="n">
        <f aca="false">I264-I263</f>
        <v>118</v>
      </c>
    </row>
    <row r="265" customFormat="false" ht="13.8" hidden="false" customHeight="false" outlineLevel="0" collapsed="false">
      <c r="A265" s="1" t="n">
        <v>264</v>
      </c>
      <c r="B265" s="30" t="n">
        <v>44094</v>
      </c>
      <c r="C265" s="1" t="n">
        <v>10730</v>
      </c>
      <c r="D265" s="1" t="n">
        <f aca="false">C265-C264</f>
        <v>-9832</v>
      </c>
      <c r="E265" s="1" t="n">
        <v>449.5</v>
      </c>
      <c r="F265" s="1" t="n">
        <f aca="false">E265-E264</f>
        <v>-417.6</v>
      </c>
      <c r="G265" s="1" t="n">
        <v>7.73</v>
      </c>
      <c r="H265" s="1" t="n">
        <f aca="false">G265-G264</f>
        <v>-7.07</v>
      </c>
      <c r="I265" s="1" t="n">
        <v>109</v>
      </c>
      <c r="J265" s="1" t="n">
        <f aca="false">I265-I264</f>
        <v>-104</v>
      </c>
    </row>
    <row r="266" customFormat="false" ht="13.8" hidden="false" customHeight="false" outlineLevel="0" collapsed="false">
      <c r="A266" s="1" t="n">
        <v>265</v>
      </c>
      <c r="B266" s="30" t="n">
        <v>44095</v>
      </c>
      <c r="C266" s="1" t="n">
        <v>8680</v>
      </c>
      <c r="D266" s="1" t="n">
        <f aca="false">C266-C265</f>
        <v>-2050</v>
      </c>
      <c r="E266" s="1" t="n">
        <v>357.9</v>
      </c>
      <c r="F266" s="1" t="n">
        <f aca="false">E266-E265</f>
        <v>-91.6</v>
      </c>
      <c r="G266" s="1" t="n">
        <v>6.25</v>
      </c>
      <c r="H266" s="1" t="n">
        <f aca="false">G266-G265</f>
        <v>-1.48</v>
      </c>
      <c r="I266" s="1" t="n">
        <v>84</v>
      </c>
      <c r="J266" s="1" t="n">
        <f aca="false">I266-I265</f>
        <v>-25</v>
      </c>
    </row>
    <row r="267" customFormat="false" ht="13.8" hidden="false" customHeight="false" outlineLevel="0" collapsed="false">
      <c r="A267" s="1" t="n">
        <v>266</v>
      </c>
      <c r="B267" s="30" t="n">
        <v>44096</v>
      </c>
      <c r="C267" s="1" t="n">
        <v>0</v>
      </c>
      <c r="D267" s="1" t="n">
        <f aca="false">C267-C266</f>
        <v>-8680</v>
      </c>
      <c r="E267" s="1" t="n">
        <v>0</v>
      </c>
      <c r="F267" s="1" t="n">
        <f aca="false">E267-E266</f>
        <v>-357.9</v>
      </c>
      <c r="G267" s="1" t="n">
        <v>0</v>
      </c>
      <c r="H267" s="1" t="n">
        <f aca="false">G267-G266</f>
        <v>-6.25</v>
      </c>
      <c r="I267" s="1" t="n">
        <v>0</v>
      </c>
      <c r="J267" s="1" t="n">
        <f aca="false">I267-I266</f>
        <v>-84</v>
      </c>
    </row>
    <row r="268" customFormat="false" ht="13.8" hidden="false" customHeight="false" outlineLevel="0" collapsed="false">
      <c r="A268" s="1" t="n">
        <v>267</v>
      </c>
      <c r="B268" s="30" t="n">
        <v>44097</v>
      </c>
      <c r="C268" s="1" t="n">
        <v>3118</v>
      </c>
      <c r="D268" s="1" t="n">
        <f aca="false">C268-C267</f>
        <v>3118</v>
      </c>
      <c r="E268" s="1" t="n">
        <v>127.7</v>
      </c>
      <c r="F268" s="1" t="n">
        <f aca="false">E268-E267</f>
        <v>127.7</v>
      </c>
      <c r="G268" s="1" t="n">
        <v>2.24</v>
      </c>
      <c r="H268" s="1" t="n">
        <f aca="false">G268-G267</f>
        <v>2.24</v>
      </c>
      <c r="I268" s="1" t="n">
        <v>29</v>
      </c>
      <c r="J268" s="1" t="n">
        <f aca="false">I268-I267</f>
        <v>29</v>
      </c>
    </row>
    <row r="269" customFormat="false" ht="13.8" hidden="false" customHeight="false" outlineLevel="0" collapsed="false">
      <c r="A269" s="1" t="n">
        <v>268</v>
      </c>
      <c r="B269" s="30" t="n">
        <v>44098</v>
      </c>
      <c r="C269" s="1" t="n">
        <v>9903</v>
      </c>
      <c r="D269" s="1" t="n">
        <f aca="false">C269-C268</f>
        <v>6785</v>
      </c>
      <c r="E269" s="1" t="n">
        <v>403.6</v>
      </c>
      <c r="F269" s="1" t="n">
        <f aca="false">E269-E268</f>
        <v>275.9</v>
      </c>
      <c r="G269" s="1" t="n">
        <v>7.13</v>
      </c>
      <c r="H269" s="1" t="n">
        <f aca="false">G269-G268</f>
        <v>4.89</v>
      </c>
      <c r="I269" s="1" t="n">
        <v>92</v>
      </c>
      <c r="J269" s="1" t="n">
        <f aca="false">I269-I268</f>
        <v>63</v>
      </c>
    </row>
    <row r="270" customFormat="false" ht="13.8" hidden="false" customHeight="false" outlineLevel="0" collapsed="false">
      <c r="A270" s="1" t="n">
        <v>269</v>
      </c>
      <c r="B270" s="30" t="n">
        <v>44099</v>
      </c>
      <c r="C270" s="1" t="n">
        <v>14899</v>
      </c>
      <c r="D270" s="1" t="n">
        <f aca="false">C270-C269</f>
        <v>4996</v>
      </c>
      <c r="E270" s="1" t="n">
        <v>610.8</v>
      </c>
      <c r="F270" s="1" t="n">
        <f aca="false">E270-E269</f>
        <v>207.2</v>
      </c>
      <c r="G270" s="1" t="n">
        <v>10.73</v>
      </c>
      <c r="H270" s="1" t="n">
        <f aca="false">G270-G269</f>
        <v>3.6</v>
      </c>
      <c r="I270" s="1" t="n">
        <v>141</v>
      </c>
      <c r="J270" s="1" t="n">
        <f aca="false">I270-I269</f>
        <v>49</v>
      </c>
    </row>
    <row r="271" customFormat="false" ht="13.8" hidden="false" customHeight="false" outlineLevel="0" collapsed="false">
      <c r="A271" s="1" t="n">
        <v>270</v>
      </c>
      <c r="B271" s="30" t="n">
        <v>44100</v>
      </c>
      <c r="C271" s="1" t="n">
        <v>1694</v>
      </c>
      <c r="D271" s="1" t="n">
        <f aca="false">C271-C270</f>
        <v>-13205</v>
      </c>
      <c r="E271" s="1" t="n">
        <v>74.9</v>
      </c>
      <c r="F271" s="1" t="n">
        <f aca="false">E271-E270</f>
        <v>-535.9</v>
      </c>
      <c r="G271" s="1" t="n">
        <v>1.22</v>
      </c>
      <c r="H271" s="1" t="n">
        <f aca="false">G271-G270</f>
        <v>-9.51</v>
      </c>
      <c r="I271" s="1" t="n">
        <v>19</v>
      </c>
      <c r="J271" s="1" t="n">
        <f aca="false">I271-I270</f>
        <v>-122</v>
      </c>
    </row>
    <row r="272" customFormat="false" ht="13.8" hidden="false" customHeight="false" outlineLevel="0" collapsed="false">
      <c r="A272" s="1" t="n">
        <v>271</v>
      </c>
      <c r="B272" s="30" t="n">
        <v>44101</v>
      </c>
      <c r="C272" s="1" t="n">
        <v>3240</v>
      </c>
      <c r="D272" s="1" t="n">
        <f aca="false">C272-C271</f>
        <v>1546</v>
      </c>
      <c r="E272" s="1" t="n">
        <v>145.5</v>
      </c>
      <c r="F272" s="1" t="n">
        <f aca="false">E272-E271</f>
        <v>70.6</v>
      </c>
      <c r="G272" s="1" t="n">
        <v>2.33</v>
      </c>
      <c r="H272" s="1" t="n">
        <f aca="false">G272-G271</f>
        <v>1.11</v>
      </c>
      <c r="I272" s="1" t="n">
        <v>38</v>
      </c>
      <c r="J272" s="1" t="n">
        <f aca="false">I272-I271</f>
        <v>19</v>
      </c>
    </row>
    <row r="273" customFormat="false" ht="13.8" hidden="false" customHeight="false" outlineLevel="0" collapsed="false">
      <c r="A273" s="1" t="n">
        <v>272</v>
      </c>
      <c r="B273" s="30" t="n">
        <v>44102</v>
      </c>
      <c r="C273" s="1" t="n">
        <v>4676</v>
      </c>
      <c r="D273" s="1" t="n">
        <f aca="false">C273-C272</f>
        <v>1436</v>
      </c>
      <c r="E273" s="1" t="n">
        <v>192.4</v>
      </c>
      <c r="F273" s="1" t="n">
        <f aca="false">E273-E272</f>
        <v>46.9</v>
      </c>
      <c r="G273" s="1" t="n">
        <v>3.37</v>
      </c>
      <c r="H273" s="1" t="n">
        <f aca="false">G273-G272</f>
        <v>1.04</v>
      </c>
      <c r="I273" s="1" t="n">
        <v>45</v>
      </c>
      <c r="J273" s="1" t="n">
        <f aca="false">I273-I272</f>
        <v>7</v>
      </c>
    </row>
    <row r="274" customFormat="false" ht="13.8" hidden="false" customHeight="false" outlineLevel="0" collapsed="false">
      <c r="A274" s="1" t="n">
        <v>273</v>
      </c>
      <c r="B274" s="30" t="n">
        <v>44103</v>
      </c>
      <c r="C274" s="1" t="n">
        <v>3064</v>
      </c>
      <c r="D274" s="1" t="n">
        <f aca="false">C274-C273</f>
        <v>-1612</v>
      </c>
      <c r="E274" s="1" t="n">
        <v>130.2</v>
      </c>
      <c r="F274" s="1" t="n">
        <f aca="false">E274-E273</f>
        <v>-62.2</v>
      </c>
      <c r="G274" s="1" t="n">
        <v>2.21</v>
      </c>
      <c r="H274" s="1" t="n">
        <f aca="false">G274-G273</f>
        <v>-1.16</v>
      </c>
      <c r="I274" s="1" t="n">
        <v>32</v>
      </c>
      <c r="J274" s="1" t="n">
        <f aca="false">I274-I273</f>
        <v>-13</v>
      </c>
    </row>
    <row r="275" customFormat="false" ht="13.8" hidden="false" customHeight="false" outlineLevel="0" collapsed="false">
      <c r="A275" s="1" t="n">
        <v>274</v>
      </c>
      <c r="B275" s="30" t="n">
        <v>44104</v>
      </c>
      <c r="C275" s="1" t="n">
        <v>4957</v>
      </c>
      <c r="D275" s="1" t="n">
        <f aca="false">C275-C274</f>
        <v>1893</v>
      </c>
      <c r="E275" s="1" t="n">
        <v>212</v>
      </c>
      <c r="F275" s="1" t="n">
        <f aca="false">E275-E274</f>
        <v>81.8</v>
      </c>
      <c r="G275" s="1" t="n">
        <v>3.57</v>
      </c>
      <c r="H275" s="1" t="n">
        <f aca="false">G275-G274</f>
        <v>1.36</v>
      </c>
      <c r="I275" s="1" t="n">
        <v>53</v>
      </c>
      <c r="J275" s="1" t="n">
        <f aca="false">I275-I274</f>
        <v>21</v>
      </c>
    </row>
    <row r="276" customFormat="false" ht="13.8" hidden="false" customHeight="false" outlineLevel="0" collapsed="false">
      <c r="A276" s="1" t="n">
        <v>275</v>
      </c>
      <c r="B276" s="30" t="n">
        <v>44105</v>
      </c>
      <c r="C276" s="1" t="n">
        <v>6638</v>
      </c>
      <c r="D276" s="1" t="n">
        <f aca="false">C276-C275</f>
        <v>1681</v>
      </c>
      <c r="E276" s="1" t="n">
        <v>296.4</v>
      </c>
      <c r="F276" s="1" t="n">
        <f aca="false">E276-E275</f>
        <v>84.4</v>
      </c>
      <c r="G276" s="1" t="n">
        <v>4.78</v>
      </c>
      <c r="H276" s="1" t="n">
        <f aca="false">G276-G275</f>
        <v>1.21</v>
      </c>
      <c r="I276" s="1" t="n">
        <v>78</v>
      </c>
      <c r="J276" s="1" t="n">
        <f aca="false">I276-I275</f>
        <v>25</v>
      </c>
      <c r="L276" s="1" t="s">
        <v>2</v>
      </c>
      <c r="M276" s="1" t="s">
        <v>179</v>
      </c>
      <c r="N276" s="1" t="s">
        <v>175</v>
      </c>
      <c r="O276" s="1" t="s">
        <v>177</v>
      </c>
    </row>
    <row r="277" customFormat="false" ht="13.8" hidden="false" customHeight="false" outlineLevel="0" collapsed="false">
      <c r="A277" s="1" t="n">
        <v>276</v>
      </c>
      <c r="B277" s="30" t="n">
        <v>44106</v>
      </c>
      <c r="C277" s="1" t="n">
        <v>10539</v>
      </c>
      <c r="D277" s="1" t="n">
        <f aca="false">C277-C276</f>
        <v>3901</v>
      </c>
      <c r="E277" s="1" t="n">
        <v>427.8</v>
      </c>
      <c r="F277" s="1" t="n">
        <f aca="false">E277-E276</f>
        <v>131.4</v>
      </c>
      <c r="G277" s="1" t="n">
        <v>7.59</v>
      </c>
      <c r="H277" s="1" t="n">
        <f aca="false">G277-G276</f>
        <v>2.81</v>
      </c>
      <c r="I277" s="1" t="n">
        <v>97</v>
      </c>
      <c r="J277" s="1" t="n">
        <f aca="false">I277-I276</f>
        <v>19</v>
      </c>
      <c r="K277" s="1" t="s">
        <v>8</v>
      </c>
      <c r="L277" s="1" t="n">
        <f aca="false">AVERAGE($C$276:$C$306)</f>
        <v>10490.2903225806</v>
      </c>
      <c r="M277" s="1" t="n">
        <f aca="false">AVERAGE($E$276:$E$306)</f>
        <v>448.006451612903</v>
      </c>
      <c r="N277" s="1" t="n">
        <f aca="false">AVERAGE($G$276:$G$306)</f>
        <v>7.55290322580645</v>
      </c>
      <c r="O277" s="1" t="n">
        <f aca="false">AVERAGE($I$276:$I$306)</f>
        <v>110.774193548387</v>
      </c>
    </row>
    <row r="278" customFormat="false" ht="13.8" hidden="false" customHeight="false" outlineLevel="0" collapsed="false">
      <c r="A278" s="1" t="n">
        <v>277</v>
      </c>
      <c r="B278" s="30" t="n">
        <v>44107</v>
      </c>
      <c r="C278" s="1" t="n">
        <v>27787</v>
      </c>
      <c r="D278" s="1" t="n">
        <f aca="false">C278-C277</f>
        <v>17248</v>
      </c>
      <c r="E278" s="1" t="n">
        <v>1245.6</v>
      </c>
      <c r="F278" s="1" t="n">
        <f aca="false">E278-E277</f>
        <v>817.8</v>
      </c>
      <c r="G278" s="1" t="n">
        <v>20.01</v>
      </c>
      <c r="H278" s="1" t="n">
        <f aca="false">G278-G277</f>
        <v>12.42</v>
      </c>
      <c r="I278" s="1" t="n">
        <v>329</v>
      </c>
      <c r="J278" s="1" t="n">
        <f aca="false">I278-I277</f>
        <v>232</v>
      </c>
      <c r="K278" s="1" t="s">
        <v>10</v>
      </c>
      <c r="L278" s="1" t="n">
        <f aca="false">SQRT(VAR($C$276:$C$306)/COUNT($C$276:$C$306))</f>
        <v>1987.60069235352</v>
      </c>
      <c r="M278" s="1" t="n">
        <f aca="false">SQRT(VAR($E$276:$E$306)/COUNT($E$276:$E$306))</f>
        <v>84.8060247067951</v>
      </c>
      <c r="N278" s="1" t="n">
        <f aca="false">SQRT(VAR($G$276:$G$306)/COUNT($G$276:$G$306))</f>
        <v>1.43098381027852</v>
      </c>
      <c r="O278" s="1" t="n">
        <f aca="false">SQRT(VAR($I$276:$I$306)/COUNT($I$276:$I$306))</f>
        <v>21.1481059767312</v>
      </c>
    </row>
    <row r="279" customFormat="false" ht="13.8" hidden="false" customHeight="false" outlineLevel="0" collapsed="false">
      <c r="A279" s="1" t="n">
        <v>278</v>
      </c>
      <c r="B279" s="30" t="n">
        <v>44108</v>
      </c>
      <c r="C279" s="1" t="n">
        <v>3078</v>
      </c>
      <c r="D279" s="1" t="n">
        <f aca="false">C279-C278</f>
        <v>-24709</v>
      </c>
      <c r="E279" s="1" t="n">
        <v>134</v>
      </c>
      <c r="F279" s="1" t="n">
        <f aca="false">E279-E278</f>
        <v>-1111.6</v>
      </c>
      <c r="G279" s="1" t="n">
        <v>2.22</v>
      </c>
      <c r="H279" s="1" t="n">
        <f aca="false">G279-G278</f>
        <v>-17.79</v>
      </c>
      <c r="I279" s="1" t="n">
        <v>34</v>
      </c>
      <c r="J279" s="1" t="n">
        <f aca="false">I279-I278</f>
        <v>-295</v>
      </c>
      <c r="K279" s="1" t="s">
        <v>14</v>
      </c>
      <c r="L279" s="1" t="e">
        <f aca="false">MODE($C$276:$C$306)</f>
        <v>#VALUE!</v>
      </c>
      <c r="M279" s="1" t="e">
        <f aca="false">MODE($E$276:$E$306)</f>
        <v>#VALUE!</v>
      </c>
      <c r="N279" s="1" t="e">
        <f aca="false">MODE($G$276:$G$306)</f>
        <v>#VALUE!</v>
      </c>
      <c r="O279" s="1" t="n">
        <f aca="false">MODE($I$276:$I$306)</f>
        <v>26</v>
      </c>
    </row>
    <row r="280" customFormat="false" ht="13.8" hidden="false" customHeight="false" outlineLevel="0" collapsed="false">
      <c r="A280" s="1" t="n">
        <v>279</v>
      </c>
      <c r="B280" s="30" t="n">
        <v>44109</v>
      </c>
      <c r="C280" s="1" t="n">
        <v>2730</v>
      </c>
      <c r="D280" s="1" t="n">
        <f aca="false">C280-C279</f>
        <v>-348</v>
      </c>
      <c r="E280" s="1" t="n">
        <v>120.5</v>
      </c>
      <c r="F280" s="1" t="n">
        <f aca="false">E280-E279</f>
        <v>-13.5</v>
      </c>
      <c r="G280" s="1" t="n">
        <v>1.97</v>
      </c>
      <c r="H280" s="1" t="n">
        <f aca="false">G280-G279</f>
        <v>-0.25</v>
      </c>
      <c r="I280" s="1" t="n">
        <v>31</v>
      </c>
      <c r="J280" s="1" t="n">
        <f aca="false">I280-I279</f>
        <v>-3</v>
      </c>
      <c r="K280" s="1" t="s">
        <v>12</v>
      </c>
      <c r="L280" s="1" t="n">
        <f aca="false">MEDIAN($C$276:$C$306)</f>
        <v>7749</v>
      </c>
      <c r="M280" s="1" t="n">
        <f aca="false">MEDIAN($E$276:$E$306)</f>
        <v>318.7</v>
      </c>
      <c r="N280" s="1" t="n">
        <f aca="false">MEDIAN($G$276:$G$306)</f>
        <v>5.58</v>
      </c>
      <c r="O280" s="1" t="n">
        <f aca="false">MEDIAN($I$276:$I$306)</f>
        <v>78</v>
      </c>
    </row>
    <row r="281" customFormat="false" ht="13.8" hidden="false" customHeight="false" outlineLevel="0" collapsed="false">
      <c r="A281" s="1" t="n">
        <v>280</v>
      </c>
      <c r="B281" s="30" t="n">
        <v>44110</v>
      </c>
      <c r="C281" s="1" t="n">
        <v>3159</v>
      </c>
      <c r="D281" s="1" t="n">
        <f aca="false">C281-C280</f>
        <v>429</v>
      </c>
      <c r="E281" s="1" t="n">
        <v>133.1</v>
      </c>
      <c r="F281" s="1" t="n">
        <f aca="false">E281-E280</f>
        <v>12.6</v>
      </c>
      <c r="G281" s="1" t="n">
        <v>2.27</v>
      </c>
      <c r="H281" s="1" t="n">
        <f aca="false">G281-G280</f>
        <v>0.3</v>
      </c>
      <c r="I281" s="1" t="n">
        <v>32</v>
      </c>
      <c r="J281" s="1" t="n">
        <f aca="false">I281-I280</f>
        <v>1</v>
      </c>
      <c r="K281" s="1" t="s">
        <v>195</v>
      </c>
      <c r="L281" s="1" t="n">
        <f aca="false">QUARTILE($C$276:$C$306, 1)</f>
        <v>2576.5</v>
      </c>
      <c r="M281" s="1" t="n">
        <f aca="false">QUARTILE($E$276:$E$306, 1)</f>
        <v>113</v>
      </c>
      <c r="N281" s="1" t="n">
        <f aca="false">QUARTILE($G$276:$G$306, 1)</f>
        <v>1.855</v>
      </c>
      <c r="O281" s="1" t="n">
        <f aca="false">QUARTILE($I$276:$I$306, 1)</f>
        <v>28.5</v>
      </c>
    </row>
    <row r="282" customFormat="false" ht="13.8" hidden="false" customHeight="false" outlineLevel="0" collapsed="false">
      <c r="A282" s="1" t="n">
        <v>281</v>
      </c>
      <c r="B282" s="30" t="n">
        <v>44111</v>
      </c>
      <c r="C282" s="1" t="n">
        <v>784</v>
      </c>
      <c r="D282" s="1" t="n">
        <f aca="false">C282-C281</f>
        <v>-2375</v>
      </c>
      <c r="E282" s="1" t="n">
        <v>34.8</v>
      </c>
      <c r="F282" s="1" t="n">
        <f aca="false">E282-E281</f>
        <v>-98.3</v>
      </c>
      <c r="G282" s="1" t="n">
        <v>0.56</v>
      </c>
      <c r="H282" s="1" t="n">
        <f aca="false">G282-G281</f>
        <v>-1.71</v>
      </c>
      <c r="I282" s="1" t="n">
        <v>9</v>
      </c>
      <c r="J282" s="1" t="n">
        <f aca="false">I282-I281</f>
        <v>-23</v>
      </c>
      <c r="K282" s="1" t="s">
        <v>181</v>
      </c>
      <c r="L282" s="1" t="n">
        <f aca="false">QUARTILE($C$276:$C$306, 3)</f>
        <v>12274</v>
      </c>
      <c r="M282" s="1" t="n">
        <f aca="false">QUARTILE($E$276:$E$306, 3)</f>
        <v>529.45</v>
      </c>
      <c r="N282" s="1" t="n">
        <f aca="false">QUARTILE($G$276:$G$306, 3)</f>
        <v>8.835</v>
      </c>
      <c r="O282" s="1" t="n">
        <f aca="false">QUARTILE($I$276:$I$306, 3)</f>
        <v>124.5</v>
      </c>
    </row>
    <row r="283" customFormat="false" ht="13.8" hidden="false" customHeight="false" outlineLevel="0" collapsed="false">
      <c r="A283" s="1" t="n">
        <v>282</v>
      </c>
      <c r="B283" s="30" t="n">
        <v>44112</v>
      </c>
      <c r="C283" s="1" t="n">
        <v>481</v>
      </c>
      <c r="D283" s="1" t="n">
        <f aca="false">C283-C282</f>
        <v>-303</v>
      </c>
      <c r="E283" s="1" t="n">
        <v>21.5</v>
      </c>
      <c r="F283" s="1" t="n">
        <f aca="false">E283-E282</f>
        <v>-13.3</v>
      </c>
      <c r="G283" s="1" t="n">
        <v>0.35</v>
      </c>
      <c r="H283" s="1" t="n">
        <f aca="false">G283-G282</f>
        <v>-0.21</v>
      </c>
      <c r="I283" s="1" t="n">
        <v>5</v>
      </c>
      <c r="J283" s="1" t="n">
        <f aca="false">I283-I282</f>
        <v>-4</v>
      </c>
      <c r="K283" s="1" t="s">
        <v>182</v>
      </c>
      <c r="L283" s="1" t="n">
        <f aca="false">VAR($C$276:$C$306)</f>
        <v>122467251.87957</v>
      </c>
      <c r="M283" s="1" t="n">
        <f aca="false">VAR($E$276:$E$306)</f>
        <v>222953.916623656</v>
      </c>
      <c r="N283" s="1" t="n">
        <f aca="false">VAR($G$276:$G$306)</f>
        <v>63.4791546236559</v>
      </c>
      <c r="O283" s="1" t="n">
        <f aca="false">VAR($I$276:$I$306)</f>
        <v>13864.5139784946</v>
      </c>
    </row>
    <row r="284" customFormat="false" ht="13.8" hidden="false" customHeight="false" outlineLevel="0" collapsed="false">
      <c r="A284" s="1" t="n">
        <v>283</v>
      </c>
      <c r="B284" s="30" t="n">
        <v>44113</v>
      </c>
      <c r="C284" s="1" t="n">
        <v>1870</v>
      </c>
      <c r="D284" s="1" t="n">
        <f aca="false">C284-C283</f>
        <v>1389</v>
      </c>
      <c r="E284" s="1" t="n">
        <v>91.5</v>
      </c>
      <c r="F284" s="1" t="n">
        <f aca="false">E284-E283</f>
        <v>70</v>
      </c>
      <c r="G284" s="1" t="n">
        <v>1.35</v>
      </c>
      <c r="H284" s="1" t="n">
        <f aca="false">G284-G283</f>
        <v>1</v>
      </c>
      <c r="I284" s="1" t="n">
        <v>26</v>
      </c>
      <c r="J284" s="1" t="n">
        <f aca="false">I284-I283</f>
        <v>21</v>
      </c>
      <c r="K284" s="1" t="s">
        <v>16</v>
      </c>
      <c r="L284" s="1" t="n">
        <f aca="false">STDEV($C$276:$C$306)</f>
        <v>11066.4923024222</v>
      </c>
      <c r="M284" s="1" t="n">
        <f aca="false">STDEV($E$276:$E$306)</f>
        <v>472.179962115776</v>
      </c>
      <c r="N284" s="1" t="n">
        <f aca="false">STDEV($G$276:$G$306)</f>
        <v>7.96738066265545</v>
      </c>
      <c r="O284" s="1" t="n">
        <f aca="false">STDEV($I$276:$I$306)</f>
        <v>117.747670798596</v>
      </c>
    </row>
    <row r="285" customFormat="false" ht="13.8" hidden="false" customHeight="false" outlineLevel="0" collapsed="false">
      <c r="A285" s="1" t="n">
        <v>284</v>
      </c>
      <c r="B285" s="30" t="n">
        <v>44114</v>
      </c>
      <c r="C285" s="1" t="n">
        <v>336</v>
      </c>
      <c r="D285" s="1" t="n">
        <f aca="false">C285-C284</f>
        <v>-1534</v>
      </c>
      <c r="E285" s="1" t="n">
        <v>14.9</v>
      </c>
      <c r="F285" s="1" t="n">
        <f aca="false">E285-E284</f>
        <v>-76.6</v>
      </c>
      <c r="G285" s="1" t="n">
        <v>0.24</v>
      </c>
      <c r="H285" s="1" t="n">
        <f aca="false">G285-G284</f>
        <v>-1.11</v>
      </c>
      <c r="I285" s="1" t="n">
        <v>3</v>
      </c>
      <c r="J285" s="1" t="n">
        <f aca="false">I285-I284</f>
        <v>-23</v>
      </c>
      <c r="K285" s="1" t="s">
        <v>20</v>
      </c>
      <c r="L285" s="1" t="n">
        <f aca="false">KURT($C$276:$C$306)</f>
        <v>3.34024768927375</v>
      </c>
      <c r="M285" s="1" t="n">
        <f aca="false">KURT($E$276:$E$306)</f>
        <v>3.62235454261093</v>
      </c>
      <c r="N285" s="1" t="n">
        <f aca="false">KURT($G$276:$G$306)</f>
        <v>3.34017557356154</v>
      </c>
      <c r="O285" s="1" t="n">
        <f aca="false">KURT($I$276:$I$306)</f>
        <v>4.08733113010456</v>
      </c>
    </row>
    <row r="286" customFormat="false" ht="13.8" hidden="false" customHeight="false" outlineLevel="0" collapsed="false">
      <c r="A286" s="1" t="n">
        <v>285</v>
      </c>
      <c r="B286" s="30" t="n">
        <v>44115</v>
      </c>
      <c r="C286" s="1" t="n">
        <v>26885</v>
      </c>
      <c r="D286" s="1" t="n">
        <f aca="false">C286-C285</f>
        <v>26549</v>
      </c>
      <c r="E286" s="1" t="n">
        <v>1112.5</v>
      </c>
      <c r="F286" s="1" t="n">
        <f aca="false">E286-E285</f>
        <v>1097.6</v>
      </c>
      <c r="G286" s="1" t="n">
        <v>19.34</v>
      </c>
      <c r="H286" s="1" t="n">
        <f aca="false">G286-G285</f>
        <v>19.1</v>
      </c>
      <c r="I286" s="1" t="n">
        <v>261</v>
      </c>
      <c r="J286" s="1" t="n">
        <f aca="false">I286-I285</f>
        <v>258</v>
      </c>
      <c r="K286" s="1" t="s">
        <v>22</v>
      </c>
      <c r="L286" s="1" t="n">
        <f aca="false">SKEW($C$276:$C$306)</f>
        <v>1.76500584020055</v>
      </c>
      <c r="M286" s="1" t="n">
        <f aca="false">SKEW($E$276:$E$306)</f>
        <v>1.82005258354278</v>
      </c>
      <c r="N286" s="1" t="n">
        <f aca="false">SKEW($G$276:$G$306)</f>
        <v>1.76496868138403</v>
      </c>
      <c r="O286" s="1" t="n">
        <f aca="false">SKEW($I$276:$I$306)</f>
        <v>1.91309468614064</v>
      </c>
    </row>
    <row r="287" customFormat="false" ht="13.8" hidden="false" customHeight="false" outlineLevel="0" collapsed="false">
      <c r="A287" s="1" t="n">
        <v>286</v>
      </c>
      <c r="B287" s="30" t="n">
        <v>44116</v>
      </c>
      <c r="C287" s="1" t="n">
        <v>1395</v>
      </c>
      <c r="D287" s="1" t="n">
        <f aca="false">C287-C286</f>
        <v>-25490</v>
      </c>
      <c r="E287" s="1" t="n">
        <v>65.4</v>
      </c>
      <c r="F287" s="1" t="n">
        <f aca="false">E287-E286</f>
        <v>-1047.1</v>
      </c>
      <c r="G287" s="1" t="n">
        <v>1</v>
      </c>
      <c r="H287" s="1" t="n">
        <f aca="false">G287-G286</f>
        <v>-18.34</v>
      </c>
      <c r="I287" s="1" t="n">
        <v>18</v>
      </c>
      <c r="J287" s="1" t="n">
        <f aca="false">I287-I286</f>
        <v>-243</v>
      </c>
      <c r="K287" s="1" t="s">
        <v>24</v>
      </c>
      <c r="L287" s="1" t="n">
        <f aca="false">MAX($C$276:$C$306)-MIN($C$276:$C$306)</f>
        <v>47667</v>
      </c>
      <c r="M287" s="1" t="n">
        <f aca="false">MAX($E$276:$E$306)-MIN($E$276:$E$306)</f>
        <v>2057.7</v>
      </c>
      <c r="N287" s="1" t="n">
        <f aca="false">MAX($G$276:$G$306)-MIN($G$276:$G$306)</f>
        <v>34.32</v>
      </c>
      <c r="O287" s="1" t="n">
        <f aca="false">MAX($I$276:$I$306)-MIN($I$276:$I$306)</f>
        <v>521</v>
      </c>
    </row>
    <row r="288" customFormat="false" ht="13.8" hidden="false" customHeight="false" outlineLevel="0" collapsed="false">
      <c r="A288" s="1" t="n">
        <v>287</v>
      </c>
      <c r="B288" s="30" t="n">
        <v>44117</v>
      </c>
      <c r="C288" s="1" t="n">
        <v>2431</v>
      </c>
      <c r="D288" s="1" t="n">
        <f aca="false">C288-C287</f>
        <v>1036</v>
      </c>
      <c r="E288" s="1" t="n">
        <v>105.5</v>
      </c>
      <c r="F288" s="1" t="n">
        <f aca="false">E288-E287</f>
        <v>40.1</v>
      </c>
      <c r="G288" s="1" t="n">
        <v>1.75</v>
      </c>
      <c r="H288" s="1" t="n">
        <f aca="false">G288-G287</f>
        <v>0.75</v>
      </c>
      <c r="I288" s="1" t="n">
        <v>26</v>
      </c>
      <c r="J288" s="1" t="n">
        <f aca="false">I288-I287</f>
        <v>8</v>
      </c>
      <c r="K288" s="1" t="s">
        <v>26</v>
      </c>
      <c r="L288" s="1" t="n">
        <f aca="false">MIN($C$276:$C$306)</f>
        <v>336</v>
      </c>
      <c r="M288" s="1" t="n">
        <f aca="false">MIN($E$276:$E$306)</f>
        <v>14.9</v>
      </c>
      <c r="N288" s="1" t="n">
        <f aca="false">MIN($G$276:$G$306)</f>
        <v>0.24</v>
      </c>
      <c r="O288" s="1" t="n">
        <f aca="false">MIN($I$276:$I$306)</f>
        <v>3</v>
      </c>
    </row>
    <row r="289" customFormat="false" ht="13.8" hidden="false" customHeight="false" outlineLevel="0" collapsed="false">
      <c r="A289" s="1" t="n">
        <v>288</v>
      </c>
      <c r="B289" s="30" t="n">
        <v>44118</v>
      </c>
      <c r="C289" s="1" t="n">
        <v>9944</v>
      </c>
      <c r="D289" s="1" t="n">
        <f aca="false">C289-C288</f>
        <v>7513</v>
      </c>
      <c r="E289" s="1" t="n">
        <v>421.2</v>
      </c>
      <c r="F289" s="1" t="n">
        <f aca="false">E289-E288</f>
        <v>315.7</v>
      </c>
      <c r="G289" s="1" t="n">
        <v>7.16</v>
      </c>
      <c r="H289" s="1" t="n">
        <f aca="false">G289-G288</f>
        <v>5.41</v>
      </c>
      <c r="I289" s="1" t="n">
        <v>103</v>
      </c>
      <c r="J289" s="1" t="n">
        <f aca="false">I289-I288</f>
        <v>77</v>
      </c>
      <c r="K289" s="1" t="s">
        <v>28</v>
      </c>
      <c r="L289" s="1" t="n">
        <f aca="false">MAX($C$276:$C$306)</f>
        <v>48003</v>
      </c>
      <c r="M289" s="1" t="n">
        <f aca="false">MAX($E$276:$E$306)</f>
        <v>2072.6</v>
      </c>
      <c r="N289" s="1" t="n">
        <f aca="false">MAX($G$276:$G$306)</f>
        <v>34.56</v>
      </c>
      <c r="O289" s="1" t="n">
        <f aca="false">MAX($I$276:$I$306)</f>
        <v>524</v>
      </c>
    </row>
    <row r="290" customFormat="false" ht="13.8" hidden="false" customHeight="false" outlineLevel="0" collapsed="false">
      <c r="A290" s="1" t="n">
        <v>289</v>
      </c>
      <c r="B290" s="30" t="n">
        <v>44119</v>
      </c>
      <c r="C290" s="1" t="n">
        <v>31036</v>
      </c>
      <c r="D290" s="1" t="n">
        <f aca="false">C290-C289</f>
        <v>21092</v>
      </c>
      <c r="E290" s="1" t="n">
        <v>1267.5</v>
      </c>
      <c r="F290" s="1" t="n">
        <f aca="false">E290-E289</f>
        <v>846.3</v>
      </c>
      <c r="G290" s="1" t="n">
        <v>22.35</v>
      </c>
      <c r="H290" s="1" t="n">
        <f aca="false">G290-G289</f>
        <v>15.19</v>
      </c>
      <c r="I290" s="1" t="n">
        <v>294</v>
      </c>
      <c r="J290" s="1" t="n">
        <f aca="false">I290-I289</f>
        <v>191</v>
      </c>
      <c r="K290" s="1" t="s">
        <v>30</v>
      </c>
      <c r="L290" s="1" t="n">
        <f aca="false">SUM($C$276:$C$306)</f>
        <v>325199</v>
      </c>
      <c r="M290" s="1" t="n">
        <f aca="false">SUM($E$276:$E$306)</f>
        <v>13888.2</v>
      </c>
      <c r="N290" s="1" t="n">
        <f aca="false">SUM($G$276:$G$306)</f>
        <v>234.14</v>
      </c>
      <c r="O290" s="1" t="n">
        <f aca="false">SUM($I$276:$I$306)</f>
        <v>3434</v>
      </c>
    </row>
    <row r="291" customFormat="false" ht="13.8" hidden="false" customHeight="false" outlineLevel="0" collapsed="false">
      <c r="A291" s="1" t="n">
        <v>290</v>
      </c>
      <c r="B291" s="30" t="n">
        <v>44120</v>
      </c>
      <c r="C291" s="1" t="n">
        <v>10114</v>
      </c>
      <c r="D291" s="1" t="n">
        <f aca="false">C291-C290</f>
        <v>-20922</v>
      </c>
      <c r="E291" s="1" t="n">
        <v>425</v>
      </c>
      <c r="F291" s="1" t="n">
        <f aca="false">E291-E290</f>
        <v>-842.5</v>
      </c>
      <c r="G291" s="1" t="n">
        <v>7.28</v>
      </c>
      <c r="H291" s="1" t="n">
        <f aca="false">G291-G290</f>
        <v>-15.07</v>
      </c>
      <c r="I291" s="1" t="n">
        <v>101</v>
      </c>
      <c r="J291" s="1" t="n">
        <f aca="false">I291-I290</f>
        <v>-193</v>
      </c>
      <c r="K291" s="1" t="s">
        <v>32</v>
      </c>
      <c r="L291" s="1" t="n">
        <f aca="false">COUNT($C$276:$C$306)</f>
        <v>31</v>
      </c>
      <c r="M291" s="1" t="n">
        <f aca="false">COUNT($E$276:$E$306)</f>
        <v>31</v>
      </c>
      <c r="N291" s="1" t="n">
        <f aca="false">COUNT($G$276:$G$306)</f>
        <v>31</v>
      </c>
      <c r="O291" s="1" t="n">
        <f aca="false">COUNT($I$276:$I$306)</f>
        <v>31</v>
      </c>
    </row>
    <row r="292" customFormat="false" ht="13.8" hidden="false" customHeight="false" outlineLevel="0" collapsed="false">
      <c r="A292" s="1" t="n">
        <v>291</v>
      </c>
      <c r="B292" s="30" t="n">
        <v>44121</v>
      </c>
      <c r="C292" s="1" t="n">
        <v>26217</v>
      </c>
      <c r="D292" s="1" t="n">
        <f aca="false">C292-C291</f>
        <v>16103</v>
      </c>
      <c r="E292" s="1" t="n">
        <v>1140.3</v>
      </c>
      <c r="F292" s="1" t="n">
        <f aca="false">E292-E291</f>
        <v>715.3</v>
      </c>
      <c r="G292" s="1" t="n">
        <v>18.88</v>
      </c>
      <c r="H292" s="1" t="n">
        <f aca="false">G292-G291</f>
        <v>11.6</v>
      </c>
      <c r="I292" s="1" t="n">
        <v>292</v>
      </c>
      <c r="J292" s="1" t="n">
        <f aca="false">I292-I291</f>
        <v>191</v>
      </c>
    </row>
    <row r="293" customFormat="false" ht="13.8" hidden="false" customHeight="false" outlineLevel="0" collapsed="false">
      <c r="A293" s="1" t="n">
        <v>292</v>
      </c>
      <c r="B293" s="30" t="n">
        <v>44122</v>
      </c>
      <c r="C293" s="1" t="n">
        <v>1749</v>
      </c>
      <c r="D293" s="1" t="n">
        <f aca="false">C293-C292</f>
        <v>-24468</v>
      </c>
      <c r="E293" s="1" t="n">
        <v>77</v>
      </c>
      <c r="F293" s="1" t="n">
        <f aca="false">E293-E292</f>
        <v>-1063.3</v>
      </c>
      <c r="G293" s="1" t="n">
        <v>1.26</v>
      </c>
      <c r="H293" s="1" t="n">
        <f aca="false">G293-G292</f>
        <v>-17.62</v>
      </c>
      <c r="I293" s="1" t="n">
        <v>19</v>
      </c>
      <c r="J293" s="1" t="n">
        <f aca="false">I293-I292</f>
        <v>-273</v>
      </c>
    </row>
    <row r="294" customFormat="false" ht="13.8" hidden="false" customHeight="false" outlineLevel="0" collapsed="false">
      <c r="A294" s="1" t="n">
        <v>293</v>
      </c>
      <c r="B294" s="30" t="n">
        <v>44123</v>
      </c>
      <c r="C294" s="1" t="n">
        <v>2190</v>
      </c>
      <c r="D294" s="1" t="n">
        <f aca="false">C294-C293</f>
        <v>441</v>
      </c>
      <c r="E294" s="1" t="n">
        <v>94.3</v>
      </c>
      <c r="F294" s="1" t="n">
        <f aca="false">E294-E293</f>
        <v>17.3</v>
      </c>
      <c r="G294" s="1" t="n">
        <v>1.58</v>
      </c>
      <c r="H294" s="1" t="n">
        <f aca="false">G294-G293</f>
        <v>0.32</v>
      </c>
      <c r="I294" s="1" t="n">
        <v>23</v>
      </c>
      <c r="J294" s="1" t="n">
        <f aca="false">I294-I293</f>
        <v>4</v>
      </c>
    </row>
    <row r="295" customFormat="false" ht="13.8" hidden="false" customHeight="false" outlineLevel="0" collapsed="false">
      <c r="A295" s="1" t="n">
        <v>294</v>
      </c>
      <c r="B295" s="30" t="n">
        <v>44124</v>
      </c>
      <c r="C295" s="1" t="n">
        <v>9873</v>
      </c>
      <c r="D295" s="1" t="n">
        <f aca="false">C295-C294</f>
        <v>7683</v>
      </c>
      <c r="E295" s="1" t="n">
        <v>423.3</v>
      </c>
      <c r="F295" s="1" t="n">
        <f aca="false">E295-E294</f>
        <v>329</v>
      </c>
      <c r="G295" s="1" t="n">
        <v>7.11</v>
      </c>
      <c r="H295" s="1" t="n">
        <f aca="false">G295-G294</f>
        <v>5.53</v>
      </c>
      <c r="I295" s="1" t="n">
        <v>105</v>
      </c>
      <c r="J295" s="1" t="n">
        <f aca="false">I295-I294</f>
        <v>82</v>
      </c>
    </row>
    <row r="296" customFormat="false" ht="13.8" hidden="false" customHeight="false" outlineLevel="0" collapsed="false">
      <c r="A296" s="1" t="n">
        <v>295</v>
      </c>
      <c r="B296" s="30" t="n">
        <v>44125</v>
      </c>
      <c r="C296" s="1" t="n">
        <v>9708</v>
      </c>
      <c r="D296" s="1" t="n">
        <f aca="false">C296-C295</f>
        <v>-165</v>
      </c>
      <c r="E296" s="1" t="n">
        <v>416.5</v>
      </c>
      <c r="F296" s="1" t="n">
        <f aca="false">E296-E295</f>
        <v>-6.80000000000001</v>
      </c>
      <c r="G296" s="1" t="n">
        <v>6.99</v>
      </c>
      <c r="H296" s="1" t="n">
        <f aca="false">G296-G295</f>
        <v>-0.12</v>
      </c>
      <c r="I296" s="1" t="n">
        <v>104</v>
      </c>
      <c r="J296" s="1" t="n">
        <f aca="false">I296-I295</f>
        <v>-1</v>
      </c>
    </row>
    <row r="297" customFormat="false" ht="13.8" hidden="false" customHeight="false" outlineLevel="0" collapsed="false">
      <c r="A297" s="1" t="n">
        <v>296</v>
      </c>
      <c r="B297" s="30" t="n">
        <v>44126</v>
      </c>
      <c r="C297" s="1" t="n">
        <v>10432</v>
      </c>
      <c r="D297" s="1" t="n">
        <f aca="false">C297-C296</f>
        <v>724</v>
      </c>
      <c r="E297" s="1" t="n">
        <v>433.5</v>
      </c>
      <c r="F297" s="1" t="n">
        <f aca="false">E297-E296</f>
        <v>17</v>
      </c>
      <c r="G297" s="1" t="n">
        <v>7.51</v>
      </c>
      <c r="H297" s="1" t="n">
        <f aca="false">G297-G296</f>
        <v>0.52</v>
      </c>
      <c r="I297" s="1" t="n">
        <v>104</v>
      </c>
      <c r="J297" s="1" t="n">
        <f aca="false">I297-I296</f>
        <v>0</v>
      </c>
    </row>
    <row r="298" customFormat="false" ht="13.8" hidden="false" customHeight="false" outlineLevel="0" collapsed="false">
      <c r="A298" s="1" t="n">
        <v>297</v>
      </c>
      <c r="B298" s="30" t="n">
        <v>44127</v>
      </c>
      <c r="C298" s="1" t="n">
        <v>5003</v>
      </c>
      <c r="D298" s="1" t="n">
        <f aca="false">C298-C297</f>
        <v>-5429</v>
      </c>
      <c r="E298" s="1" t="n">
        <v>228.5</v>
      </c>
      <c r="F298" s="1" t="n">
        <f aca="false">E298-E297</f>
        <v>-205</v>
      </c>
      <c r="G298" s="1" t="n">
        <v>3.6</v>
      </c>
      <c r="H298" s="1" t="n">
        <f aca="false">G298-G297</f>
        <v>-3.91</v>
      </c>
      <c r="I298" s="1" t="n">
        <v>61</v>
      </c>
      <c r="J298" s="1" t="n">
        <f aca="false">I298-I297</f>
        <v>-43</v>
      </c>
    </row>
    <row r="299" customFormat="false" ht="13.8" hidden="false" customHeight="false" outlineLevel="0" collapsed="false">
      <c r="A299" s="1" t="n">
        <v>298</v>
      </c>
      <c r="B299" s="30" t="n">
        <v>44128</v>
      </c>
      <c r="C299" s="1" t="n">
        <v>48003</v>
      </c>
      <c r="D299" s="1" t="n">
        <f aca="false">C299-C298</f>
        <v>43000</v>
      </c>
      <c r="E299" s="1" t="n">
        <v>2072.6</v>
      </c>
      <c r="F299" s="1" t="n">
        <f aca="false">E299-E298</f>
        <v>1844.1</v>
      </c>
      <c r="G299" s="1" t="n">
        <v>34.56</v>
      </c>
      <c r="H299" s="1" t="n">
        <f aca="false">G299-G298</f>
        <v>30.96</v>
      </c>
      <c r="I299" s="1" t="n">
        <v>524</v>
      </c>
      <c r="J299" s="1" t="n">
        <f aca="false">I299-I298</f>
        <v>463</v>
      </c>
    </row>
    <row r="300" customFormat="false" ht="13.8" hidden="false" customHeight="false" outlineLevel="0" collapsed="false">
      <c r="A300" s="1" t="n">
        <v>299</v>
      </c>
      <c r="B300" s="30" t="n">
        <v>44129</v>
      </c>
      <c r="C300" s="1" t="n">
        <v>6513</v>
      </c>
      <c r="D300" s="1" t="n">
        <f aca="false">C300-C299</f>
        <v>-41490</v>
      </c>
      <c r="E300" s="1" t="n">
        <v>291.2</v>
      </c>
      <c r="F300" s="1" t="n">
        <f aca="false">E300-E299</f>
        <v>-1781.4</v>
      </c>
      <c r="G300" s="1" t="n">
        <v>4.69</v>
      </c>
      <c r="H300" s="1" t="n">
        <f aca="false">G300-G299</f>
        <v>-29.87</v>
      </c>
      <c r="I300" s="1" t="n">
        <v>77</v>
      </c>
      <c r="J300" s="1" t="n">
        <f aca="false">I300-I299</f>
        <v>-447</v>
      </c>
    </row>
    <row r="301" customFormat="false" ht="13.8" hidden="false" customHeight="false" outlineLevel="0" collapsed="false">
      <c r="A301" s="1" t="n">
        <v>300</v>
      </c>
      <c r="B301" s="30" t="n">
        <v>44130</v>
      </c>
      <c r="C301" s="1" t="n">
        <v>14110</v>
      </c>
      <c r="D301" s="1" t="n">
        <f aca="false">C301-C300</f>
        <v>7597</v>
      </c>
      <c r="E301" s="1" t="n">
        <v>570.1</v>
      </c>
      <c r="F301" s="1" t="n">
        <f aca="false">E301-E300</f>
        <v>278.9</v>
      </c>
      <c r="G301" s="1" t="n">
        <v>10.16</v>
      </c>
      <c r="H301" s="1" t="n">
        <f aca="false">G301-G300</f>
        <v>5.47</v>
      </c>
      <c r="I301" s="1" t="n">
        <v>128</v>
      </c>
      <c r="J301" s="1" t="n">
        <f aca="false">I301-I300</f>
        <v>51</v>
      </c>
    </row>
    <row r="302" customFormat="false" ht="13.8" hidden="false" customHeight="false" outlineLevel="0" collapsed="false">
      <c r="A302" s="1" t="n">
        <v>301</v>
      </c>
      <c r="B302" s="30" t="n">
        <v>44131</v>
      </c>
      <c r="C302" s="1" t="n">
        <v>7749</v>
      </c>
      <c r="D302" s="1" t="n">
        <f aca="false">C302-C301</f>
        <v>-6361</v>
      </c>
      <c r="E302" s="1" t="n">
        <v>318.7</v>
      </c>
      <c r="F302" s="1" t="n">
        <f aca="false">E302-E301</f>
        <v>-251.4</v>
      </c>
      <c r="G302" s="1" t="n">
        <v>5.58</v>
      </c>
      <c r="H302" s="1" t="n">
        <f aca="false">G302-G301</f>
        <v>-4.58</v>
      </c>
      <c r="I302" s="1" t="n">
        <v>74</v>
      </c>
      <c r="J302" s="1" t="n">
        <f aca="false">I302-I301</f>
        <v>-54</v>
      </c>
    </row>
    <row r="303" customFormat="false" ht="13.8" hidden="false" customHeight="false" outlineLevel="0" collapsed="false">
      <c r="A303" s="1" t="n">
        <v>302</v>
      </c>
      <c r="B303" s="30" t="n">
        <v>44132</v>
      </c>
      <c r="C303" s="1" t="n">
        <v>17175</v>
      </c>
      <c r="D303" s="1" t="n">
        <f aca="false">C303-C302</f>
        <v>9426</v>
      </c>
      <c r="E303" s="1" t="n">
        <v>715.6</v>
      </c>
      <c r="F303" s="1" t="n">
        <f aca="false">E303-E302</f>
        <v>396.9</v>
      </c>
      <c r="G303" s="1" t="n">
        <v>12.37</v>
      </c>
      <c r="H303" s="1" t="n">
        <f aca="false">G303-G302</f>
        <v>6.79</v>
      </c>
      <c r="I303" s="1" t="n">
        <v>173</v>
      </c>
      <c r="J303" s="1" t="n">
        <f aca="false">I303-I302</f>
        <v>99</v>
      </c>
    </row>
    <row r="304" customFormat="false" ht="13.8" hidden="false" customHeight="false" outlineLevel="0" collapsed="false">
      <c r="A304" s="1" t="n">
        <v>303</v>
      </c>
      <c r="B304" s="30" t="n">
        <v>44133</v>
      </c>
      <c r="C304" s="1" t="n">
        <v>11418</v>
      </c>
      <c r="D304" s="1" t="n">
        <f aca="false">C304-C303</f>
        <v>-5757</v>
      </c>
      <c r="E304" s="1" t="n">
        <v>488.8</v>
      </c>
      <c r="F304" s="1" t="n">
        <f aca="false">E304-E303</f>
        <v>-226.8</v>
      </c>
      <c r="G304" s="1" t="n">
        <v>8.22</v>
      </c>
      <c r="H304" s="1" t="n">
        <f aca="false">G304-G303</f>
        <v>-4.15</v>
      </c>
      <c r="I304" s="1" t="n">
        <v>121</v>
      </c>
      <c r="J304" s="1" t="n">
        <f aca="false">I304-I303</f>
        <v>-52</v>
      </c>
    </row>
    <row r="305" customFormat="false" ht="13.8" hidden="false" customHeight="false" outlineLevel="0" collapsed="false">
      <c r="A305" s="1" t="n">
        <v>304</v>
      </c>
      <c r="B305" s="30" t="n">
        <v>44134</v>
      </c>
      <c r="C305" s="1" t="n">
        <v>2722</v>
      </c>
      <c r="D305" s="1" t="n">
        <f aca="false">C305-C304</f>
        <v>-8696</v>
      </c>
      <c r="E305" s="1" t="n">
        <v>128.1</v>
      </c>
      <c r="F305" s="1" t="n">
        <f aca="false">E305-E304</f>
        <v>-360.7</v>
      </c>
      <c r="G305" s="1" t="n">
        <v>1.96</v>
      </c>
      <c r="H305" s="1" t="n">
        <f aca="false">G305-G304</f>
        <v>-6.26</v>
      </c>
      <c r="I305" s="1" t="n">
        <v>35</v>
      </c>
      <c r="J305" s="1" t="n">
        <f aca="false">I305-I304</f>
        <v>-86</v>
      </c>
    </row>
    <row r="306" customFormat="false" ht="13.8" hidden="false" customHeight="false" outlineLevel="0" collapsed="false">
      <c r="A306" s="1" t="n">
        <v>305</v>
      </c>
      <c r="B306" s="30" t="n">
        <v>44135</v>
      </c>
      <c r="C306" s="1" t="n">
        <v>13130</v>
      </c>
      <c r="D306" s="1" t="n">
        <f aca="false">C306-C305</f>
        <v>10408</v>
      </c>
      <c r="E306" s="1" t="n">
        <v>572.5</v>
      </c>
      <c r="F306" s="1" t="n">
        <f aca="false">E306-E305</f>
        <v>444.4</v>
      </c>
      <c r="G306" s="1" t="n">
        <v>9.45</v>
      </c>
      <c r="H306" s="1" t="n">
        <f aca="false">G306-G305</f>
        <v>7.49</v>
      </c>
      <c r="I306" s="1" t="n">
        <v>147</v>
      </c>
      <c r="J306" s="1" t="n">
        <f aca="false">I306-I305</f>
        <v>112</v>
      </c>
    </row>
    <row r="307" customFormat="false" ht="13.8" hidden="false" customHeight="false" outlineLevel="0" collapsed="false">
      <c r="A307" s="1" t="n">
        <v>306</v>
      </c>
      <c r="B307" s="30" t="n">
        <v>44136</v>
      </c>
      <c r="C307" s="1" t="n">
        <v>608</v>
      </c>
      <c r="D307" s="1" t="n">
        <f aca="false">C307-C306</f>
        <v>-12522</v>
      </c>
      <c r="E307" s="1" t="n">
        <v>28</v>
      </c>
      <c r="F307" s="1" t="n">
        <f aca="false">E307-E306</f>
        <v>-544.5</v>
      </c>
      <c r="G307" s="1" t="n">
        <v>0.44</v>
      </c>
      <c r="H307" s="1" t="n">
        <f aca="false">G307-G306</f>
        <v>-9.01</v>
      </c>
      <c r="I307" s="1" t="n">
        <v>7</v>
      </c>
      <c r="J307" s="1" t="n">
        <f aca="false">I307-I306</f>
        <v>-140</v>
      </c>
      <c r="L307" s="1" t="s">
        <v>2</v>
      </c>
      <c r="M307" s="1" t="s">
        <v>179</v>
      </c>
      <c r="N307" s="1" t="s">
        <v>175</v>
      </c>
      <c r="O307" s="1" t="s">
        <v>177</v>
      </c>
    </row>
    <row r="308" customFormat="false" ht="13.8" hidden="false" customHeight="false" outlineLevel="0" collapsed="false">
      <c r="A308" s="1" t="n">
        <v>307</v>
      </c>
      <c r="B308" s="30" t="n">
        <v>44137</v>
      </c>
      <c r="C308" s="1" t="n">
        <v>401</v>
      </c>
      <c r="D308" s="1" t="n">
        <f aca="false">C308-C307</f>
        <v>-207</v>
      </c>
      <c r="E308" s="1" t="n">
        <v>17.8</v>
      </c>
      <c r="F308" s="1" t="n">
        <f aca="false">E308-E307</f>
        <v>-10.2</v>
      </c>
      <c r="G308" s="1" t="n">
        <v>0.29</v>
      </c>
      <c r="H308" s="1" t="n">
        <f aca="false">G308-G307</f>
        <v>-0.15</v>
      </c>
      <c r="I308" s="1" t="n">
        <v>4</v>
      </c>
      <c r="J308" s="1" t="n">
        <f aca="false">I308-I307</f>
        <v>-3</v>
      </c>
      <c r="K308" s="1" t="s">
        <v>8</v>
      </c>
      <c r="L308" s="1" t="n">
        <f aca="false">AVERAGE($C$307:$C$336)</f>
        <v>6271.41379310345</v>
      </c>
      <c r="M308" s="1" t="n">
        <f aca="false">AVERAGE($E$307:$E$336)</f>
        <v>279.489655172414</v>
      </c>
      <c r="N308" s="1" t="n">
        <f aca="false">AVERAGE($G$307:$G$336)</f>
        <v>5.39068965517241</v>
      </c>
      <c r="O308" s="1" t="n">
        <f aca="false">AVERAGE($I$307:$I$336)</f>
        <v>72.2413793103448</v>
      </c>
    </row>
    <row r="309" customFormat="false" ht="13.8" hidden="false" customHeight="false" outlineLevel="0" collapsed="false">
      <c r="A309" s="1" t="n">
        <v>308</v>
      </c>
      <c r="B309" s="30" t="n">
        <v>44138</v>
      </c>
      <c r="D309" s="1" t="n">
        <f aca="false">C309-C308</f>
        <v>-401</v>
      </c>
      <c r="F309" s="1" t="n">
        <f aca="false">E309-E308</f>
        <v>-17.8</v>
      </c>
      <c r="H309" s="1" t="n">
        <f aca="false">G309-G308</f>
        <v>-0.29</v>
      </c>
      <c r="J309" s="1" t="n">
        <f aca="false">I309-I308</f>
        <v>-4</v>
      </c>
      <c r="K309" s="1" t="s">
        <v>10</v>
      </c>
      <c r="L309" s="1" t="n">
        <f aca="false">SQRT(VAR($C$307:$C$336)/COUNT($C$307:$C$336))</f>
        <v>1268.82732166751</v>
      </c>
      <c r="M309" s="1" t="n">
        <f aca="false">SQRT(VAR($E$307:$E$336)/COUNT($E$307:$E$336))</f>
        <v>53.8360115675206</v>
      </c>
      <c r="N309" s="1" t="n">
        <f aca="false">SQRT(VAR($G$307:$G$336)/COUNT($G$307:$G$336))</f>
        <v>1.22237634298939</v>
      </c>
      <c r="O309" s="1" t="n">
        <f aca="false">SQRT(VAR($I$307:$I$336)/COUNT($I$307:$I$336))</f>
        <v>13.3750977320138</v>
      </c>
    </row>
    <row r="310" customFormat="false" ht="13.8" hidden="false" customHeight="false" outlineLevel="0" collapsed="false">
      <c r="A310" s="1" t="n">
        <v>309</v>
      </c>
      <c r="B310" s="30" t="n">
        <v>44139</v>
      </c>
      <c r="C310" s="1" t="n">
        <v>3853</v>
      </c>
      <c r="D310" s="1" t="n">
        <f aca="false">C310-C309</f>
        <v>3853</v>
      </c>
      <c r="E310" s="1" t="n">
        <v>179.5</v>
      </c>
      <c r="F310" s="1" t="n">
        <f aca="false">E310-E309</f>
        <v>179.5</v>
      </c>
      <c r="G310" s="1" t="n">
        <v>2.77</v>
      </c>
      <c r="H310" s="1" t="n">
        <f aca="false">G310-G309</f>
        <v>2.77</v>
      </c>
      <c r="I310" s="1" t="n">
        <v>49</v>
      </c>
      <c r="J310" s="1" t="n">
        <f aca="false">I310-I309</f>
        <v>49</v>
      </c>
      <c r="K310" s="1" t="s">
        <v>14</v>
      </c>
      <c r="L310" s="1" t="e">
        <f aca="false">MODE($C$307:$C$336)</f>
        <v>#VALUE!</v>
      </c>
      <c r="M310" s="1" t="e">
        <f aca="false">MODE($E$307:$E$336)</f>
        <v>#VALUE!</v>
      </c>
      <c r="N310" s="1" t="e">
        <f aca="false">MODE($G$307:$G$336)</f>
        <v>#VALUE!</v>
      </c>
      <c r="O310" s="1" t="n">
        <f aca="false">MODE($I$307:$I$336)</f>
        <v>50</v>
      </c>
    </row>
    <row r="311" customFormat="false" ht="13.8" hidden="false" customHeight="false" outlineLevel="0" collapsed="false">
      <c r="A311" s="1" t="n">
        <v>310</v>
      </c>
      <c r="B311" s="30" t="n">
        <v>44140</v>
      </c>
      <c r="C311" s="1" t="n">
        <v>9645</v>
      </c>
      <c r="D311" s="1" t="n">
        <f aca="false">C311-C310</f>
        <v>5792</v>
      </c>
      <c r="E311" s="1" t="n">
        <v>411.5</v>
      </c>
      <c r="F311" s="1" t="n">
        <f aca="false">E311-E310</f>
        <v>232</v>
      </c>
      <c r="G311" s="1" t="n">
        <v>6.94</v>
      </c>
      <c r="H311" s="1" t="n">
        <f aca="false">G311-G310</f>
        <v>4.17</v>
      </c>
      <c r="I311" s="1" t="n">
        <v>102</v>
      </c>
      <c r="J311" s="1" t="n">
        <f aca="false">I311-I310</f>
        <v>53</v>
      </c>
      <c r="K311" s="1" t="s">
        <v>12</v>
      </c>
      <c r="L311" s="1" t="n">
        <f aca="false">MEDIAN($C$307:$C$336)</f>
        <v>4109</v>
      </c>
      <c r="M311" s="1" t="n">
        <f aca="false">MEDIAN($E$307:$E$336)</f>
        <v>196.6</v>
      </c>
      <c r="N311" s="1" t="n">
        <f aca="false">MEDIAN($G$307:$G$336)</f>
        <v>3.13</v>
      </c>
      <c r="O311" s="1" t="n">
        <f aca="false">MEDIAN($I$307:$I$336)</f>
        <v>54</v>
      </c>
    </row>
    <row r="312" customFormat="false" ht="13.8" hidden="false" customHeight="false" outlineLevel="0" collapsed="false">
      <c r="A312" s="1" t="n">
        <v>311</v>
      </c>
      <c r="B312" s="30" t="n">
        <v>44141</v>
      </c>
      <c r="C312" s="1" t="n">
        <v>3451</v>
      </c>
      <c r="D312" s="1" t="n">
        <f aca="false">C312-C311</f>
        <v>-6194</v>
      </c>
      <c r="E312" s="1" t="n">
        <v>151.2</v>
      </c>
      <c r="F312" s="1" t="n">
        <f aca="false">E312-E311</f>
        <v>-260.3</v>
      </c>
      <c r="G312" s="1" t="n">
        <v>2.48</v>
      </c>
      <c r="H312" s="1" t="n">
        <f aca="false">G312-G311</f>
        <v>-4.46</v>
      </c>
      <c r="I312" s="1" t="n">
        <v>38</v>
      </c>
      <c r="J312" s="1" t="n">
        <f aca="false">I312-I311</f>
        <v>-64</v>
      </c>
      <c r="K312" s="1" t="s">
        <v>195</v>
      </c>
      <c r="L312" s="1" t="n">
        <f aca="false">QUARTILE($C$307:$C$336, 1)</f>
        <v>3422</v>
      </c>
      <c r="M312" s="1" t="n">
        <f aca="false">QUARTILE($E$307:$E$336, 1)</f>
        <v>151.2</v>
      </c>
      <c r="N312" s="1" t="n">
        <f aca="false">QUARTILE($G$307:$G$336, 1)</f>
        <v>2.46</v>
      </c>
      <c r="O312" s="1" t="n">
        <f aca="false">QUARTILE($I$307:$I$336, 1)</f>
        <v>41</v>
      </c>
    </row>
    <row r="313" customFormat="false" ht="13.8" hidden="false" customHeight="false" outlineLevel="0" collapsed="false">
      <c r="A313" s="1" t="n">
        <v>312</v>
      </c>
      <c r="B313" s="30" t="n">
        <v>44142</v>
      </c>
      <c r="C313" s="1" t="n">
        <v>4039</v>
      </c>
      <c r="D313" s="1" t="n">
        <f aca="false">C313-C312</f>
        <v>588</v>
      </c>
      <c r="E313" s="1" t="n">
        <v>190.7</v>
      </c>
      <c r="F313" s="1" t="n">
        <f aca="false">E313-E312</f>
        <v>39.5</v>
      </c>
      <c r="G313" s="1" t="n">
        <v>2.91</v>
      </c>
      <c r="H313" s="1" t="n">
        <f aca="false">G313-G312</f>
        <v>0.43</v>
      </c>
      <c r="I313" s="1" t="n">
        <v>52</v>
      </c>
      <c r="J313" s="1" t="n">
        <f aca="false">I313-I312</f>
        <v>14</v>
      </c>
      <c r="K313" s="1" t="s">
        <v>181</v>
      </c>
      <c r="L313" s="1" t="n">
        <f aca="false">QUARTILE($C$307:$C$336, 3)</f>
        <v>7450</v>
      </c>
      <c r="M313" s="1" t="n">
        <f aca="false">QUARTILE($E$307:$E$336, 3)</f>
        <v>328.5</v>
      </c>
      <c r="N313" s="1" t="n">
        <f aca="false">QUARTILE($G$307:$G$336, 3)</f>
        <v>5.37</v>
      </c>
      <c r="O313" s="1" t="n">
        <f aca="false">QUARTILE($I$307:$I$336, 3)</f>
        <v>84</v>
      </c>
    </row>
    <row r="314" customFormat="false" ht="13.8" hidden="false" customHeight="false" outlineLevel="0" collapsed="false">
      <c r="A314" s="1" t="n">
        <v>313</v>
      </c>
      <c r="B314" s="30" t="n">
        <v>44143</v>
      </c>
      <c r="C314" s="1" t="n">
        <v>4109</v>
      </c>
      <c r="D314" s="1" t="n">
        <f aca="false">C314-C313</f>
        <v>70</v>
      </c>
      <c r="E314" s="1" t="n">
        <v>196.6</v>
      </c>
      <c r="F314" s="1" t="n">
        <f aca="false">E314-E313</f>
        <v>5.90000000000001</v>
      </c>
      <c r="G314" s="1" t="n">
        <v>2.96</v>
      </c>
      <c r="H314" s="1" t="n">
        <f aca="false">G314-G313</f>
        <v>0.0499999999999998</v>
      </c>
      <c r="I314" s="1" t="n">
        <v>54</v>
      </c>
      <c r="J314" s="1" t="n">
        <f aca="false">I314-I313</f>
        <v>2</v>
      </c>
      <c r="K314" s="1" t="s">
        <v>182</v>
      </c>
      <c r="L314" s="1" t="n">
        <f aca="false">VAR($C$307:$C$336)</f>
        <v>46687760.3940887</v>
      </c>
      <c r="M314" s="1" t="n">
        <f aca="false">VAR($E$307:$E$336)</f>
        <v>84051.1681034483</v>
      </c>
      <c r="N314" s="1" t="n">
        <f aca="false">VAR($G$307:$G$336)</f>
        <v>43.3319137931034</v>
      </c>
      <c r="O314" s="1" t="n">
        <f aca="false">VAR($I$307:$I$336)</f>
        <v>5187.9039408867</v>
      </c>
    </row>
    <row r="315" customFormat="false" ht="13.8" hidden="false" customHeight="false" outlineLevel="0" collapsed="false">
      <c r="A315" s="1" t="n">
        <v>314</v>
      </c>
      <c r="B315" s="30" t="n">
        <v>44144</v>
      </c>
      <c r="C315" s="1" t="n">
        <v>5927</v>
      </c>
      <c r="D315" s="1" t="n">
        <f aca="false">C315-C314</f>
        <v>1818</v>
      </c>
      <c r="E315" s="1" t="n">
        <v>259.2</v>
      </c>
      <c r="F315" s="1" t="n">
        <f aca="false">E315-E314</f>
        <v>62.6</v>
      </c>
      <c r="G315" s="1" t="n">
        <v>4.27</v>
      </c>
      <c r="H315" s="1" t="n">
        <f aca="false">G315-G314</f>
        <v>1.31</v>
      </c>
      <c r="I315" s="1" t="n">
        <v>66</v>
      </c>
      <c r="J315" s="1" t="n">
        <f aca="false">I315-I314</f>
        <v>12</v>
      </c>
      <c r="K315" s="1" t="s">
        <v>16</v>
      </c>
      <c r="L315" s="1" t="n">
        <f aca="false">STDEV($C$307:$C$336)</f>
        <v>6832.84423897462</v>
      </c>
      <c r="M315" s="1" t="n">
        <f aca="false">STDEV($E$307:$E$336)</f>
        <v>289.915794849898</v>
      </c>
      <c r="N315" s="1" t="n">
        <f aca="false">STDEV($G$307:$G$336)</f>
        <v>6.58269806334025</v>
      </c>
      <c r="O315" s="1" t="n">
        <f aca="false">STDEV($I$307:$I$336)</f>
        <v>72.0271055984252</v>
      </c>
    </row>
    <row r="316" customFormat="false" ht="13.8" hidden="false" customHeight="false" outlineLevel="0" collapsed="false">
      <c r="A316" s="1" t="n">
        <v>315</v>
      </c>
      <c r="B316" s="30" t="n">
        <v>44145</v>
      </c>
      <c r="C316" s="1" t="n">
        <v>3917</v>
      </c>
      <c r="D316" s="1" t="n">
        <f aca="false">C316-C315</f>
        <v>-2010</v>
      </c>
      <c r="E316" s="1" t="n">
        <v>183.3</v>
      </c>
      <c r="F316" s="1" t="n">
        <f aca="false">E316-E315</f>
        <v>-75.9</v>
      </c>
      <c r="G316" s="1" t="n">
        <v>28.2</v>
      </c>
      <c r="H316" s="1" t="n">
        <f aca="false">G316-G315</f>
        <v>23.93</v>
      </c>
      <c r="I316" s="1" t="n">
        <v>50</v>
      </c>
      <c r="J316" s="1" t="n">
        <f aca="false">I316-I315</f>
        <v>-16</v>
      </c>
      <c r="K316" s="1" t="s">
        <v>20</v>
      </c>
      <c r="L316" s="1" t="n">
        <f aca="false">KURT($C$307:$C$336)</f>
        <v>9.97465524915237</v>
      </c>
      <c r="M316" s="1" t="n">
        <f aca="false">KURT($E$307:$E$336)</f>
        <v>9.74952861709319</v>
      </c>
      <c r="N316" s="1" t="n">
        <f aca="false">KURT($G$307:$G$336)</f>
        <v>6.50915580572422</v>
      </c>
      <c r="O316" s="1" t="n">
        <f aca="false">KURT($I$307:$I$336)</f>
        <v>9.36845428999088</v>
      </c>
    </row>
    <row r="317" customFormat="false" ht="13.8" hidden="false" customHeight="false" outlineLevel="0" collapsed="false">
      <c r="A317" s="1" t="n">
        <v>316</v>
      </c>
      <c r="B317" s="30" t="n">
        <v>44146</v>
      </c>
      <c r="C317" s="1" t="n">
        <v>4683</v>
      </c>
      <c r="D317" s="1" t="n">
        <f aca="false">C317-C316</f>
        <v>766</v>
      </c>
      <c r="E317" s="1" t="n">
        <v>218.8</v>
      </c>
      <c r="F317" s="1" t="n">
        <f aca="false">E317-E316</f>
        <v>35.5</v>
      </c>
      <c r="G317" s="1" t="n">
        <v>3.37</v>
      </c>
      <c r="H317" s="1" t="n">
        <f aca="false">G317-G316</f>
        <v>-24.83</v>
      </c>
      <c r="I317" s="1" t="n">
        <v>60</v>
      </c>
      <c r="J317" s="1" t="n">
        <f aca="false">I317-I316</f>
        <v>10</v>
      </c>
      <c r="K317" s="1" t="s">
        <v>22</v>
      </c>
      <c r="L317" s="1" t="n">
        <f aca="false">SKEW($C$307:$C$336)</f>
        <v>2.92149193592499</v>
      </c>
      <c r="M317" s="1" t="n">
        <f aca="false">SKEW($E$307:$E$336)</f>
        <v>2.87572787998562</v>
      </c>
      <c r="N317" s="1" t="n">
        <f aca="false">SKEW($G$307:$G$336)</f>
        <v>2.57537280512949</v>
      </c>
      <c r="O317" s="1" t="n">
        <f aca="false">SKEW($I$307:$I$336)</f>
        <v>2.81337290764462</v>
      </c>
    </row>
    <row r="318" customFormat="false" ht="13.8" hidden="false" customHeight="false" outlineLevel="0" collapsed="false">
      <c r="A318" s="1" t="n">
        <v>317</v>
      </c>
      <c r="B318" s="30" t="n">
        <v>44147</v>
      </c>
      <c r="C318" s="1" t="n">
        <v>6097</v>
      </c>
      <c r="D318" s="1" t="n">
        <f aca="false">C318-C317</f>
        <v>1414</v>
      </c>
      <c r="E318" s="1" t="n">
        <v>296.8</v>
      </c>
      <c r="F318" s="1" t="n">
        <f aca="false">E318-E317</f>
        <v>78</v>
      </c>
      <c r="G318" s="1" t="n">
        <v>4.39</v>
      </c>
      <c r="H318" s="1" t="n">
        <f aca="false">G318-G317</f>
        <v>1.02</v>
      </c>
      <c r="I318" s="1" t="n">
        <v>84</v>
      </c>
      <c r="J318" s="1" t="n">
        <f aca="false">I318-I317</f>
        <v>24</v>
      </c>
      <c r="K318" s="1" t="s">
        <v>24</v>
      </c>
      <c r="L318" s="1" t="n">
        <f aca="false">MAX($C$307:$C$336)-MIN($C$307:$C$336)</f>
        <v>33813</v>
      </c>
      <c r="M318" s="1" t="n">
        <f aca="false">MAX($E$307:$E$336)-MIN($E$307:$E$336)</f>
        <v>1440.5</v>
      </c>
      <c r="N318" s="1" t="n">
        <f aca="false">MAX($G$307:$G$336)-MIN($G$307:$G$336)</f>
        <v>28.08</v>
      </c>
      <c r="O318" s="1" t="n">
        <f aca="false">MAX($I$307:$I$336)-MIN($I$307:$I$336)</f>
        <v>358</v>
      </c>
    </row>
    <row r="319" customFormat="false" ht="13.8" hidden="false" customHeight="false" outlineLevel="0" collapsed="false">
      <c r="A319" s="1" t="n">
        <v>318</v>
      </c>
      <c r="B319" s="30" t="n">
        <v>44148</v>
      </c>
      <c r="C319" s="1" t="n">
        <v>10820</v>
      </c>
      <c r="D319" s="1" t="n">
        <f aca="false">C319-C318</f>
        <v>4723</v>
      </c>
      <c r="E319" s="1" t="n">
        <v>486.5</v>
      </c>
      <c r="F319" s="1" t="n">
        <f aca="false">E319-E318</f>
        <v>189.7</v>
      </c>
      <c r="G319" s="1" t="n">
        <v>7.79</v>
      </c>
      <c r="H319" s="1" t="n">
        <f aca="false">G319-G318</f>
        <v>3.4</v>
      </c>
      <c r="I319" s="1" t="n">
        <v>127</v>
      </c>
      <c r="J319" s="1" t="n">
        <f aca="false">I319-I318</f>
        <v>43</v>
      </c>
      <c r="K319" s="1" t="s">
        <v>26</v>
      </c>
      <c r="L319" s="1" t="n">
        <f aca="false">MIN($C$307:$C$336)</f>
        <v>164</v>
      </c>
      <c r="M319" s="1" t="n">
        <f aca="false">MIN($E$307:$E$336)</f>
        <v>7.2</v>
      </c>
      <c r="N319" s="1" t="n">
        <f aca="false">MIN($G$307:$G$336)</f>
        <v>0.12</v>
      </c>
      <c r="O319" s="1" t="n">
        <f aca="false">MIN($I$307:$I$336)</f>
        <v>1</v>
      </c>
    </row>
    <row r="320" customFormat="false" ht="13.8" hidden="false" customHeight="false" outlineLevel="0" collapsed="false">
      <c r="A320" s="1" t="n">
        <v>319</v>
      </c>
      <c r="B320" s="30" t="n">
        <v>44149</v>
      </c>
      <c r="C320" s="1" t="n">
        <v>33977</v>
      </c>
      <c r="D320" s="1" t="n">
        <f aca="false">C320-C319</f>
        <v>23157</v>
      </c>
      <c r="E320" s="1" t="n">
        <v>1447.7</v>
      </c>
      <c r="F320" s="1" t="n">
        <f aca="false">E320-E319</f>
        <v>961.2</v>
      </c>
      <c r="G320" s="1" t="n">
        <v>24.46</v>
      </c>
      <c r="H320" s="1" t="n">
        <f aca="false">G320-G319</f>
        <v>16.67</v>
      </c>
      <c r="I320" s="1" t="n">
        <v>359</v>
      </c>
      <c r="J320" s="1" t="n">
        <f aca="false">I320-I319</f>
        <v>232</v>
      </c>
      <c r="K320" s="1" t="s">
        <v>28</v>
      </c>
      <c r="L320" s="1" t="n">
        <f aca="false">MAX($C$307:$C$336)</f>
        <v>33977</v>
      </c>
      <c r="M320" s="1" t="n">
        <f aca="false">MAX($E$307:$E$336)</f>
        <v>1447.7</v>
      </c>
      <c r="N320" s="1" t="n">
        <f aca="false">MAX($G$307:$G$336)</f>
        <v>28.2</v>
      </c>
      <c r="O320" s="1" t="n">
        <f aca="false">MAX($I$307:$I$336)</f>
        <v>359</v>
      </c>
    </row>
    <row r="321" customFormat="false" ht="13.8" hidden="false" customHeight="false" outlineLevel="0" collapsed="false">
      <c r="A321" s="1" t="n">
        <v>320</v>
      </c>
      <c r="B321" s="30" t="n">
        <v>44150</v>
      </c>
      <c r="C321" s="1" t="n">
        <v>3968</v>
      </c>
      <c r="D321" s="1" t="n">
        <f aca="false">C321-C320</f>
        <v>-30009</v>
      </c>
      <c r="E321" s="1" t="n">
        <v>188.2</v>
      </c>
      <c r="F321" s="1" t="n">
        <f aca="false">E321-E320</f>
        <v>-1259.5</v>
      </c>
      <c r="G321" s="1" t="n">
        <v>2.86</v>
      </c>
      <c r="H321" s="1" t="n">
        <f aca="false">G321-G320</f>
        <v>-21.6</v>
      </c>
      <c r="I321" s="1" t="n">
        <v>52</v>
      </c>
      <c r="J321" s="1" t="n">
        <f aca="false">I321-I320</f>
        <v>-307</v>
      </c>
      <c r="K321" s="1" t="s">
        <v>30</v>
      </c>
      <c r="L321" s="1" t="n">
        <f aca="false">SUM($C$307:$C$336)</f>
        <v>181871</v>
      </c>
      <c r="M321" s="1" t="n">
        <f aca="false">SUM($E$307:$E$336)</f>
        <v>8105.2</v>
      </c>
      <c r="N321" s="1" t="n">
        <f aca="false">SUM($G$307:$G$336)</f>
        <v>156.33</v>
      </c>
      <c r="O321" s="1" t="n">
        <f aca="false">SUM($I$307:$I$336)</f>
        <v>2095</v>
      </c>
    </row>
    <row r="322" customFormat="false" ht="13.8" hidden="false" customHeight="false" outlineLevel="0" collapsed="false">
      <c r="A322" s="1" t="n">
        <v>321</v>
      </c>
      <c r="B322" s="30" t="n">
        <v>44151</v>
      </c>
      <c r="C322" s="1" t="n">
        <v>7956</v>
      </c>
      <c r="D322" s="1" t="n">
        <f aca="false">C322-C321</f>
        <v>3988</v>
      </c>
      <c r="E322" s="1" t="n">
        <v>337.9</v>
      </c>
      <c r="F322" s="1" t="n">
        <f aca="false">E322-E321</f>
        <v>149.7</v>
      </c>
      <c r="G322" s="1" t="n">
        <v>5.73</v>
      </c>
      <c r="H322" s="1" t="n">
        <f aca="false">G322-G321</f>
        <v>2.87</v>
      </c>
      <c r="I322" s="1" t="n">
        <v>73</v>
      </c>
      <c r="J322" s="1" t="n">
        <f aca="false">I322-I321</f>
        <v>21</v>
      </c>
      <c r="K322" s="1" t="s">
        <v>32</v>
      </c>
      <c r="L322" s="1" t="n">
        <f aca="false">COUNT($C$307:$C$336)</f>
        <v>29</v>
      </c>
      <c r="M322" s="1" t="n">
        <f aca="false">COUNT($E$307:$E$336)</f>
        <v>29</v>
      </c>
      <c r="N322" s="1" t="n">
        <f aca="false">COUNT($G$307:$G$336)</f>
        <v>29</v>
      </c>
      <c r="O322" s="1" t="n">
        <f aca="false">COUNT($I$307:$I$336)</f>
        <v>29</v>
      </c>
    </row>
    <row r="323" customFormat="false" ht="13.8" hidden="false" customHeight="false" outlineLevel="0" collapsed="false">
      <c r="A323" s="1" t="n">
        <v>322</v>
      </c>
      <c r="B323" s="30" t="n">
        <v>44152</v>
      </c>
      <c r="C323" s="1" t="n">
        <v>7450</v>
      </c>
      <c r="D323" s="1" t="n">
        <f aca="false">C323-C322</f>
        <v>-506</v>
      </c>
      <c r="E323" s="1" t="n">
        <v>339.7</v>
      </c>
      <c r="F323" s="1" t="n">
        <f aca="false">E323-E322</f>
        <v>1.80000000000001</v>
      </c>
      <c r="G323" s="1" t="n">
        <v>5.36</v>
      </c>
      <c r="H323" s="1" t="n">
        <f aca="false">G323-G322</f>
        <v>-0.37</v>
      </c>
      <c r="I323" s="1" t="n">
        <v>91</v>
      </c>
      <c r="J323" s="1" t="n">
        <f aca="false">I323-I322</f>
        <v>18</v>
      </c>
    </row>
    <row r="324" customFormat="false" ht="13.8" hidden="false" customHeight="false" outlineLevel="0" collapsed="false">
      <c r="A324" s="1" t="n">
        <v>323</v>
      </c>
      <c r="B324" s="30" t="n">
        <v>44153</v>
      </c>
      <c r="C324" s="1" t="n">
        <v>1592</v>
      </c>
      <c r="D324" s="1" t="n">
        <f aca="false">C324-C323</f>
        <v>-5858</v>
      </c>
      <c r="E324" s="1" t="n">
        <v>74.9</v>
      </c>
      <c r="F324" s="1" t="n">
        <f aca="false">E324-E323</f>
        <v>-264.8</v>
      </c>
      <c r="G324" s="1" t="n">
        <v>1.15</v>
      </c>
      <c r="H324" s="1" t="n">
        <f aca="false">G324-G323</f>
        <v>-4.21</v>
      </c>
      <c r="I324" s="1" t="n">
        <v>20</v>
      </c>
      <c r="J324" s="1" t="n">
        <f aca="false">I324-I323</f>
        <v>-71</v>
      </c>
    </row>
    <row r="325" customFormat="false" ht="13.8" hidden="false" customHeight="false" outlineLevel="0" collapsed="false">
      <c r="A325" s="1" t="n">
        <v>324</v>
      </c>
      <c r="B325" s="30" t="n">
        <v>44154</v>
      </c>
      <c r="C325" s="1" t="n">
        <v>6023</v>
      </c>
      <c r="D325" s="1" t="n">
        <f aca="false">C325-C324</f>
        <v>4431</v>
      </c>
      <c r="E325" s="1" t="n">
        <v>256.6</v>
      </c>
      <c r="F325" s="1" t="n">
        <f aca="false">E325-E324</f>
        <v>181.7</v>
      </c>
      <c r="G325" s="1" t="n">
        <v>4.34</v>
      </c>
      <c r="H325" s="1" t="n">
        <f aca="false">G325-G324</f>
        <v>3.19</v>
      </c>
      <c r="I325" s="1" t="n">
        <v>64</v>
      </c>
      <c r="J325" s="1" t="n">
        <f aca="false">I325-I324</f>
        <v>44</v>
      </c>
    </row>
    <row r="326" customFormat="false" ht="13.8" hidden="false" customHeight="false" outlineLevel="0" collapsed="false">
      <c r="A326" s="1" t="n">
        <v>325</v>
      </c>
      <c r="B326" s="30" t="n">
        <v>44155</v>
      </c>
      <c r="C326" s="1" t="n">
        <v>7460</v>
      </c>
      <c r="D326" s="1" t="n">
        <f aca="false">C326-C325</f>
        <v>1437</v>
      </c>
      <c r="E326" s="1" t="n">
        <v>328.5</v>
      </c>
      <c r="F326" s="1" t="n">
        <f aca="false">E326-E325</f>
        <v>71.9</v>
      </c>
      <c r="G326" s="1" t="n">
        <v>5.37</v>
      </c>
      <c r="H326" s="1" t="n">
        <f aca="false">G326-G325</f>
        <v>1.03</v>
      </c>
      <c r="I326" s="1" t="n">
        <v>84</v>
      </c>
      <c r="J326" s="1" t="n">
        <f aca="false">I326-I325</f>
        <v>20</v>
      </c>
    </row>
    <row r="327" customFormat="false" ht="13.8" hidden="false" customHeight="false" outlineLevel="0" collapsed="false">
      <c r="A327" s="1" t="n">
        <v>326</v>
      </c>
      <c r="B327" s="30" t="n">
        <v>44156</v>
      </c>
      <c r="C327" s="1" t="n">
        <v>164</v>
      </c>
      <c r="D327" s="1" t="n">
        <f aca="false">C327-C326</f>
        <v>-7296</v>
      </c>
      <c r="E327" s="1" t="n">
        <v>7.2</v>
      </c>
      <c r="F327" s="1" t="n">
        <f aca="false">E327-E326</f>
        <v>-321.3</v>
      </c>
      <c r="G327" s="1" t="n">
        <v>0.12</v>
      </c>
      <c r="H327" s="1" t="n">
        <f aca="false">G327-G326</f>
        <v>-5.25</v>
      </c>
      <c r="I327" s="1" t="n">
        <v>1</v>
      </c>
      <c r="J327" s="1" t="n">
        <f aca="false">I327-I326</f>
        <v>-83</v>
      </c>
    </row>
    <row r="328" customFormat="false" ht="13.8" hidden="false" customHeight="false" outlineLevel="0" collapsed="false">
      <c r="A328" s="1" t="n">
        <v>327</v>
      </c>
      <c r="B328" s="30" t="n">
        <v>44157</v>
      </c>
      <c r="C328" s="1" t="n">
        <v>4354</v>
      </c>
      <c r="D328" s="1" t="n">
        <f aca="false">C328-C327</f>
        <v>4190</v>
      </c>
      <c r="E328" s="1" t="n">
        <v>213.7</v>
      </c>
      <c r="F328" s="1" t="n">
        <f aca="false">E328-E327</f>
        <v>206.5</v>
      </c>
      <c r="G328" s="1" t="n">
        <v>3.13</v>
      </c>
      <c r="H328" s="1" t="n">
        <f aca="false">G328-G327</f>
        <v>3.01</v>
      </c>
      <c r="I328" s="1" t="n">
        <v>60</v>
      </c>
      <c r="J328" s="1" t="n">
        <f aca="false">I328-I327</f>
        <v>59</v>
      </c>
    </row>
    <row r="329" customFormat="false" ht="13.8" hidden="false" customHeight="false" outlineLevel="0" collapsed="false">
      <c r="A329" s="1" t="n">
        <v>328</v>
      </c>
      <c r="B329" s="30" t="n">
        <v>44158</v>
      </c>
      <c r="C329" s="1" t="n">
        <v>3918</v>
      </c>
      <c r="D329" s="1" t="n">
        <f aca="false">C329-C328</f>
        <v>-436</v>
      </c>
      <c r="E329" s="1" t="n">
        <v>184.1</v>
      </c>
      <c r="F329" s="1" t="n">
        <f aca="false">E329-E328</f>
        <v>-29.6</v>
      </c>
      <c r="G329" s="1" t="n">
        <v>2.82</v>
      </c>
      <c r="H329" s="1" t="n">
        <f aca="false">G329-G328</f>
        <v>-0.31</v>
      </c>
      <c r="I329" s="1" t="n">
        <v>50</v>
      </c>
      <c r="J329" s="1" t="n">
        <f aca="false">I329-I328</f>
        <v>-10</v>
      </c>
    </row>
    <row r="330" customFormat="false" ht="13.8" hidden="false" customHeight="false" outlineLevel="0" collapsed="false">
      <c r="A330" s="1" t="n">
        <v>329</v>
      </c>
      <c r="B330" s="30" t="n">
        <v>44159</v>
      </c>
      <c r="C330" s="1" t="n">
        <v>3422</v>
      </c>
      <c r="D330" s="1" t="n">
        <f aca="false">C330-C329</f>
        <v>-496</v>
      </c>
      <c r="E330" s="1" t="n">
        <v>160.6</v>
      </c>
      <c r="F330" s="1" t="n">
        <f aca="false">E330-E329</f>
        <v>-23.5</v>
      </c>
      <c r="G330" s="1" t="n">
        <v>2.46</v>
      </c>
      <c r="H330" s="1" t="n">
        <f aca="false">G330-G329</f>
        <v>-0.36</v>
      </c>
      <c r="I330" s="1" t="n">
        <v>44</v>
      </c>
      <c r="J330" s="1" t="n">
        <f aca="false">I330-I329</f>
        <v>-6</v>
      </c>
    </row>
    <row r="331" customFormat="false" ht="13.8" hidden="false" customHeight="false" outlineLevel="0" collapsed="false">
      <c r="A331" s="1" t="n">
        <v>330</v>
      </c>
      <c r="B331" s="30" t="n">
        <v>44160</v>
      </c>
      <c r="C331" s="1" t="n">
        <v>10914</v>
      </c>
      <c r="D331" s="1" t="n">
        <f aca="false">C331-C330</f>
        <v>7492</v>
      </c>
      <c r="E331" s="1" t="n">
        <v>454.8</v>
      </c>
      <c r="F331" s="1" t="n">
        <f aca="false">E331-E330</f>
        <v>294.2</v>
      </c>
      <c r="G331" s="1" t="n">
        <v>7.86</v>
      </c>
      <c r="H331" s="1" t="n">
        <f aca="false">G331-G330</f>
        <v>5.4</v>
      </c>
      <c r="I331" s="1" t="n">
        <v>110</v>
      </c>
      <c r="J331" s="1" t="n">
        <f aca="false">I331-I330</f>
        <v>66</v>
      </c>
    </row>
    <row r="332" customFormat="false" ht="13.8" hidden="false" customHeight="false" outlineLevel="0" collapsed="false">
      <c r="A332" s="1" t="n">
        <v>331</v>
      </c>
      <c r="B332" s="30" t="n">
        <v>44161</v>
      </c>
      <c r="C332" s="1" t="n">
        <v>4513</v>
      </c>
      <c r="D332" s="1" t="n">
        <f aca="false">C332-C331</f>
        <v>-6401</v>
      </c>
      <c r="E332" s="1" t="n">
        <v>214.1</v>
      </c>
      <c r="F332" s="1" t="n">
        <f aca="false">E332-E331</f>
        <v>-240.7</v>
      </c>
      <c r="G332" s="1" t="n">
        <v>3.25</v>
      </c>
      <c r="H332" s="1" t="n">
        <f aca="false">G332-G331</f>
        <v>-4.61</v>
      </c>
      <c r="I332" s="1" t="n">
        <v>59</v>
      </c>
      <c r="J332" s="1" t="n">
        <f aca="false">I332-I331</f>
        <v>-51</v>
      </c>
    </row>
    <row r="333" customFormat="false" ht="13.8" hidden="false" customHeight="false" outlineLevel="0" collapsed="false">
      <c r="A333" s="1" t="n">
        <v>332</v>
      </c>
      <c r="B333" s="30" t="n">
        <v>44162</v>
      </c>
      <c r="C333" s="1" t="n">
        <v>1161</v>
      </c>
      <c r="D333" s="1" t="n">
        <f aca="false">C333-C332</f>
        <v>-3352</v>
      </c>
      <c r="E333" s="1" t="n">
        <v>56.5</v>
      </c>
      <c r="F333" s="1" t="n">
        <f aca="false">E333-E332</f>
        <v>-157.6</v>
      </c>
      <c r="G333" s="1" t="n">
        <v>0.84</v>
      </c>
      <c r="H333" s="1" t="n">
        <f aca="false">G333-G332</f>
        <v>-2.41</v>
      </c>
      <c r="I333" s="1" t="n">
        <v>15</v>
      </c>
      <c r="J333" s="1" t="n">
        <f aca="false">I333-I332</f>
        <v>-44</v>
      </c>
    </row>
    <row r="334" customFormat="false" ht="13.8" hidden="false" customHeight="false" outlineLevel="0" collapsed="false">
      <c r="A334" s="1" t="n">
        <v>333</v>
      </c>
      <c r="B334" s="30" t="n">
        <v>44163</v>
      </c>
      <c r="C334" s="1" t="n">
        <v>21959</v>
      </c>
      <c r="D334" s="1" t="n">
        <f aca="false">C334-C333</f>
        <v>20798</v>
      </c>
      <c r="E334" s="1" t="n">
        <v>952.4</v>
      </c>
      <c r="F334" s="1" t="n">
        <f aca="false">E334-E333</f>
        <v>895.9</v>
      </c>
      <c r="G334" s="1" t="n">
        <v>15.81</v>
      </c>
      <c r="H334" s="1" t="n">
        <f aca="false">G334-G333</f>
        <v>14.97</v>
      </c>
      <c r="I334" s="1" t="n">
        <v>244</v>
      </c>
      <c r="J334" s="1" t="n">
        <f aca="false">I334-I333</f>
        <v>229</v>
      </c>
    </row>
    <row r="335" customFormat="false" ht="13.8" hidden="false" customHeight="false" outlineLevel="0" collapsed="false">
      <c r="A335" s="1" t="n">
        <v>334</v>
      </c>
      <c r="B335" s="30" t="n">
        <v>44164</v>
      </c>
      <c r="C335" s="1" t="n">
        <v>2969</v>
      </c>
      <c r="D335" s="1" t="n">
        <f aca="false">C335-C334</f>
        <v>-18990</v>
      </c>
      <c r="E335" s="1" t="n">
        <v>145</v>
      </c>
      <c r="F335" s="1" t="n">
        <f aca="false">E335-E334</f>
        <v>-807.4</v>
      </c>
      <c r="G335" s="1" t="n">
        <v>2.14</v>
      </c>
      <c r="H335" s="1" t="n">
        <f aca="false">G335-G334</f>
        <v>-13.67</v>
      </c>
      <c r="I335" s="1" t="n">
        <v>41</v>
      </c>
      <c r="J335" s="1" t="n">
        <f aca="false">I335-I334</f>
        <v>-203</v>
      </c>
    </row>
    <row r="336" customFormat="false" ht="13.8" hidden="false" customHeight="false" outlineLevel="0" collapsed="false">
      <c r="A336" s="1" t="n">
        <v>335</v>
      </c>
      <c r="B336" s="30" t="n">
        <v>44165</v>
      </c>
      <c r="C336" s="1" t="n">
        <v>2521</v>
      </c>
      <c r="D336" s="1" t="n">
        <f aca="false">C336-C335</f>
        <v>-448</v>
      </c>
      <c r="E336" s="1" t="n">
        <v>123.4</v>
      </c>
      <c r="F336" s="1" t="n">
        <f aca="false">E336-E335</f>
        <v>-21.6</v>
      </c>
      <c r="G336" s="1" t="n">
        <v>1.82</v>
      </c>
      <c r="H336" s="1" t="n">
        <f aca="false">G336-G335</f>
        <v>-0.32</v>
      </c>
      <c r="I336" s="1" t="n">
        <v>35</v>
      </c>
      <c r="J336" s="1" t="n">
        <f aca="false">I336-I335</f>
        <v>-6</v>
      </c>
    </row>
    <row r="337" customFormat="false" ht="13.8" hidden="false" customHeight="false" outlineLevel="0" collapsed="false">
      <c r="A337" s="1" t="n">
        <v>336</v>
      </c>
      <c r="B337" s="30" t="n">
        <v>44166</v>
      </c>
      <c r="C337" s="1" t="n">
        <v>1257</v>
      </c>
      <c r="D337" s="1" t="n">
        <f aca="false">C337-C336</f>
        <v>-1264</v>
      </c>
      <c r="E337" s="1" t="n">
        <v>59</v>
      </c>
      <c r="F337" s="1" t="n">
        <f aca="false">E337-E336</f>
        <v>-64.4</v>
      </c>
      <c r="G337" s="1" t="n">
        <v>0.91</v>
      </c>
      <c r="H337" s="1" t="n">
        <f aca="false">G337-G336</f>
        <v>-0.91</v>
      </c>
      <c r="I337" s="1" t="n">
        <v>16</v>
      </c>
      <c r="J337" s="1" t="n">
        <f aca="false">I337-I336</f>
        <v>-19</v>
      </c>
      <c r="L337" s="1" t="s">
        <v>2</v>
      </c>
      <c r="M337" s="1" t="s">
        <v>179</v>
      </c>
      <c r="N337" s="1" t="s">
        <v>175</v>
      </c>
      <c r="O337" s="1" t="s">
        <v>177</v>
      </c>
    </row>
    <row r="338" customFormat="false" ht="13.8" hidden="false" customHeight="false" outlineLevel="0" collapsed="false">
      <c r="A338" s="1" t="n">
        <v>337</v>
      </c>
      <c r="B338" s="30" t="n">
        <v>44167</v>
      </c>
      <c r="C338" s="1" t="n">
        <v>2050</v>
      </c>
      <c r="D338" s="1" t="n">
        <f aca="false">C338-C337</f>
        <v>793</v>
      </c>
      <c r="E338" s="1" t="n">
        <v>10.2</v>
      </c>
      <c r="F338" s="1" t="n">
        <f aca="false">E338-E337</f>
        <v>-48.8</v>
      </c>
      <c r="G338" s="1" t="n">
        <v>1.48</v>
      </c>
      <c r="H338" s="1" t="n">
        <f aca="false">G338-G337</f>
        <v>0.57</v>
      </c>
      <c r="I338" s="1" t="n">
        <v>28</v>
      </c>
      <c r="J338" s="1" t="n">
        <f aca="false">I338-I337</f>
        <v>12</v>
      </c>
      <c r="K338" s="1" t="s">
        <v>8</v>
      </c>
      <c r="L338" s="1" t="n">
        <f aca="false">AVERAGE($C$337:$C$367)</f>
        <v>6068.70967741936</v>
      </c>
      <c r="M338" s="1" t="n">
        <f aca="false">AVERAGE($E$337:$E$367)</f>
        <v>270.464516129032</v>
      </c>
      <c r="N338" s="1" t="n">
        <f aca="false">AVERAGE($G$337:$G$367)</f>
        <v>4.36935483870968</v>
      </c>
      <c r="O338" s="1" t="n">
        <f aca="false">AVERAGE($I$337:$I$367)</f>
        <v>71.6451612903226</v>
      </c>
    </row>
    <row r="339" customFormat="false" ht="13.8" hidden="false" customHeight="false" outlineLevel="0" collapsed="false">
      <c r="A339" s="1" t="n">
        <v>338</v>
      </c>
      <c r="B339" s="30" t="n">
        <v>44168</v>
      </c>
      <c r="C339" s="1" t="n">
        <v>9946</v>
      </c>
      <c r="D339" s="1" t="n">
        <f aca="false">C339-C338</f>
        <v>7896</v>
      </c>
      <c r="E339" s="1" t="n">
        <v>475.1</v>
      </c>
      <c r="F339" s="1" t="n">
        <f aca="false">E339-E338</f>
        <v>464.9</v>
      </c>
      <c r="G339" s="1" t="n">
        <v>7.16</v>
      </c>
      <c r="H339" s="1" t="n">
        <f aca="false">G339-G338</f>
        <v>5.68</v>
      </c>
      <c r="I339" s="1" t="n">
        <v>132</v>
      </c>
      <c r="J339" s="1" t="n">
        <f aca="false">I339-I338</f>
        <v>104</v>
      </c>
      <c r="K339" s="1" t="s">
        <v>10</v>
      </c>
      <c r="L339" s="1" t="n">
        <f aca="false">SQRT(VAR($C$337:$C$367)/COUNT($C$337:$C$367))</f>
        <v>1371.0678157024</v>
      </c>
      <c r="M339" s="1" t="n">
        <f aca="false">SQRT(VAR($E$337:$E$367)/COUNT($E$337:$E$367))</f>
        <v>58.3416376052296</v>
      </c>
      <c r="N339" s="1" t="n">
        <f aca="false">SQRT(VAR($G$337:$G$367)/COUNT($G$337:$G$367))</f>
        <v>0.987080079274097</v>
      </c>
      <c r="O339" s="1" t="n">
        <f aca="false">SQRT(VAR($I$337:$I$367)/COUNT($I$337:$I$367))</f>
        <v>14.3521418271286</v>
      </c>
    </row>
    <row r="340" customFormat="false" ht="13.8" hidden="false" customHeight="false" outlineLevel="0" collapsed="false">
      <c r="A340" s="1" t="n">
        <v>339</v>
      </c>
      <c r="B340" s="30" t="n">
        <v>44169</v>
      </c>
      <c r="C340" s="1" t="n">
        <v>3980</v>
      </c>
      <c r="D340" s="1" t="n">
        <f aca="false">C340-C339</f>
        <v>-5966</v>
      </c>
      <c r="E340" s="1" t="n">
        <v>199.9</v>
      </c>
      <c r="F340" s="1" t="n">
        <f aca="false">E340-E339</f>
        <v>-275.2</v>
      </c>
      <c r="G340" s="1" t="n">
        <v>2.87</v>
      </c>
      <c r="H340" s="1" t="n">
        <f aca="false">G340-G339</f>
        <v>-4.29</v>
      </c>
      <c r="I340" s="1" t="n">
        <v>57</v>
      </c>
      <c r="J340" s="1" t="n">
        <f aca="false">I340-I339</f>
        <v>-75</v>
      </c>
      <c r="K340" s="1" t="s">
        <v>14</v>
      </c>
      <c r="L340" s="1" t="e">
        <f aca="false">MODE($C$337:$C$367)</f>
        <v>#VALUE!</v>
      </c>
      <c r="M340" s="1" t="e">
        <f aca="false">MODE($E$337:$E$367)</f>
        <v>#VALUE!</v>
      </c>
      <c r="N340" s="1" t="e">
        <f aca="false">MODE($G$337:$G$367)</f>
        <v>#VALUE!</v>
      </c>
      <c r="O340" s="1" t="n">
        <f aca="false">MODE($I$337:$I$367)</f>
        <v>28</v>
      </c>
    </row>
    <row r="341" customFormat="false" ht="13.8" hidden="false" customHeight="false" outlineLevel="0" collapsed="false">
      <c r="A341" s="1" t="n">
        <v>340</v>
      </c>
      <c r="B341" s="30" t="n">
        <v>44170</v>
      </c>
      <c r="C341" s="1" t="n">
        <v>655</v>
      </c>
      <c r="D341" s="1" t="n">
        <f aca="false">C341-C340</f>
        <v>-3325</v>
      </c>
      <c r="E341" s="1" t="n">
        <v>29.6</v>
      </c>
      <c r="F341" s="1" t="n">
        <f aca="false">E341-E340</f>
        <v>-170.3</v>
      </c>
      <c r="G341" s="1" t="n">
        <v>0.47</v>
      </c>
      <c r="H341" s="1" t="n">
        <f aca="false">G341-G340</f>
        <v>-2.4</v>
      </c>
      <c r="I341" s="1" t="n">
        <v>7</v>
      </c>
      <c r="J341" s="1" t="n">
        <f aca="false">I341-I340</f>
        <v>-50</v>
      </c>
      <c r="K341" s="1" t="s">
        <v>12</v>
      </c>
      <c r="L341" s="1" t="n">
        <f aca="false">MEDIAN($C$337:$C$367)</f>
        <v>3980</v>
      </c>
      <c r="M341" s="1" t="n">
        <f aca="false">MEDIAN($E$337:$E$367)</f>
        <v>177.7</v>
      </c>
      <c r="N341" s="1" t="n">
        <f aca="false">MEDIAN($G$337:$G$367)</f>
        <v>2.87</v>
      </c>
      <c r="O341" s="1" t="n">
        <f aca="false">MEDIAN($I$337:$I$367)</f>
        <v>45</v>
      </c>
    </row>
    <row r="342" customFormat="false" ht="13.8" hidden="false" customHeight="false" outlineLevel="0" collapsed="false">
      <c r="A342" s="1" t="n">
        <v>341</v>
      </c>
      <c r="B342" s="30" t="n">
        <v>44171</v>
      </c>
      <c r="C342" s="1" t="n">
        <v>2163</v>
      </c>
      <c r="D342" s="1" t="n">
        <f aca="false">C342-C341</f>
        <v>1508</v>
      </c>
      <c r="E342" s="1" t="n">
        <v>101.6</v>
      </c>
      <c r="F342" s="1" t="n">
        <f aca="false">E342-E341</f>
        <v>72</v>
      </c>
      <c r="G342" s="1" t="n">
        <v>1.56</v>
      </c>
      <c r="H342" s="1" t="n">
        <f aca="false">G342-G341</f>
        <v>1.09</v>
      </c>
      <c r="I342" s="1" t="n">
        <v>28</v>
      </c>
      <c r="J342" s="1" t="n">
        <f aca="false">I342-I341</f>
        <v>21</v>
      </c>
      <c r="K342" s="1" t="s">
        <v>195</v>
      </c>
      <c r="L342" s="1" t="n">
        <f aca="false">QUARTILE($C$337:$C$367, 1)</f>
        <v>2106.5</v>
      </c>
      <c r="M342" s="1" t="n">
        <f aca="false">QUARTILE($E$337:$E$367, 1)</f>
        <v>92.85</v>
      </c>
      <c r="N342" s="1" t="n">
        <f aca="false">QUARTILE($G$337:$G$367, 1)</f>
        <v>1.52</v>
      </c>
      <c r="O342" s="1" t="n">
        <f aca="false">QUARTILE($I$337:$I$367, 1)</f>
        <v>28</v>
      </c>
    </row>
    <row r="343" customFormat="false" ht="13.8" hidden="false" customHeight="false" outlineLevel="0" collapsed="false">
      <c r="A343" s="1" t="n">
        <v>342</v>
      </c>
      <c r="B343" s="30" t="n">
        <v>44172</v>
      </c>
      <c r="C343" s="1" t="n">
        <v>3416</v>
      </c>
      <c r="D343" s="1" t="n">
        <f aca="false">C343-C342</f>
        <v>1253</v>
      </c>
      <c r="E343" s="1" t="n">
        <v>162.3</v>
      </c>
      <c r="F343" s="1" t="n">
        <f aca="false">E343-E342</f>
        <v>60.7</v>
      </c>
      <c r="G343" s="1" t="n">
        <v>2.46</v>
      </c>
      <c r="H343" s="1" t="n">
        <f aca="false">G343-G342</f>
        <v>0.9</v>
      </c>
      <c r="I343" s="1" t="n">
        <v>45</v>
      </c>
      <c r="J343" s="1" t="n">
        <f aca="false">I343-I342</f>
        <v>17</v>
      </c>
      <c r="K343" s="1" t="s">
        <v>181</v>
      </c>
      <c r="L343" s="1" t="n">
        <f aca="false">QUARTILE($C$337:$C$367, 3)</f>
        <v>7839</v>
      </c>
      <c r="M343" s="1" t="n">
        <f aca="false">QUARTILE($E$337:$E$367, 3)</f>
        <v>362.75</v>
      </c>
      <c r="N343" s="1" t="n">
        <f aca="false">QUARTILE($G$337:$G$367, 3)</f>
        <v>5.645</v>
      </c>
      <c r="O343" s="1" t="n">
        <f aca="false">QUARTILE($I$337:$I$367, 3)</f>
        <v>98.5</v>
      </c>
    </row>
    <row r="344" customFormat="false" ht="13.8" hidden="false" customHeight="false" outlineLevel="0" collapsed="false">
      <c r="A344" s="1" t="n">
        <v>343</v>
      </c>
      <c r="B344" s="30" t="n">
        <v>44173</v>
      </c>
      <c r="C344" s="1" t="n">
        <v>2691</v>
      </c>
      <c r="D344" s="1" t="n">
        <f aca="false">C344-C343</f>
        <v>-725</v>
      </c>
      <c r="E344" s="1" t="n">
        <v>129.9</v>
      </c>
      <c r="F344" s="1" t="n">
        <f aca="false">E344-E343</f>
        <v>-32.4</v>
      </c>
      <c r="G344" s="1" t="n">
        <v>1.94</v>
      </c>
      <c r="H344" s="1" t="n">
        <f aca="false">G344-G343</f>
        <v>-0.52</v>
      </c>
      <c r="I344" s="1" t="n">
        <v>36</v>
      </c>
      <c r="J344" s="1" t="n">
        <f aca="false">I344-I343</f>
        <v>-9</v>
      </c>
      <c r="K344" s="1" t="s">
        <v>182</v>
      </c>
      <c r="L344" s="1" t="n">
        <f aca="false">VAR($C$337:$C$367)</f>
        <v>58274635.6129032</v>
      </c>
      <c r="M344" s="1" t="n">
        <f aca="false">VAR($E$337:$E$367)</f>
        <v>105516.147032258</v>
      </c>
      <c r="N344" s="1" t="n">
        <f aca="false">VAR($G$337:$G$367)</f>
        <v>30.2041395698925</v>
      </c>
      <c r="O344" s="1" t="n">
        <f aca="false">VAR($I$337:$I$367)</f>
        <v>6385.50322580645</v>
      </c>
    </row>
    <row r="345" customFormat="false" ht="13.8" hidden="false" customHeight="false" outlineLevel="0" collapsed="false">
      <c r="A345" s="1" t="n">
        <v>344</v>
      </c>
      <c r="B345" s="30" t="n">
        <v>44174</v>
      </c>
      <c r="C345" s="1" t="n">
        <v>5854</v>
      </c>
      <c r="D345" s="1" t="n">
        <f aca="false">C345-C344</f>
        <v>3163</v>
      </c>
      <c r="E345" s="1" t="n">
        <v>297.1</v>
      </c>
      <c r="F345" s="1" t="n">
        <f aca="false">E345-E344</f>
        <v>167.2</v>
      </c>
      <c r="G345" s="1" t="n">
        <v>4.21</v>
      </c>
      <c r="H345" s="1" t="n">
        <f aca="false">G345-G344</f>
        <v>2.27</v>
      </c>
      <c r="I345" s="1" t="n">
        <v>86</v>
      </c>
      <c r="J345" s="1" t="n">
        <f aca="false">I345-I344</f>
        <v>50</v>
      </c>
      <c r="K345" s="1" t="s">
        <v>16</v>
      </c>
      <c r="L345" s="1" t="n">
        <f aca="false">STDEV($C$337:$C$367)</f>
        <v>7633.78252329101</v>
      </c>
      <c r="M345" s="1" t="n">
        <f aca="false">STDEV($E$337:$E$367)</f>
        <v>324.832490727541</v>
      </c>
      <c r="N345" s="1" t="n">
        <f aca="false">STDEV($G$337:$G$367)</f>
        <v>5.49582928864175</v>
      </c>
      <c r="O345" s="1" t="n">
        <f aca="false">STDEV($I$337:$I$367)</f>
        <v>79.9093437953688</v>
      </c>
    </row>
    <row r="346" customFormat="false" ht="13.8" hidden="false" customHeight="false" outlineLevel="0" collapsed="false">
      <c r="A346" s="1" t="n">
        <v>345</v>
      </c>
      <c r="B346" s="30" t="n">
        <v>44175</v>
      </c>
      <c r="C346" s="1" t="n">
        <v>1657</v>
      </c>
      <c r="D346" s="1" t="n">
        <f aca="false">C346-C345</f>
        <v>-4197</v>
      </c>
      <c r="E346" s="1" t="n">
        <v>84.1</v>
      </c>
      <c r="F346" s="1" t="n">
        <f aca="false">E346-E345</f>
        <v>-213</v>
      </c>
      <c r="G346" s="1" t="n">
        <v>1.19</v>
      </c>
      <c r="H346" s="1" t="n">
        <f aca="false">G346-G345</f>
        <v>-3.02</v>
      </c>
      <c r="I346" s="1" t="n">
        <v>24</v>
      </c>
      <c r="J346" s="1" t="n">
        <f aca="false">I346-I345</f>
        <v>-62</v>
      </c>
      <c r="K346" s="1" t="s">
        <v>20</v>
      </c>
      <c r="L346" s="1" t="n">
        <f aca="false">KURT($C$337:$C$367)</f>
        <v>17.1839502516373</v>
      </c>
      <c r="M346" s="1" t="n">
        <f aca="false">KURT($E$337:$E$367)</f>
        <v>15.7304803202066</v>
      </c>
      <c r="N346" s="1" t="n">
        <f aca="false">KURT($G$337:$G$367)</f>
        <v>17.1863789302036</v>
      </c>
      <c r="O346" s="1" t="n">
        <f aca="false">KURT($I$337:$I$367)</f>
        <v>14.6593610126365</v>
      </c>
    </row>
    <row r="347" customFormat="false" ht="13.8" hidden="false" customHeight="false" outlineLevel="0" collapsed="false">
      <c r="A347" s="1" t="n">
        <v>346</v>
      </c>
      <c r="B347" s="30" t="n">
        <v>44176</v>
      </c>
      <c r="C347" s="1" t="n">
        <v>10824</v>
      </c>
      <c r="D347" s="1" t="n">
        <f aca="false">C347-C346</f>
        <v>9167</v>
      </c>
      <c r="E347" s="1" t="n">
        <v>475.2</v>
      </c>
      <c r="F347" s="1" t="n">
        <f aca="false">E347-E346</f>
        <v>391.1</v>
      </c>
      <c r="G347" s="1" t="n">
        <v>7.79</v>
      </c>
      <c r="H347" s="1" t="n">
        <f aca="false">G347-G346</f>
        <v>6.6</v>
      </c>
      <c r="I347" s="1" t="n">
        <v>122</v>
      </c>
      <c r="J347" s="1" t="n">
        <f aca="false">I347-I346</f>
        <v>98</v>
      </c>
      <c r="K347" s="1" t="s">
        <v>22</v>
      </c>
      <c r="L347" s="1" t="n">
        <f aca="false">SKEW($C$337:$C$367)</f>
        <v>3.75110314891745</v>
      </c>
      <c r="M347" s="1" t="n">
        <f aca="false">SKEW($E$337:$E$367)</f>
        <v>3.53003485515663</v>
      </c>
      <c r="N347" s="1" t="n">
        <f aca="false">SKEW($G$337:$G$367)</f>
        <v>3.75145030012856</v>
      </c>
      <c r="O347" s="1" t="n">
        <f aca="false">SKEW($I$337:$I$367)</f>
        <v>3.37238743966542</v>
      </c>
    </row>
    <row r="348" customFormat="false" ht="13.8" hidden="false" customHeight="false" outlineLevel="0" collapsed="false">
      <c r="A348" s="1" t="n">
        <v>347</v>
      </c>
      <c r="B348" s="30" t="n">
        <v>44177</v>
      </c>
      <c r="C348" s="1" t="n">
        <v>615</v>
      </c>
      <c r="D348" s="1" t="n">
        <f aca="false">C348-C347</f>
        <v>-10209</v>
      </c>
      <c r="E348" s="1" t="n">
        <v>29.9</v>
      </c>
      <c r="F348" s="1" t="n">
        <f aca="false">E348-E347</f>
        <v>-445.3</v>
      </c>
      <c r="G348" s="1" t="n">
        <v>0.44</v>
      </c>
      <c r="H348" s="1" t="n">
        <f aca="false">G348-G347</f>
        <v>-7.35</v>
      </c>
      <c r="I348" s="1" t="n">
        <v>8</v>
      </c>
      <c r="J348" s="1" t="n">
        <f aca="false">I348-I347</f>
        <v>-114</v>
      </c>
      <c r="K348" s="1" t="s">
        <v>24</v>
      </c>
      <c r="L348" s="1" t="n">
        <f aca="false">MAX($C$337:$C$367)-MIN($C$337:$C$367)</f>
        <v>41554</v>
      </c>
      <c r="M348" s="1" t="n">
        <f aca="false">MAX($E$337:$E$367)-MIN($E$337:$E$367)</f>
        <v>1767.7</v>
      </c>
      <c r="N348" s="1" t="n">
        <f aca="false">MAX($G$337:$G$367)-MIN($G$337:$G$367)</f>
        <v>29.92</v>
      </c>
      <c r="O348" s="1" t="n">
        <f aca="false">MAX($I$337:$I$367)-MIN($I$337:$I$367)</f>
        <v>430</v>
      </c>
    </row>
    <row r="349" customFormat="false" ht="13.8" hidden="false" customHeight="false" outlineLevel="0" collapsed="false">
      <c r="A349" s="1" t="n">
        <v>348</v>
      </c>
      <c r="B349" s="30" t="n">
        <v>44178</v>
      </c>
      <c r="C349" s="1" t="n">
        <v>3122</v>
      </c>
      <c r="D349" s="1" t="n">
        <f aca="false">C349-C348</f>
        <v>2507</v>
      </c>
      <c r="E349" s="1" t="n">
        <v>147.5</v>
      </c>
      <c r="F349" s="1" t="n">
        <f aca="false">E349-E348</f>
        <v>117.6</v>
      </c>
      <c r="G349" s="1" t="n">
        <v>2.25</v>
      </c>
      <c r="H349" s="1" t="n">
        <f aca="false">G349-G348</f>
        <v>1.81</v>
      </c>
      <c r="I349" s="1" t="n">
        <v>40</v>
      </c>
      <c r="J349" s="1" t="n">
        <f aca="false">I349-I348</f>
        <v>32</v>
      </c>
      <c r="K349" s="1" t="s">
        <v>26</v>
      </c>
      <c r="L349" s="1" t="n">
        <f aca="false">MIN($C$337:$C$367)</f>
        <v>615</v>
      </c>
      <c r="M349" s="1" t="n">
        <f aca="false">MIN($E$337:$E$367)</f>
        <v>10.2</v>
      </c>
      <c r="N349" s="1" t="n">
        <f aca="false">MIN($G$337:$G$367)</f>
        <v>0.44</v>
      </c>
      <c r="O349" s="1" t="n">
        <f aca="false">MIN($I$337:$I$367)</f>
        <v>7</v>
      </c>
    </row>
    <row r="350" customFormat="false" ht="13.8" hidden="false" customHeight="false" outlineLevel="0" collapsed="false">
      <c r="A350" s="1" t="n">
        <v>349</v>
      </c>
      <c r="B350" s="30" t="n">
        <v>44179</v>
      </c>
      <c r="C350" s="1" t="n">
        <v>4356</v>
      </c>
      <c r="D350" s="1" t="n">
        <f aca="false">C350-C349</f>
        <v>1234</v>
      </c>
      <c r="E350" s="1" t="n">
        <v>181.3</v>
      </c>
      <c r="F350" s="1" t="n">
        <f aca="false">E350-E349</f>
        <v>33.8</v>
      </c>
      <c r="G350" s="1" t="n">
        <v>3.14</v>
      </c>
      <c r="H350" s="1" t="n">
        <f aca="false">G350-G349</f>
        <v>0.89</v>
      </c>
      <c r="I350" s="1" t="n">
        <v>43</v>
      </c>
      <c r="J350" s="1" t="n">
        <f aca="false">I350-I349</f>
        <v>3</v>
      </c>
      <c r="K350" s="1" t="s">
        <v>28</v>
      </c>
      <c r="L350" s="1" t="n">
        <f aca="false">MAX($C$337:$C$367)</f>
        <v>42169</v>
      </c>
      <c r="M350" s="1" t="n">
        <f aca="false">MAX($E$337:$E$367)</f>
        <v>1777.9</v>
      </c>
      <c r="N350" s="1" t="n">
        <f aca="false">MAX($G$337:$G$367)</f>
        <v>30.36</v>
      </c>
      <c r="O350" s="1" t="n">
        <f aca="false">MAX($I$337:$I$367)</f>
        <v>437</v>
      </c>
    </row>
    <row r="351" customFormat="false" ht="13.8" hidden="false" customHeight="false" outlineLevel="0" collapsed="false">
      <c r="A351" s="1" t="n">
        <v>350</v>
      </c>
      <c r="B351" s="30" t="n">
        <v>44180</v>
      </c>
      <c r="C351" s="1" t="n">
        <v>3073</v>
      </c>
      <c r="D351" s="1" t="n">
        <f aca="false">C351-C350</f>
        <v>-1283</v>
      </c>
      <c r="E351" s="1" t="n">
        <v>146.1</v>
      </c>
      <c r="F351" s="1" t="n">
        <f aca="false">E351-E350</f>
        <v>-35.2</v>
      </c>
      <c r="G351" s="1" t="n">
        <v>2.21</v>
      </c>
      <c r="H351" s="1" t="n">
        <f aca="false">G351-G350</f>
        <v>-0.93</v>
      </c>
      <c r="I351" s="1" t="n">
        <v>40</v>
      </c>
      <c r="J351" s="1" t="n">
        <f aca="false">I351-I350</f>
        <v>-3</v>
      </c>
      <c r="K351" s="1" t="s">
        <v>30</v>
      </c>
      <c r="L351" s="1" t="n">
        <f aca="false">SUM($C$337:$C$367)</f>
        <v>188130</v>
      </c>
      <c r="M351" s="1" t="n">
        <f aca="false">SUM($E$337:$E$367)</f>
        <v>8384.4</v>
      </c>
      <c r="N351" s="1" t="n">
        <f aca="false">SUM($G$337:$G$367)</f>
        <v>135.45</v>
      </c>
      <c r="O351" s="1" t="n">
        <f aca="false">SUM($I$337:$I$367)</f>
        <v>2221</v>
      </c>
    </row>
    <row r="352" customFormat="false" ht="13.8" hidden="false" customHeight="false" outlineLevel="0" collapsed="false">
      <c r="A352" s="1" t="n">
        <v>351</v>
      </c>
      <c r="B352" s="30" t="n">
        <v>44181</v>
      </c>
      <c r="C352" s="1" t="n">
        <v>13060</v>
      </c>
      <c r="D352" s="1" t="n">
        <f aca="false">C352-C351</f>
        <v>9987</v>
      </c>
      <c r="E352" s="1" t="n">
        <v>587.5</v>
      </c>
      <c r="F352" s="1" t="n">
        <f aca="false">E352-E351</f>
        <v>441.4</v>
      </c>
      <c r="G352" s="1" t="n">
        <v>9.4</v>
      </c>
      <c r="H352" s="1" t="n">
        <f aca="false">G352-G351</f>
        <v>7.19</v>
      </c>
      <c r="I352" s="1" t="n">
        <v>155</v>
      </c>
      <c r="J352" s="1" t="n">
        <f aca="false">I352-I351</f>
        <v>115</v>
      </c>
      <c r="K352" s="1" t="s">
        <v>32</v>
      </c>
      <c r="L352" s="1" t="n">
        <f aca="false">COUNT($C$337:$C$367)</f>
        <v>31</v>
      </c>
      <c r="M352" s="1" t="n">
        <f aca="false">COUNT($E$337:$E$367)</f>
        <v>31</v>
      </c>
      <c r="N352" s="1" t="n">
        <f aca="false">COUNT($G$337:$G$367)</f>
        <v>31</v>
      </c>
      <c r="O352" s="1" t="n">
        <f aca="false">COUNT($I$337:$I$367)</f>
        <v>31</v>
      </c>
    </row>
    <row r="353" customFormat="false" ht="13.8" hidden="false" customHeight="false" outlineLevel="0" collapsed="false">
      <c r="A353" s="1" t="n">
        <v>352</v>
      </c>
      <c r="B353" s="30" t="n">
        <v>44182</v>
      </c>
      <c r="C353" s="1" t="n">
        <v>10330</v>
      </c>
      <c r="D353" s="1" t="n">
        <f aca="false">C353-C352</f>
        <v>-2730</v>
      </c>
      <c r="E353" s="1" t="n">
        <v>463.7</v>
      </c>
      <c r="F353" s="1" t="n">
        <f aca="false">E353-E352</f>
        <v>-123.8</v>
      </c>
      <c r="G353" s="1" t="n">
        <v>7.44</v>
      </c>
      <c r="H353" s="1" t="n">
        <f aca="false">G353-G352</f>
        <v>-1.96</v>
      </c>
      <c r="I353" s="1" t="n">
        <v>121</v>
      </c>
      <c r="J353" s="1" t="n">
        <f aca="false">I353-I352</f>
        <v>-34</v>
      </c>
    </row>
    <row r="354" customFormat="false" ht="13.8" hidden="false" customHeight="false" outlineLevel="0" collapsed="false">
      <c r="A354" s="1" t="n">
        <v>353</v>
      </c>
      <c r="B354" s="30" t="n">
        <v>44183</v>
      </c>
      <c r="C354" s="1" t="n">
        <v>4804</v>
      </c>
      <c r="D354" s="1" t="n">
        <f aca="false">C354-C353</f>
        <v>-5526</v>
      </c>
      <c r="E354" s="1" t="n">
        <v>223.1</v>
      </c>
      <c r="F354" s="1" t="n">
        <f aca="false">E354-E353</f>
        <v>-240.6</v>
      </c>
      <c r="G354" s="1" t="n">
        <v>3.46</v>
      </c>
      <c r="H354" s="1" t="n">
        <f aca="false">G354-G353</f>
        <v>-3.98</v>
      </c>
      <c r="I354" s="1" t="n">
        <v>60</v>
      </c>
      <c r="J354" s="1" t="n">
        <f aca="false">I354-I353</f>
        <v>-61</v>
      </c>
    </row>
    <row r="355" customFormat="false" ht="13.8" hidden="false" customHeight="false" outlineLevel="0" collapsed="false">
      <c r="A355" s="1" t="n">
        <v>354</v>
      </c>
      <c r="B355" s="30" t="n">
        <v>44184</v>
      </c>
      <c r="C355" s="1" t="n">
        <v>692</v>
      </c>
      <c r="D355" s="1" t="n">
        <f aca="false">C355-C354</f>
        <v>-4112</v>
      </c>
      <c r="E355" s="1" t="n">
        <v>34.2</v>
      </c>
      <c r="F355" s="1" t="n">
        <f aca="false">E355-E354</f>
        <v>-188.9</v>
      </c>
      <c r="G355" s="1" t="n">
        <v>0.5</v>
      </c>
      <c r="H355" s="1" t="n">
        <f aca="false">G355-G354</f>
        <v>-2.96</v>
      </c>
      <c r="I355" s="1" t="n">
        <v>9</v>
      </c>
      <c r="J355" s="1" t="n">
        <f aca="false">I355-I354</f>
        <v>-51</v>
      </c>
    </row>
    <row r="356" customFormat="false" ht="13.8" hidden="false" customHeight="false" outlineLevel="0" collapsed="false">
      <c r="A356" s="1" t="n">
        <v>355</v>
      </c>
      <c r="B356" s="30" t="n">
        <v>44185</v>
      </c>
      <c r="C356" s="1" t="n">
        <v>13302</v>
      </c>
      <c r="D356" s="1" t="n">
        <f aca="false">C356-C355</f>
        <v>12610</v>
      </c>
      <c r="E356" s="1" t="n">
        <v>554.4</v>
      </c>
      <c r="F356" s="1" t="n">
        <f aca="false">E356-E355</f>
        <v>520.2</v>
      </c>
      <c r="G356" s="1" t="n">
        <v>9.58</v>
      </c>
      <c r="H356" s="1" t="n">
        <f aca="false">G356-G355</f>
        <v>9.08</v>
      </c>
      <c r="I356" s="1" t="n">
        <v>132</v>
      </c>
      <c r="J356" s="1" t="n">
        <f aca="false">I356-I355</f>
        <v>123</v>
      </c>
    </row>
    <row r="357" customFormat="false" ht="13.8" hidden="false" customHeight="false" outlineLevel="0" collapsed="false">
      <c r="A357" s="1" t="n">
        <v>356</v>
      </c>
      <c r="B357" s="30" t="n">
        <v>44186</v>
      </c>
      <c r="C357" s="1" t="n">
        <v>4945</v>
      </c>
      <c r="D357" s="1" t="n">
        <f aca="false">C357-C356</f>
        <v>-8357</v>
      </c>
      <c r="E357" s="1" t="n">
        <v>245.3</v>
      </c>
      <c r="F357" s="1" t="n">
        <f aca="false">E357-E356</f>
        <v>-309.1</v>
      </c>
      <c r="G357" s="1" t="n">
        <v>3.56</v>
      </c>
      <c r="H357" s="1" t="n">
        <f aca="false">G357-G356</f>
        <v>-6.02</v>
      </c>
      <c r="I357" s="1" t="n">
        <v>70</v>
      </c>
      <c r="J357" s="1" t="n">
        <f aca="false">I357-I356</f>
        <v>-62</v>
      </c>
    </row>
    <row r="358" customFormat="false" ht="13.8" hidden="false" customHeight="false" outlineLevel="0" collapsed="false">
      <c r="A358" s="1" t="n">
        <v>357</v>
      </c>
      <c r="B358" s="30" t="n">
        <v>44187</v>
      </c>
      <c r="C358" s="1" t="n">
        <v>7988</v>
      </c>
      <c r="D358" s="1" t="n">
        <f aca="false">C358-C357</f>
        <v>3043</v>
      </c>
      <c r="E358" s="1" t="n">
        <v>371.4</v>
      </c>
      <c r="F358" s="1" t="n">
        <f aca="false">E358-E357</f>
        <v>126.1</v>
      </c>
      <c r="G358" s="1" t="n">
        <v>5.75</v>
      </c>
      <c r="H358" s="1" t="n">
        <f aca="false">G358-G357</f>
        <v>2.19</v>
      </c>
      <c r="I358" s="1" t="n">
        <v>101</v>
      </c>
      <c r="J358" s="1" t="n">
        <f aca="false">I358-I357</f>
        <v>31</v>
      </c>
    </row>
    <row r="359" customFormat="false" ht="13.8" hidden="false" customHeight="false" outlineLevel="0" collapsed="false">
      <c r="A359" s="1" t="n">
        <v>358</v>
      </c>
      <c r="B359" s="30" t="n">
        <v>44188</v>
      </c>
      <c r="C359" s="1" t="n">
        <v>8659</v>
      </c>
      <c r="D359" s="1" t="n">
        <f aca="false">C359-C358</f>
        <v>671</v>
      </c>
      <c r="E359" s="1" t="n">
        <v>399.8</v>
      </c>
      <c r="F359" s="1" t="n">
        <f aca="false">E359-E358</f>
        <v>28.4</v>
      </c>
      <c r="G359" s="1" t="n">
        <v>6.23</v>
      </c>
      <c r="H359" s="1" t="n">
        <f aca="false">G359-G358</f>
        <v>0.48</v>
      </c>
      <c r="I359" s="1" t="n">
        <v>108</v>
      </c>
      <c r="J359" s="1" t="n">
        <f aca="false">I359-I358</f>
        <v>7</v>
      </c>
    </row>
    <row r="360" customFormat="false" ht="13.8" hidden="false" customHeight="false" outlineLevel="0" collapsed="false">
      <c r="A360" s="1" t="n">
        <v>359</v>
      </c>
      <c r="B360" s="30" t="n">
        <v>44189</v>
      </c>
      <c r="C360" s="1" t="n">
        <v>3890</v>
      </c>
      <c r="D360" s="1" t="n">
        <f aca="false">C360-C359</f>
        <v>-4769</v>
      </c>
      <c r="E360" s="1" t="n">
        <v>177.7</v>
      </c>
      <c r="F360" s="1" t="n">
        <f aca="false">E360-E359</f>
        <v>-222.1</v>
      </c>
      <c r="G360" s="1" t="n">
        <v>2.8</v>
      </c>
      <c r="H360" s="1" t="n">
        <f aca="false">G360-G359</f>
        <v>-3.43</v>
      </c>
      <c r="I360" s="1" t="n">
        <v>47</v>
      </c>
      <c r="J360" s="1" t="n">
        <f aca="false">I360-I359</f>
        <v>-61</v>
      </c>
    </row>
    <row r="361" customFormat="false" ht="13.8" hidden="false" customHeight="false" outlineLevel="0" collapsed="false">
      <c r="A361" s="1" t="n">
        <v>360</v>
      </c>
      <c r="B361" s="30" t="n">
        <v>44190</v>
      </c>
      <c r="C361" s="1" t="n">
        <v>7690</v>
      </c>
      <c r="D361" s="1" t="n">
        <f aca="false">C361-C360</f>
        <v>3800</v>
      </c>
      <c r="E361" s="1" t="n">
        <v>354.1</v>
      </c>
      <c r="F361" s="1" t="n">
        <f aca="false">E361-E360</f>
        <v>176.4</v>
      </c>
      <c r="G361" s="1" t="n">
        <v>5.54</v>
      </c>
      <c r="H361" s="1" t="n">
        <f aca="false">G361-G360</f>
        <v>2.74</v>
      </c>
      <c r="I361" s="1" t="n">
        <v>96</v>
      </c>
      <c r="J361" s="1" t="n">
        <f aca="false">I361-I360</f>
        <v>49</v>
      </c>
    </row>
    <row r="362" customFormat="false" ht="13.8" hidden="false" customHeight="false" outlineLevel="0" collapsed="false">
      <c r="A362" s="1" t="n">
        <v>361</v>
      </c>
      <c r="B362" s="30" t="n">
        <v>44191</v>
      </c>
      <c r="C362" s="1" t="n">
        <v>5602</v>
      </c>
      <c r="D362" s="1" t="n">
        <f aca="false">C362-C361</f>
        <v>-2088</v>
      </c>
      <c r="E362" s="1" t="n">
        <v>256.4</v>
      </c>
      <c r="F362" s="1" t="n">
        <f aca="false">E362-E361</f>
        <v>-97.7000000000001</v>
      </c>
      <c r="G362" s="1" t="n">
        <v>4.03</v>
      </c>
      <c r="H362" s="1" t="n">
        <f aca="false">G362-G361</f>
        <v>-1.51</v>
      </c>
      <c r="I362" s="1" t="n">
        <v>69</v>
      </c>
      <c r="J362" s="1" t="n">
        <f aca="false">I362-I361</f>
        <v>-27</v>
      </c>
    </row>
    <row r="363" customFormat="false" ht="13.8" hidden="false" customHeight="false" outlineLevel="0" collapsed="false">
      <c r="A363" s="1" t="n">
        <v>362</v>
      </c>
      <c r="B363" s="30" t="n">
        <v>44192</v>
      </c>
      <c r="C363" s="1" t="n">
        <v>1018</v>
      </c>
      <c r="D363" s="1" t="n">
        <f aca="false">C363-C362</f>
        <v>-4584</v>
      </c>
      <c r="E363" s="1" t="n">
        <v>49.7</v>
      </c>
      <c r="F363" s="1" t="n">
        <f aca="false">E363-E362</f>
        <v>-206.7</v>
      </c>
      <c r="G363" s="1" t="n">
        <v>0.73</v>
      </c>
      <c r="H363" s="1" t="n">
        <f aca="false">G363-G362</f>
        <v>-3.3</v>
      </c>
      <c r="I363" s="1" t="n">
        <v>14</v>
      </c>
      <c r="J363" s="1" t="n">
        <f aca="false">I363-I362</f>
        <v>-55</v>
      </c>
    </row>
    <row r="364" customFormat="false" ht="13.8" hidden="false" customHeight="false" outlineLevel="0" collapsed="false">
      <c r="A364" s="1" t="n">
        <v>363</v>
      </c>
      <c r="B364" s="30" t="n">
        <v>44193</v>
      </c>
      <c r="C364" s="1" t="n">
        <v>2737</v>
      </c>
      <c r="D364" s="1" t="n">
        <f aca="false">C364-C363</f>
        <v>1719</v>
      </c>
      <c r="E364" s="1" t="n">
        <v>121</v>
      </c>
      <c r="F364" s="1" t="n">
        <f aca="false">E364-E363</f>
        <v>71.3</v>
      </c>
      <c r="G364" s="1" t="n">
        <v>1.97</v>
      </c>
      <c r="H364" s="1" t="n">
        <f aca="false">G364-G363</f>
        <v>1.24</v>
      </c>
      <c r="I364" s="1" t="n">
        <v>31</v>
      </c>
      <c r="J364" s="1" t="n">
        <f aca="false">I364-I363</f>
        <v>17</v>
      </c>
    </row>
    <row r="365" customFormat="false" ht="13.8" hidden="false" customHeight="false" outlineLevel="0" collapsed="false">
      <c r="A365" s="1" t="n">
        <v>364</v>
      </c>
      <c r="B365" s="30" t="n">
        <v>44194</v>
      </c>
      <c r="C365" s="1" t="n">
        <v>4144</v>
      </c>
      <c r="D365" s="1" t="n">
        <f aca="false">C365-C364</f>
        <v>1407</v>
      </c>
      <c r="E365" s="1" t="n">
        <v>172.8</v>
      </c>
      <c r="F365" s="1" t="n">
        <f aca="false">E365-E364</f>
        <v>51.8</v>
      </c>
      <c r="G365" s="1" t="n">
        <v>2.98</v>
      </c>
      <c r="H365" s="1" t="n">
        <f aca="false">G365-G364</f>
        <v>1.01</v>
      </c>
      <c r="I365" s="1" t="n">
        <v>41</v>
      </c>
      <c r="J365" s="1" t="n">
        <f aca="false">I365-I364</f>
        <v>10</v>
      </c>
    </row>
    <row r="366" customFormat="false" ht="13.8" hidden="false" customHeight="false" outlineLevel="0" collapsed="false">
      <c r="A366" s="1" t="n">
        <v>365</v>
      </c>
      <c r="B366" s="30" t="n">
        <v>44195</v>
      </c>
      <c r="C366" s="1" t="n">
        <v>42169</v>
      </c>
      <c r="D366" s="1" t="n">
        <f aca="false">C366-C365</f>
        <v>38025</v>
      </c>
      <c r="E366" s="1" t="n">
        <v>1777.9</v>
      </c>
      <c r="F366" s="1" t="n">
        <f aca="false">E366-E365</f>
        <v>1605.1</v>
      </c>
      <c r="G366" s="1" t="n">
        <v>30.36</v>
      </c>
      <c r="H366" s="1" t="n">
        <f aca="false">G366-G365</f>
        <v>27.38</v>
      </c>
      <c r="I366" s="1" t="n">
        <v>437</v>
      </c>
      <c r="J366" s="1" t="n">
        <f aca="false">I366-I365</f>
        <v>396</v>
      </c>
    </row>
    <row r="367" customFormat="false" ht="13.8" hidden="false" customHeight="false" outlineLevel="0" collapsed="false">
      <c r="A367" s="1" t="n">
        <v>366</v>
      </c>
      <c r="B367" s="30" t="n">
        <v>44196</v>
      </c>
      <c r="C367" s="1" t="n">
        <v>1441</v>
      </c>
      <c r="D367" s="1" t="n">
        <f aca="false">C367-C366</f>
        <v>-40728</v>
      </c>
      <c r="E367" s="1" t="n">
        <v>66.6</v>
      </c>
      <c r="F367" s="1" t="n">
        <f aca="false">E367-E366</f>
        <v>-1711.3</v>
      </c>
      <c r="G367" s="1" t="n">
        <v>1.04</v>
      </c>
      <c r="H367" s="1" t="n">
        <f aca="false">G367-G366</f>
        <v>-29.32</v>
      </c>
      <c r="I367" s="1" t="n">
        <v>18</v>
      </c>
      <c r="J367" s="1" t="n">
        <f aca="false">I367-I366</f>
        <v>-419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6"/>
  <sheetViews>
    <sheetView showFormulas="false" showGridLines="true" showRowColHeaders="true" showZeros="true" rightToLeft="false" tabSelected="false" showOutlineSymbols="true" defaultGridColor="true" view="normal" topLeftCell="A335" colorId="64" zoomScale="100" zoomScaleNormal="100" zoomScalePageLayoutView="100" workbookViewId="0">
      <selection pane="topLeft" activeCell="K354" activeCellId="0" sqref="K354"/>
    </sheetView>
  </sheetViews>
  <sheetFormatPr defaultColWidth="9.18359375" defaultRowHeight="13.8" customHeight="true" zeroHeight="false" outlineLevelRow="0" outlineLevelCol="0"/>
  <cols>
    <col collapsed="false" customWidth="true" hidden="false" outlineLevel="0" max="11" min="11" style="1" width="17.45"/>
  </cols>
  <sheetData>
    <row r="1" customFormat="false" ht="13.8" hidden="false" customHeight="false" outlineLevel="0" collapsed="false">
      <c r="A1" s="31" t="s">
        <v>0</v>
      </c>
      <c r="B1" s="32" t="s">
        <v>1</v>
      </c>
      <c r="C1" s="31" t="s">
        <v>2</v>
      </c>
      <c r="D1" s="31" t="s">
        <v>3</v>
      </c>
      <c r="E1" s="31" t="s">
        <v>179</v>
      </c>
      <c r="F1" s="31" t="s">
        <v>174</v>
      </c>
      <c r="G1" s="31" t="s">
        <v>175</v>
      </c>
      <c r="H1" s="31" t="s">
        <v>176</v>
      </c>
      <c r="I1" s="31" t="s">
        <v>177</v>
      </c>
      <c r="J1" s="31" t="s">
        <v>178</v>
      </c>
      <c r="L1" s="1" t="s">
        <v>2</v>
      </c>
      <c r="M1" s="1" t="s">
        <v>179</v>
      </c>
      <c r="N1" s="1" t="s">
        <v>175</v>
      </c>
      <c r="O1" s="1" t="s">
        <v>177</v>
      </c>
    </row>
    <row r="2" customFormat="false" ht="13.8" hidden="false" customHeight="false" outlineLevel="0" collapsed="false">
      <c r="A2" s="33" t="n">
        <v>1</v>
      </c>
      <c r="B2" s="32" t="n">
        <v>44197</v>
      </c>
      <c r="C2" s="33" t="n">
        <v>2713</v>
      </c>
      <c r="D2" s="33" t="e">
        <f aca="false">C1-C2</f>
        <v>#VALUE!</v>
      </c>
      <c r="E2" s="33" t="n">
        <v>124.5</v>
      </c>
      <c r="F2" s="33" t="e">
        <f aca="false">E1-E2</f>
        <v>#VALUE!</v>
      </c>
      <c r="G2" s="33" t="n">
        <v>1.95</v>
      </c>
      <c r="H2" s="33" t="e">
        <f aca="false">G2-G1</f>
        <v>#VALUE!</v>
      </c>
      <c r="I2" s="33" t="n">
        <v>33</v>
      </c>
      <c r="J2" s="33" t="e">
        <f aca="false">I1-I2</f>
        <v>#VALUE!</v>
      </c>
      <c r="K2" s="1" t="s">
        <v>8</v>
      </c>
      <c r="L2" s="1" t="n">
        <f aca="false">AVERAGE($C$1:$C$32)</f>
        <v>4574.48387096774</v>
      </c>
      <c r="M2" s="1" t="n">
        <f aca="false">AVERAGE($E$1:$E$32)</f>
        <v>203.925806451613</v>
      </c>
      <c r="N2" s="1" t="n">
        <f aca="false">AVERAGE($G$1:$G$32)</f>
        <v>3.29387096774194</v>
      </c>
      <c r="O2" s="1" t="n">
        <f aca="false">AVERAGE($I$1:$I$32)</f>
        <v>52.6451612903226</v>
      </c>
    </row>
    <row r="3" customFormat="false" ht="13.8" hidden="false" customHeight="false" outlineLevel="0" collapsed="false">
      <c r="A3" s="33" t="n">
        <v>2</v>
      </c>
      <c r="B3" s="32" t="n">
        <v>44198</v>
      </c>
      <c r="C3" s="33" t="n">
        <v>795</v>
      </c>
      <c r="D3" s="33" t="n">
        <f aca="false">C2-C3</f>
        <v>1918</v>
      </c>
      <c r="E3" s="33" t="n">
        <v>36.4</v>
      </c>
      <c r="F3" s="33" t="n">
        <f aca="false">E2-E3</f>
        <v>88.1</v>
      </c>
      <c r="G3" s="33" t="n">
        <v>0.57</v>
      </c>
      <c r="H3" s="33" t="n">
        <f aca="false">G3-G2</f>
        <v>-1.38</v>
      </c>
      <c r="I3" s="33" t="n">
        <v>9</v>
      </c>
      <c r="J3" s="33" t="n">
        <f aca="false">I2-I3</f>
        <v>24</v>
      </c>
      <c r="K3" s="1" t="s">
        <v>10</v>
      </c>
      <c r="L3" s="1" t="n">
        <f aca="false">SQRT(VAR($C$1:$C$32)/COUNT($C$1:$C$32))</f>
        <v>808.076414824508</v>
      </c>
      <c r="M3" s="1" t="n">
        <f aca="false">SQRT(VAR($E$1:$E$32)/COUNT($E$1:$E$32))</f>
        <v>34.528427424103</v>
      </c>
      <c r="N3" s="1" t="n">
        <f aca="false">SQRT(VAR($G$1:$G$32)/COUNT($G$1:$G$32))</f>
        <v>0.581784735976216</v>
      </c>
      <c r="O3" s="1" t="n">
        <f aca="false">SQRT(VAR($I$1:$I$32)/COUNT($I$1:$I$32))</f>
        <v>8.64341982139074</v>
      </c>
    </row>
    <row r="4" customFormat="false" ht="13.8" hidden="false" customHeight="false" outlineLevel="0" collapsed="false">
      <c r="A4" s="33" t="n">
        <v>3</v>
      </c>
      <c r="B4" s="32" t="n">
        <v>44199</v>
      </c>
      <c r="C4" s="33" t="n">
        <v>757</v>
      </c>
      <c r="D4" s="33" t="n">
        <f aca="false">C3-C4</f>
        <v>38</v>
      </c>
      <c r="E4" s="33" t="n">
        <v>35.8</v>
      </c>
      <c r="F4" s="33" t="n">
        <f aca="false">E3-E4</f>
        <v>0.600000000000001</v>
      </c>
      <c r="G4" s="33" t="n">
        <v>0.55</v>
      </c>
      <c r="H4" s="33" t="n">
        <f aca="false">G4-G3</f>
        <v>-0.0199999999999999</v>
      </c>
      <c r="I4" s="33" t="n">
        <v>9</v>
      </c>
      <c r="J4" s="33" t="n">
        <f aca="false">I3-I4</f>
        <v>0</v>
      </c>
      <c r="K4" s="1" t="s">
        <v>14</v>
      </c>
      <c r="L4" s="1" t="n">
        <f aca="false">MODE($C$1:$C$32)</f>
        <v>2262</v>
      </c>
      <c r="M4" s="1" t="e">
        <f aca="false">MODE($E$1:$E$32)</f>
        <v>#VALUE!</v>
      </c>
      <c r="N4" s="1" t="n">
        <f aca="false">MODE($G$1:$G$32)</f>
        <v>1.63</v>
      </c>
      <c r="O4" s="1" t="n">
        <f aca="false">MODE($I$1:$I$32)</f>
        <v>25</v>
      </c>
    </row>
    <row r="5" customFormat="false" ht="13.8" hidden="false" customHeight="false" outlineLevel="0" collapsed="false">
      <c r="A5" s="33" t="n">
        <v>4</v>
      </c>
      <c r="B5" s="32" t="n">
        <v>44200</v>
      </c>
      <c r="C5" s="33" t="n">
        <v>4400</v>
      </c>
      <c r="D5" s="33" t="n">
        <f aca="false">C4-C5</f>
        <v>-3643</v>
      </c>
      <c r="E5" s="33" t="n">
        <v>196.6</v>
      </c>
      <c r="F5" s="33" t="n">
        <f aca="false">E4-E5</f>
        <v>-160.8</v>
      </c>
      <c r="G5" s="33" t="n">
        <v>3.17</v>
      </c>
      <c r="H5" s="33" t="n">
        <f aca="false">G5-G4</f>
        <v>2.62</v>
      </c>
      <c r="I5" s="33" t="n">
        <v>51</v>
      </c>
      <c r="J5" s="33" t="n">
        <f aca="false">I4-I5</f>
        <v>-42</v>
      </c>
      <c r="K5" s="1" t="s">
        <v>12</v>
      </c>
      <c r="L5" s="1" t="n">
        <f aca="false">MEDIAN($C$1:$C$32)</f>
        <v>2733</v>
      </c>
      <c r="M5" s="1" t="n">
        <f aca="false">MEDIAN($E$1:$E$32)</f>
        <v>134.7</v>
      </c>
      <c r="N5" s="1" t="n">
        <f aca="false">MEDIAN($G$1:$G$32)</f>
        <v>1.97</v>
      </c>
      <c r="O5" s="1" t="n">
        <f aca="false">MEDIAN($I$1:$I$32)</f>
        <v>37</v>
      </c>
    </row>
    <row r="6" customFormat="false" ht="13.8" hidden="false" customHeight="false" outlineLevel="0" collapsed="false">
      <c r="A6" s="33" t="n">
        <v>5</v>
      </c>
      <c r="B6" s="32" t="n">
        <v>44201</v>
      </c>
      <c r="C6" s="33" t="n">
        <v>2220</v>
      </c>
      <c r="D6" s="33" t="n">
        <f aca="false">C5-C6</f>
        <v>2180</v>
      </c>
      <c r="E6" s="33" t="n">
        <v>97</v>
      </c>
      <c r="F6" s="33" t="n">
        <f aca="false">E5-E6</f>
        <v>99.6</v>
      </c>
      <c r="G6" s="33" t="n">
        <v>1.6</v>
      </c>
      <c r="H6" s="33" t="n">
        <f aca="false">G6-G5</f>
        <v>-1.57</v>
      </c>
      <c r="I6" s="33" t="n">
        <v>25</v>
      </c>
      <c r="J6" s="33" t="n">
        <f aca="false">I5-I6</f>
        <v>26</v>
      </c>
      <c r="K6" s="1" t="s">
        <v>195</v>
      </c>
      <c r="L6" s="1" t="n">
        <f aca="false">QUARTILE($C$1:$C$32, 1)</f>
        <v>1845</v>
      </c>
      <c r="M6" s="1" t="n">
        <f aca="false">QUARTILE($E$1:$E$32, 1)</f>
        <v>88.95</v>
      </c>
      <c r="N6" s="1" t="n">
        <f aca="false">QUARTILE($G$1:$G$32, 1)</f>
        <v>1.325</v>
      </c>
      <c r="O6" s="1" t="n">
        <f aca="false">QUARTILE($I$1:$I$32, 1)</f>
        <v>24.5</v>
      </c>
    </row>
    <row r="7" customFormat="false" ht="13.8" hidden="false" customHeight="false" outlineLevel="0" collapsed="false">
      <c r="A7" s="33" t="n">
        <v>6</v>
      </c>
      <c r="B7" s="32" t="n">
        <v>44202</v>
      </c>
      <c r="C7" s="33" t="n">
        <v>1923</v>
      </c>
      <c r="D7" s="33" t="n">
        <f aca="false">C6-C7</f>
        <v>297</v>
      </c>
      <c r="E7" s="33" t="n">
        <v>91.1</v>
      </c>
      <c r="F7" s="33" t="n">
        <f aca="false">E6-E7</f>
        <v>5.90000000000001</v>
      </c>
      <c r="G7" s="33" t="n">
        <v>1.38</v>
      </c>
      <c r="H7" s="33" t="n">
        <f aca="false">G7-G6</f>
        <v>-0.22</v>
      </c>
      <c r="I7" s="33" t="n">
        <v>25</v>
      </c>
      <c r="J7" s="33" t="n">
        <f aca="false">I6-I7</f>
        <v>0</v>
      </c>
      <c r="K7" s="1" t="s">
        <v>181</v>
      </c>
      <c r="L7" s="1" t="n">
        <f aca="false">QUARTILE($C$1:$C$32, 3)</f>
        <v>5337.5</v>
      </c>
      <c r="M7" s="1" t="n">
        <f aca="false">QUARTILE($E$1:$E$32, 3)</f>
        <v>234.85</v>
      </c>
      <c r="N7" s="1" t="n">
        <f aca="false">QUARTILE($G$1:$G$32, 3)</f>
        <v>3.845</v>
      </c>
      <c r="O7" s="1" t="n">
        <f aca="false">QUARTILE($I$1:$I$32, 3)</f>
        <v>60</v>
      </c>
    </row>
    <row r="8" customFormat="false" ht="13.8" hidden="false" customHeight="false" outlineLevel="0" collapsed="false">
      <c r="A8" s="33" t="n">
        <v>7</v>
      </c>
      <c r="B8" s="32" t="n">
        <v>44203</v>
      </c>
      <c r="C8" s="33" t="n">
        <v>2262</v>
      </c>
      <c r="D8" s="33" t="n">
        <f aca="false">C7-C8</f>
        <v>-339</v>
      </c>
      <c r="E8" s="33" t="n">
        <v>106.7</v>
      </c>
      <c r="F8" s="33" t="n">
        <f aca="false">E7-E8</f>
        <v>-15.6</v>
      </c>
      <c r="G8" s="33" t="n">
        <v>1.63</v>
      </c>
      <c r="H8" s="33" t="n">
        <f aca="false">G8-G7</f>
        <v>0.25</v>
      </c>
      <c r="I8" s="33" t="n">
        <v>29</v>
      </c>
      <c r="J8" s="33" t="n">
        <f aca="false">I7-I8</f>
        <v>-4</v>
      </c>
      <c r="K8" s="1" t="s">
        <v>182</v>
      </c>
      <c r="L8" s="1" t="n">
        <f aca="false">VAR($C$1:$C$32)</f>
        <v>20242612.2580645</v>
      </c>
      <c r="M8" s="1" t="n">
        <f aca="false">VAR($E$1:$E$32)</f>
        <v>36958.581311828</v>
      </c>
      <c r="N8" s="1" t="n">
        <f aca="false">VAR($G$1:$G$32)</f>
        <v>10.4926778494624</v>
      </c>
      <c r="O8" s="1" t="n">
        <f aca="false">VAR($I$1:$I$32)</f>
        <v>2315.96989247312</v>
      </c>
    </row>
    <row r="9" customFormat="false" ht="13.8" hidden="false" customHeight="false" outlineLevel="0" collapsed="false">
      <c r="A9" s="33" t="n">
        <v>8</v>
      </c>
      <c r="B9" s="32" t="n">
        <v>44204</v>
      </c>
      <c r="C9" s="33" t="n">
        <v>2817</v>
      </c>
      <c r="D9" s="33" t="n">
        <f aca="false">C8-C9</f>
        <v>-555</v>
      </c>
      <c r="E9" s="33" t="n">
        <v>134.7</v>
      </c>
      <c r="F9" s="33" t="n">
        <f aca="false">E8-E9</f>
        <v>-28</v>
      </c>
      <c r="G9" s="33" t="n">
        <v>2.03</v>
      </c>
      <c r="H9" s="33" t="n">
        <f aca="false">G9-G8</f>
        <v>0.4</v>
      </c>
      <c r="I9" s="33" t="n">
        <v>37</v>
      </c>
      <c r="J9" s="33" t="n">
        <f aca="false">I8-I9</f>
        <v>-8</v>
      </c>
      <c r="K9" s="1" t="s">
        <v>16</v>
      </c>
      <c r="L9" s="1" t="n">
        <f aca="false">STDEV($C$1:$C$32)</f>
        <v>4499.17906490334</v>
      </c>
      <c r="M9" s="1" t="n">
        <f aca="false">STDEV($E$1:$E$32)</f>
        <v>192.246147716483</v>
      </c>
      <c r="N9" s="1" t="n">
        <f aca="false">STDEV($G$1:$G$32)</f>
        <v>3.23924031980685</v>
      </c>
      <c r="O9" s="1" t="n">
        <f aca="false">STDEV($I$1:$I$32)</f>
        <v>48.124524854518</v>
      </c>
    </row>
    <row r="10" customFormat="false" ht="13.8" hidden="false" customHeight="false" outlineLevel="0" collapsed="false">
      <c r="A10" s="33" t="n">
        <v>9</v>
      </c>
      <c r="B10" s="32" t="n">
        <v>44205</v>
      </c>
      <c r="C10" s="33" t="n">
        <v>1184</v>
      </c>
      <c r="D10" s="33" t="n">
        <f aca="false">C9-C10</f>
        <v>1633</v>
      </c>
      <c r="E10" s="33" t="n">
        <v>57.6</v>
      </c>
      <c r="F10" s="33" t="n">
        <f aca="false">E9-E10</f>
        <v>77.1</v>
      </c>
      <c r="G10" s="33" t="n">
        <v>0.85</v>
      </c>
      <c r="H10" s="33" t="n">
        <f aca="false">G10-G9</f>
        <v>-1.18</v>
      </c>
      <c r="I10" s="33" t="n">
        <v>16</v>
      </c>
      <c r="J10" s="33" t="n">
        <f aca="false">I9-I10</f>
        <v>21</v>
      </c>
      <c r="K10" s="1" t="s">
        <v>20</v>
      </c>
      <c r="L10" s="1" t="n">
        <f aca="false">KURT($C$1:$C$32)</f>
        <v>3.39824531639693</v>
      </c>
      <c r="M10" s="1" t="n">
        <f aca="false">KURT($E$1:$E$32)</f>
        <v>3.74626185757095</v>
      </c>
      <c r="N10" s="1" t="n">
        <f aca="false">KURT($G$1:$G$32)</f>
        <v>3.39697871941866</v>
      </c>
      <c r="O10" s="1" t="n">
        <f aca="false">KURT($I$1:$I$32)</f>
        <v>4.2743675535176</v>
      </c>
    </row>
    <row r="11" customFormat="false" ht="13.8" hidden="false" customHeight="false" outlineLevel="0" collapsed="false">
      <c r="A11" s="33" t="n">
        <v>10</v>
      </c>
      <c r="B11" s="32" t="n">
        <v>44206</v>
      </c>
      <c r="C11" s="33" t="n">
        <v>1508</v>
      </c>
      <c r="D11" s="33" t="n">
        <f aca="false">C10-C11</f>
        <v>-324</v>
      </c>
      <c r="E11" s="33" t="n">
        <v>73.4</v>
      </c>
      <c r="F11" s="33" t="n">
        <f aca="false">E10-E11</f>
        <v>-15.8</v>
      </c>
      <c r="G11" s="33" t="n">
        <v>1.09</v>
      </c>
      <c r="H11" s="33" t="n">
        <f aca="false">G11-G10</f>
        <v>0.24</v>
      </c>
      <c r="I11" s="33" t="n">
        <v>20</v>
      </c>
      <c r="J11" s="33" t="n">
        <f aca="false">I10-I11</f>
        <v>-4</v>
      </c>
      <c r="K11" s="1" t="s">
        <v>22</v>
      </c>
      <c r="L11" s="1" t="n">
        <f aca="false">SKEW($C$1:$C$32)</f>
        <v>1.93635322439879</v>
      </c>
      <c r="M11" s="1" t="n">
        <f aca="false">SKEW($E$1:$E$32)</f>
        <v>1.9759549740669</v>
      </c>
      <c r="N11" s="1" t="n">
        <f aca="false">SKEW($G$1:$G$32)</f>
        <v>1.93607780548625</v>
      </c>
      <c r="O11" s="1" t="n">
        <f aca="false">SKEW($I$1:$I$32)</f>
        <v>2.0306686870699</v>
      </c>
    </row>
    <row r="12" customFormat="false" ht="13.8" hidden="false" customHeight="false" outlineLevel="0" collapsed="false">
      <c r="A12" s="33" t="n">
        <v>11</v>
      </c>
      <c r="B12" s="32" t="n">
        <v>44207</v>
      </c>
      <c r="C12" s="33" t="n">
        <v>6615</v>
      </c>
      <c r="D12" s="33" t="n">
        <f aca="false">C11-C12</f>
        <v>-5107</v>
      </c>
      <c r="E12" s="33" t="n">
        <v>289.4</v>
      </c>
      <c r="F12" s="33" t="n">
        <f aca="false">E11-E12</f>
        <v>-216</v>
      </c>
      <c r="G12" s="33" t="n">
        <v>4.76</v>
      </c>
      <c r="H12" s="33" t="n">
        <f aca="false">G12-G11</f>
        <v>3.67</v>
      </c>
      <c r="I12" s="33" t="n">
        <v>74</v>
      </c>
      <c r="J12" s="33" t="n">
        <f aca="false">I11-I12</f>
        <v>-54</v>
      </c>
      <c r="K12" s="1" t="s">
        <v>24</v>
      </c>
      <c r="L12" s="1" t="n">
        <f aca="false">MAX($C$1:$C$32)-MIN($C$1:$C$32)</f>
        <v>18325</v>
      </c>
      <c r="M12" s="1" t="n">
        <f aca="false">MAX($E$1:$E$32)-MIN($E$1:$E$32)</f>
        <v>809.1</v>
      </c>
      <c r="N12" s="1" t="n">
        <f aca="false">MAX($G$1:$G$32)-MIN($G$1:$G$32)</f>
        <v>13.19</v>
      </c>
      <c r="O12" s="1" t="n">
        <f aca="false">MAX($I$1:$I$32)-MIN($I$1:$I$32)</f>
        <v>211</v>
      </c>
    </row>
    <row r="13" customFormat="false" ht="13.8" hidden="false" customHeight="false" outlineLevel="0" collapsed="false">
      <c r="A13" s="33" t="n">
        <v>12</v>
      </c>
      <c r="B13" s="32" t="n">
        <v>44208</v>
      </c>
      <c r="C13" s="33" t="n">
        <v>3916</v>
      </c>
      <c r="D13" s="33" t="n">
        <f aca="false">C12-C13</f>
        <v>2699</v>
      </c>
      <c r="E13" s="33" t="n">
        <v>177.7</v>
      </c>
      <c r="F13" s="33" t="n">
        <f aca="false">E12-E13</f>
        <v>111.7</v>
      </c>
      <c r="G13" s="33" t="n">
        <v>2.82</v>
      </c>
      <c r="H13" s="33" t="n">
        <f aca="false">G13-G12</f>
        <v>-1.94</v>
      </c>
      <c r="I13" s="33" t="n">
        <v>47</v>
      </c>
      <c r="J13" s="33" t="n">
        <f aca="false">I12-I13</f>
        <v>27</v>
      </c>
      <c r="K13" s="1" t="s">
        <v>26</v>
      </c>
      <c r="L13" s="1" t="n">
        <f aca="false">MIN($C$1:$C$32)</f>
        <v>566</v>
      </c>
      <c r="M13" s="1" t="n">
        <f aca="false">MIN($E$1:$E$32)</f>
        <v>25.5</v>
      </c>
      <c r="N13" s="1" t="n">
        <f aca="false">MIN($G$1:$G$32)</f>
        <v>0.41</v>
      </c>
      <c r="O13" s="1" t="n">
        <f aca="false">MIN($I$1:$I$32)</f>
        <v>6</v>
      </c>
    </row>
    <row r="14" customFormat="false" ht="13.8" hidden="false" customHeight="false" outlineLevel="0" collapsed="false">
      <c r="A14" s="33" t="n">
        <v>13</v>
      </c>
      <c r="B14" s="32" t="n">
        <v>44209</v>
      </c>
      <c r="C14" s="33" t="n">
        <v>1592</v>
      </c>
      <c r="D14" s="33" t="n">
        <f aca="false">C13-C14</f>
        <v>2324</v>
      </c>
      <c r="E14" s="33" t="n">
        <v>73.5</v>
      </c>
      <c r="F14" s="33" t="n">
        <f aca="false">E13-E14</f>
        <v>104.2</v>
      </c>
      <c r="G14" s="33" t="n">
        <v>1.15</v>
      </c>
      <c r="H14" s="33" t="n">
        <f aca="false">G14-G13</f>
        <v>-1.67</v>
      </c>
      <c r="I14" s="33" t="n">
        <v>19</v>
      </c>
      <c r="J14" s="33" t="n">
        <f aca="false">I13-I14</f>
        <v>28</v>
      </c>
      <c r="K14" s="1" t="s">
        <v>28</v>
      </c>
      <c r="L14" s="1" t="n">
        <f aca="false">MAX($C$1:$C$32)</f>
        <v>18891</v>
      </c>
      <c r="M14" s="1" t="n">
        <f aca="false">MAX($E$1:$E$32)</f>
        <v>834.6</v>
      </c>
      <c r="N14" s="1" t="n">
        <f aca="false">MAX($G$1:$G$32)</f>
        <v>13.6</v>
      </c>
      <c r="O14" s="1" t="n">
        <f aca="false">MAX($I$1:$I$32)</f>
        <v>217</v>
      </c>
    </row>
    <row r="15" customFormat="false" ht="13.8" hidden="false" customHeight="false" outlineLevel="0" collapsed="false">
      <c r="A15" s="33" t="n">
        <v>14</v>
      </c>
      <c r="B15" s="32" t="n">
        <v>44210</v>
      </c>
      <c r="C15" s="33" t="n">
        <v>2706</v>
      </c>
      <c r="D15" s="33" t="n">
        <f aca="false">C14-C15</f>
        <v>-1114</v>
      </c>
      <c r="E15" s="33" t="n">
        <v>130.8</v>
      </c>
      <c r="F15" s="33" t="n">
        <f aca="false">E14-E15</f>
        <v>-57.3</v>
      </c>
      <c r="G15" s="33" t="n">
        <v>1.95</v>
      </c>
      <c r="H15" s="33" t="n">
        <f aca="false">G15-G14</f>
        <v>0.8</v>
      </c>
      <c r="I15" s="33" t="n">
        <v>36</v>
      </c>
      <c r="J15" s="33" t="n">
        <f aca="false">I14-I15</f>
        <v>-17</v>
      </c>
      <c r="K15" s="1" t="s">
        <v>30</v>
      </c>
      <c r="L15" s="1" t="n">
        <f aca="false">SUM($C$1:$C$32)</f>
        <v>141809</v>
      </c>
      <c r="M15" s="1" t="n">
        <f aca="false">SUM($E$1:$E$32)</f>
        <v>6321.7</v>
      </c>
      <c r="N15" s="1" t="n">
        <f aca="false">SUM($G$1:$G$32)</f>
        <v>102.11</v>
      </c>
      <c r="O15" s="1" t="n">
        <f aca="false">SUM($I$1:$I$32)</f>
        <v>1632</v>
      </c>
    </row>
    <row r="16" customFormat="false" ht="13.8" hidden="false" customHeight="false" outlineLevel="0" collapsed="false">
      <c r="A16" s="33" t="n">
        <v>15</v>
      </c>
      <c r="B16" s="32" t="n">
        <v>44211</v>
      </c>
      <c r="C16" s="33" t="n">
        <v>4841</v>
      </c>
      <c r="D16" s="33" t="n">
        <f aca="false">C15-C16</f>
        <v>-2135</v>
      </c>
      <c r="E16" s="33" t="n">
        <v>210.8</v>
      </c>
      <c r="F16" s="33" t="n">
        <f aca="false">E15-E16</f>
        <v>-80</v>
      </c>
      <c r="G16" s="33" t="n">
        <v>3.49</v>
      </c>
      <c r="H16" s="33" t="n">
        <f aca="false">G16-G15</f>
        <v>1.54</v>
      </c>
      <c r="I16" s="33" t="n">
        <v>53</v>
      </c>
      <c r="J16" s="33" t="n">
        <f aca="false">I15-I16</f>
        <v>-17</v>
      </c>
      <c r="K16" s="1" t="s">
        <v>32</v>
      </c>
      <c r="L16" s="1" t="n">
        <f aca="false">COUNT($C$1:$C$32)</f>
        <v>31</v>
      </c>
      <c r="M16" s="1" t="n">
        <f aca="false">COUNT($E$1:$E$32)</f>
        <v>31</v>
      </c>
      <c r="N16" s="1" t="n">
        <f aca="false">COUNT($G$1:$G$32)</f>
        <v>31</v>
      </c>
      <c r="O16" s="1" t="n">
        <f aca="false">COUNT($I$1:$I$32)</f>
        <v>31</v>
      </c>
    </row>
    <row r="17" customFormat="false" ht="13.8" hidden="false" customHeight="false" outlineLevel="0" collapsed="false">
      <c r="A17" s="33" t="n">
        <v>16</v>
      </c>
      <c r="B17" s="32" t="n">
        <v>44212</v>
      </c>
      <c r="C17" s="33" t="n">
        <v>3375</v>
      </c>
      <c r="D17" s="33" t="n">
        <f aca="false">C16-C17</f>
        <v>1466</v>
      </c>
      <c r="E17" s="33" t="n">
        <v>172</v>
      </c>
      <c r="F17" s="33" t="n">
        <f aca="false">E16-E17</f>
        <v>38.8</v>
      </c>
      <c r="G17" s="33" t="n">
        <v>2.43</v>
      </c>
      <c r="H17" s="33" t="n">
        <f aca="false">G17-G16</f>
        <v>-1.06</v>
      </c>
      <c r="I17" s="33" t="n">
        <v>50</v>
      </c>
      <c r="J17" s="33" t="n">
        <f aca="false">I16-I17</f>
        <v>3</v>
      </c>
    </row>
    <row r="18" customFormat="false" ht="13.8" hidden="false" customHeight="false" outlineLevel="0" collapsed="false">
      <c r="A18" s="33" t="n">
        <v>17</v>
      </c>
      <c r="B18" s="32" t="n">
        <v>44213</v>
      </c>
      <c r="C18" s="33" t="n">
        <v>2733</v>
      </c>
      <c r="D18" s="33" t="n">
        <f aca="false">C17-C18</f>
        <v>642</v>
      </c>
      <c r="E18" s="33" t="n">
        <v>137</v>
      </c>
      <c r="F18" s="33" t="n">
        <f aca="false">E17-E18</f>
        <v>35</v>
      </c>
      <c r="G18" s="33" t="n">
        <v>1.97</v>
      </c>
      <c r="H18" s="33" t="n">
        <f aca="false">G18-G17</f>
        <v>-0.46</v>
      </c>
      <c r="I18" s="33" t="n">
        <v>39</v>
      </c>
      <c r="J18" s="33" t="n">
        <f aca="false">I17-I18</f>
        <v>11</v>
      </c>
    </row>
    <row r="19" customFormat="false" ht="13.8" hidden="false" customHeight="false" outlineLevel="0" collapsed="false">
      <c r="A19" s="33" t="n">
        <v>18</v>
      </c>
      <c r="B19" s="32" t="n">
        <v>44214</v>
      </c>
      <c r="C19" s="33" t="n">
        <v>7524</v>
      </c>
      <c r="D19" s="33" t="n">
        <f aca="false">C18-C19</f>
        <v>-4791</v>
      </c>
      <c r="E19" s="33" t="n">
        <v>333.6</v>
      </c>
      <c r="F19" s="33" t="n">
        <f aca="false">E18-E19</f>
        <v>-196.6</v>
      </c>
      <c r="G19" s="33" t="n">
        <v>5.42</v>
      </c>
      <c r="H19" s="33" t="n">
        <f aca="false">G19-G18</f>
        <v>3.45</v>
      </c>
      <c r="I19" s="33" t="n">
        <v>87</v>
      </c>
      <c r="J19" s="33" t="n">
        <f aca="false">I18-I19</f>
        <v>-48</v>
      </c>
    </row>
    <row r="20" customFormat="false" ht="13.8" hidden="false" customHeight="false" outlineLevel="0" collapsed="false">
      <c r="A20" s="33" t="n">
        <v>19</v>
      </c>
      <c r="B20" s="32" t="n">
        <v>44215</v>
      </c>
      <c r="C20" s="33" t="n">
        <v>1892</v>
      </c>
      <c r="D20" s="33" t="n">
        <f aca="false">C19-C20</f>
        <v>5632</v>
      </c>
      <c r="E20" s="33" t="n">
        <v>92</v>
      </c>
      <c r="F20" s="33" t="n">
        <f aca="false">E19-E20</f>
        <v>241.6</v>
      </c>
      <c r="G20" s="33" t="n">
        <v>1.36</v>
      </c>
      <c r="H20" s="33" t="n">
        <f aca="false">G20-G19</f>
        <v>-4.06</v>
      </c>
      <c r="I20" s="33" t="n">
        <v>25</v>
      </c>
      <c r="J20" s="33" t="n">
        <f aca="false">I19-I20</f>
        <v>62</v>
      </c>
    </row>
    <row r="21" customFormat="false" ht="13.8" hidden="false" customHeight="false" outlineLevel="0" collapsed="false">
      <c r="A21" s="33" t="n">
        <v>20</v>
      </c>
      <c r="B21" s="32" t="n">
        <v>44216</v>
      </c>
      <c r="C21" s="33" t="n">
        <v>15524</v>
      </c>
      <c r="D21" s="33" t="n">
        <f aca="false">C20-C21</f>
        <v>-13632</v>
      </c>
      <c r="E21" s="33" t="n">
        <v>670.8</v>
      </c>
      <c r="F21" s="33" t="n">
        <f aca="false">E20-E21</f>
        <v>-578.8</v>
      </c>
      <c r="G21" s="33" t="n">
        <v>11.18</v>
      </c>
      <c r="H21" s="33" t="n">
        <f aca="false">G21-G20</f>
        <v>9.82</v>
      </c>
      <c r="I21" s="33" t="n">
        <v>168</v>
      </c>
      <c r="J21" s="33" t="n">
        <f aca="false">I20-I21</f>
        <v>-143</v>
      </c>
    </row>
    <row r="22" customFormat="false" ht="13.8" hidden="false" customHeight="false" outlineLevel="0" collapsed="false">
      <c r="A22" s="33" t="n">
        <v>21</v>
      </c>
      <c r="B22" s="32" t="n">
        <v>44217</v>
      </c>
      <c r="C22" s="33" t="n">
        <v>9319</v>
      </c>
      <c r="D22" s="33" t="n">
        <f aca="false">C21-C22</f>
        <v>6205</v>
      </c>
      <c r="E22" s="33" t="n">
        <v>396.3</v>
      </c>
      <c r="F22" s="33" t="n">
        <f aca="false">E21-E22</f>
        <v>274.5</v>
      </c>
      <c r="G22" s="33" t="n">
        <v>6.71</v>
      </c>
      <c r="H22" s="33" t="n">
        <f aca="false">G22-G21</f>
        <v>-4.47</v>
      </c>
      <c r="I22" s="33" t="n">
        <v>98</v>
      </c>
      <c r="J22" s="33" t="n">
        <f aca="false">I21-I22</f>
        <v>70</v>
      </c>
    </row>
    <row r="23" customFormat="false" ht="13.8" hidden="false" customHeight="false" outlineLevel="0" collapsed="false">
      <c r="A23" s="33" t="n">
        <v>22</v>
      </c>
      <c r="B23" s="32" t="n">
        <v>44218</v>
      </c>
      <c r="C23" s="33" t="n">
        <v>5834</v>
      </c>
      <c r="D23" s="33" t="n">
        <f aca="false">C22-C23</f>
        <v>3485</v>
      </c>
      <c r="E23" s="33" t="n">
        <v>258.9</v>
      </c>
      <c r="F23" s="33" t="n">
        <f aca="false">E22-E23</f>
        <v>137.4</v>
      </c>
      <c r="G23" s="33" t="n">
        <v>4.2</v>
      </c>
      <c r="H23" s="33" t="n">
        <f aca="false">G23-G22</f>
        <v>-2.51</v>
      </c>
      <c r="I23" s="33" t="n">
        <v>67</v>
      </c>
      <c r="J23" s="33" t="n">
        <f aca="false">I22-I23</f>
        <v>31</v>
      </c>
    </row>
    <row r="24" customFormat="false" ht="13.8" hidden="false" customHeight="false" outlineLevel="0" collapsed="false">
      <c r="A24" s="33" t="n">
        <v>23</v>
      </c>
      <c r="B24" s="32" t="n">
        <v>44219</v>
      </c>
      <c r="C24" s="33" t="n">
        <v>18891</v>
      </c>
      <c r="D24" s="33" t="n">
        <f aca="false">C23-C24</f>
        <v>-13057</v>
      </c>
      <c r="E24" s="33" t="n">
        <v>834.6</v>
      </c>
      <c r="F24" s="33" t="n">
        <f aca="false">E23-E24</f>
        <v>-575.7</v>
      </c>
      <c r="G24" s="33" t="n">
        <v>13.6</v>
      </c>
      <c r="H24" s="33" t="n">
        <f aca="false">G24-G23</f>
        <v>9.4</v>
      </c>
      <c r="I24" s="33" t="n">
        <v>217</v>
      </c>
      <c r="J24" s="33" t="n">
        <f aca="false">I23-I24</f>
        <v>-150</v>
      </c>
    </row>
    <row r="25" customFormat="false" ht="13.8" hidden="false" customHeight="false" outlineLevel="0" collapsed="false">
      <c r="A25" s="33" t="n">
        <v>24</v>
      </c>
      <c r="B25" s="32" t="n">
        <v>44220</v>
      </c>
      <c r="C25" s="33" t="n">
        <v>14365</v>
      </c>
      <c r="D25" s="33" t="n">
        <f aca="false">C24-C25</f>
        <v>4526</v>
      </c>
      <c r="E25" s="33" t="n">
        <v>599.9</v>
      </c>
      <c r="F25" s="33" t="n">
        <f aca="false">E24-E25</f>
        <v>234.7</v>
      </c>
      <c r="G25" s="33" t="n">
        <v>10.34</v>
      </c>
      <c r="H25" s="33" t="n">
        <f aca="false">G25-G24</f>
        <v>-3.26</v>
      </c>
      <c r="I25" s="33" t="n">
        <v>143</v>
      </c>
      <c r="J25" s="33" t="n">
        <f aca="false">I24-I25</f>
        <v>74</v>
      </c>
    </row>
    <row r="26" customFormat="false" ht="13.8" hidden="false" customHeight="false" outlineLevel="0" collapsed="false">
      <c r="A26" s="33" t="n">
        <v>25</v>
      </c>
      <c r="B26" s="32" t="n">
        <v>44221</v>
      </c>
      <c r="C26" s="33" t="n">
        <v>4341</v>
      </c>
      <c r="D26" s="33" t="n">
        <f aca="false">C25-C26</f>
        <v>10024</v>
      </c>
      <c r="E26" s="33" t="n">
        <v>176.9</v>
      </c>
      <c r="F26" s="33" t="n">
        <f aca="false">E25-E26</f>
        <v>423</v>
      </c>
      <c r="G26" s="33" t="n">
        <v>3.13</v>
      </c>
      <c r="H26" s="33" t="n">
        <f aca="false">G26-G25</f>
        <v>-7.21</v>
      </c>
      <c r="I26" s="33" t="n">
        <v>40</v>
      </c>
      <c r="J26" s="33" t="n">
        <f aca="false">I25-I26</f>
        <v>103</v>
      </c>
    </row>
    <row r="27" customFormat="false" ht="13.8" hidden="false" customHeight="false" outlineLevel="0" collapsed="false">
      <c r="A27" s="33" t="n">
        <v>26</v>
      </c>
      <c r="B27" s="32" t="n">
        <v>44222</v>
      </c>
      <c r="C27" s="33" t="n">
        <v>2262</v>
      </c>
      <c r="D27" s="33" t="n">
        <f aca="false">C26-C27</f>
        <v>2079</v>
      </c>
      <c r="E27" s="33" t="n">
        <v>110.3</v>
      </c>
      <c r="F27" s="33" t="n">
        <f aca="false">E26-E27</f>
        <v>66.6</v>
      </c>
      <c r="G27" s="33" t="n">
        <v>1.63</v>
      </c>
      <c r="H27" s="33" t="n">
        <f aca="false">G27-G26</f>
        <v>-1.5</v>
      </c>
      <c r="I27" s="33" t="n">
        <v>31</v>
      </c>
      <c r="J27" s="33" t="n">
        <f aca="false">I26-I27</f>
        <v>9</v>
      </c>
    </row>
    <row r="28" customFormat="false" ht="13.8" hidden="false" customHeight="false" outlineLevel="0" collapsed="false">
      <c r="A28" s="33" t="n">
        <v>27</v>
      </c>
      <c r="B28" s="32" t="n">
        <v>44223</v>
      </c>
      <c r="C28" s="33" t="n">
        <v>7973</v>
      </c>
      <c r="D28" s="33" t="n">
        <f aca="false">C27-C28</f>
        <v>-5711</v>
      </c>
      <c r="E28" s="33" t="n">
        <v>345</v>
      </c>
      <c r="F28" s="33" t="n">
        <f aca="false">E27-E28</f>
        <v>-234.7</v>
      </c>
      <c r="G28" s="33" t="n">
        <v>5.74</v>
      </c>
      <c r="H28" s="33" t="n">
        <f aca="false">G28-G27</f>
        <v>4.11</v>
      </c>
      <c r="I28" s="33" t="n">
        <v>87</v>
      </c>
      <c r="J28" s="33" t="n">
        <f aca="false">I27-I28</f>
        <v>-56</v>
      </c>
    </row>
    <row r="29" customFormat="false" ht="13.8" hidden="false" customHeight="false" outlineLevel="0" collapsed="false">
      <c r="A29" s="33" t="n">
        <v>28</v>
      </c>
      <c r="B29" s="32" t="n">
        <v>44224</v>
      </c>
      <c r="C29" s="33" t="n">
        <v>3519</v>
      </c>
      <c r="D29" s="33" t="n">
        <f aca="false">C28-C29</f>
        <v>4454</v>
      </c>
      <c r="E29" s="33" t="n">
        <v>164.2</v>
      </c>
      <c r="F29" s="33" t="n">
        <f aca="false">E28-E29</f>
        <v>180.8</v>
      </c>
      <c r="G29" s="33" t="n">
        <v>2.53</v>
      </c>
      <c r="H29" s="33" t="n">
        <f aca="false">G29-G28</f>
        <v>-3.21</v>
      </c>
      <c r="I29" s="33" t="n">
        <v>44</v>
      </c>
      <c r="J29" s="33" t="n">
        <f aca="false">I28-I29</f>
        <v>43</v>
      </c>
    </row>
    <row r="30" customFormat="false" ht="13.8" hidden="false" customHeight="false" outlineLevel="0" collapsed="false">
      <c r="A30" s="33" t="n">
        <v>29</v>
      </c>
      <c r="B30" s="32" t="n">
        <v>44225</v>
      </c>
      <c r="C30" s="33" t="n">
        <v>1798</v>
      </c>
      <c r="D30" s="33" t="n">
        <f aca="false">C29-C30</f>
        <v>1721</v>
      </c>
      <c r="E30" s="33" t="n">
        <v>86.8</v>
      </c>
      <c r="F30" s="33" t="n">
        <f aca="false">E29-E30</f>
        <v>77.4</v>
      </c>
      <c r="G30" s="33" t="n">
        <v>1.29</v>
      </c>
      <c r="H30" s="33" t="n">
        <f aca="false">G30-G29</f>
        <v>-1.24</v>
      </c>
      <c r="I30" s="33" t="n">
        <v>24</v>
      </c>
      <c r="J30" s="33" t="n">
        <f aca="false">I29-I30</f>
        <v>20</v>
      </c>
    </row>
    <row r="31" customFormat="false" ht="13.8" hidden="false" customHeight="false" outlineLevel="0" collapsed="false">
      <c r="A31" s="33" t="n">
        <v>30</v>
      </c>
      <c r="B31" s="32" t="n">
        <v>44226</v>
      </c>
      <c r="C31" s="33" t="n">
        <v>566</v>
      </c>
      <c r="D31" s="33" t="n">
        <f aca="false">C30-C31</f>
        <v>1232</v>
      </c>
      <c r="E31" s="33" t="n">
        <v>25.5</v>
      </c>
      <c r="F31" s="33" t="n">
        <f aca="false">E30-E31</f>
        <v>61.3</v>
      </c>
      <c r="G31" s="33" t="n">
        <v>0.41</v>
      </c>
      <c r="H31" s="33" t="n">
        <f aca="false">G31-G30</f>
        <v>-0.88</v>
      </c>
      <c r="I31" s="33" t="n">
        <v>6</v>
      </c>
      <c r="J31" s="33" t="n">
        <f aca="false">I30-I31</f>
        <v>18</v>
      </c>
    </row>
    <row r="32" customFormat="false" ht="13.8" hidden="false" customHeight="false" outlineLevel="0" collapsed="false">
      <c r="A32" s="33" t="n">
        <v>31</v>
      </c>
      <c r="B32" s="32" t="n">
        <v>44227</v>
      </c>
      <c r="C32" s="33" t="n">
        <v>1644</v>
      </c>
      <c r="D32" s="33" t="n">
        <f aca="false">C31-C32</f>
        <v>-1078</v>
      </c>
      <c r="E32" s="33" t="n">
        <v>81.9</v>
      </c>
      <c r="F32" s="33" t="n">
        <f aca="false">E31-E32</f>
        <v>-56.4</v>
      </c>
      <c r="G32" s="33" t="n">
        <v>1.18</v>
      </c>
      <c r="H32" s="33" t="n">
        <f aca="false">G32-G31</f>
        <v>0.77</v>
      </c>
      <c r="I32" s="33" t="n">
        <v>23</v>
      </c>
      <c r="J32" s="33" t="n">
        <f aca="false">I31-I32</f>
        <v>-17</v>
      </c>
    </row>
    <row r="33" customFormat="false" ht="13.8" hidden="false" customHeight="false" outlineLevel="0" collapsed="false">
      <c r="A33" s="33" t="n">
        <v>32</v>
      </c>
      <c r="B33" s="32" t="n">
        <v>44228</v>
      </c>
      <c r="C33" s="33" t="n">
        <v>9974</v>
      </c>
      <c r="D33" s="33" t="n">
        <f aca="false">C32-C33</f>
        <v>-8330</v>
      </c>
      <c r="E33" s="33" t="n">
        <v>438.1</v>
      </c>
      <c r="F33" s="33" t="n">
        <f aca="false">E32-E33</f>
        <v>-356.2</v>
      </c>
      <c r="G33" s="33" t="n">
        <v>7.18</v>
      </c>
      <c r="H33" s="33" t="n">
        <f aca="false">G33-G32</f>
        <v>6</v>
      </c>
      <c r="I33" s="33" t="n">
        <v>113</v>
      </c>
      <c r="J33" s="33" t="n">
        <f aca="false">I32-I33</f>
        <v>-90</v>
      </c>
      <c r="L33" s="1" t="s">
        <v>2</v>
      </c>
      <c r="M33" s="1" t="s">
        <v>179</v>
      </c>
      <c r="N33" s="1" t="s">
        <v>175</v>
      </c>
      <c r="O33" s="1" t="s">
        <v>177</v>
      </c>
    </row>
    <row r="34" customFormat="false" ht="13.8" hidden="false" customHeight="false" outlineLevel="0" collapsed="false">
      <c r="A34" s="33" t="n">
        <v>33</v>
      </c>
      <c r="B34" s="32" t="n">
        <v>44229</v>
      </c>
      <c r="C34" s="33" t="n">
        <v>8399</v>
      </c>
      <c r="D34" s="33" t="n">
        <f aca="false">C33-C34</f>
        <v>1575</v>
      </c>
      <c r="E34" s="33" t="n">
        <v>360.8</v>
      </c>
      <c r="F34" s="33" t="n">
        <f aca="false">E33-E34</f>
        <v>77.3</v>
      </c>
      <c r="G34" s="33" t="n">
        <v>6.05</v>
      </c>
      <c r="H34" s="33" t="n">
        <f aca="false">G34-G33</f>
        <v>-1.13</v>
      </c>
      <c r="I34" s="33" t="n">
        <v>90</v>
      </c>
      <c r="J34" s="33" t="n">
        <f aca="false">I33-I34</f>
        <v>23</v>
      </c>
      <c r="K34" s="1" t="s">
        <v>8</v>
      </c>
      <c r="L34" s="1" t="n">
        <f aca="false">AVERAGE($C$33:$C$60)</f>
        <v>6831.82142857143</v>
      </c>
      <c r="M34" s="1" t="n">
        <f aca="false">AVERAGE($E$33:$E$60)</f>
        <v>299.821428571429</v>
      </c>
      <c r="N34" s="1" t="n">
        <f aca="false">AVERAGE($G$33:$G$60)</f>
        <v>4.91928571428571</v>
      </c>
      <c r="O34" s="1" t="n">
        <f aca="false">AVERAGE($I$33:$I$60)</f>
        <v>76.6071428571429</v>
      </c>
    </row>
    <row r="35" customFormat="false" ht="13.8" hidden="false" customHeight="false" outlineLevel="0" collapsed="false">
      <c r="A35" s="33" t="n">
        <v>34</v>
      </c>
      <c r="B35" s="32" t="n">
        <v>44230</v>
      </c>
      <c r="C35" s="33" t="n">
        <v>4745</v>
      </c>
      <c r="D35" s="33" t="n">
        <f aca="false">C34-C35</f>
        <v>3654</v>
      </c>
      <c r="E35" s="33" t="n">
        <v>216.3</v>
      </c>
      <c r="F35" s="33" t="n">
        <f aca="false">E34-E35</f>
        <v>144.5</v>
      </c>
      <c r="G35" s="33" t="n">
        <v>3.42</v>
      </c>
      <c r="H35" s="33" t="n">
        <f aca="false">G35-G34</f>
        <v>-2.63</v>
      </c>
      <c r="I35" s="33" t="n">
        <v>57</v>
      </c>
      <c r="J35" s="33" t="n">
        <f aca="false">I34-I35</f>
        <v>33</v>
      </c>
      <c r="K35" s="1" t="s">
        <v>10</v>
      </c>
      <c r="L35" s="1" t="n">
        <f aca="false">SQRT(VAR($C$33:$C$60)/COUNT($C$33:$C$60))</f>
        <v>902.07121026873</v>
      </c>
      <c r="M35" s="1" t="n">
        <f aca="false">SQRT(VAR($E$33:$E$60)/COUNT($E$33:$E$60))</f>
        <v>37.7234809467423</v>
      </c>
      <c r="N35" s="1" t="n">
        <f aca="false">SQRT(VAR($G$33:$G$60)/COUNT($G$33:$G$60))</f>
        <v>0.649611387406753</v>
      </c>
      <c r="O35" s="1" t="n">
        <f aca="false">SQRT(VAR($I$33:$I$60)/COUNT($I$33:$I$60))</f>
        <v>9.17933313702657</v>
      </c>
    </row>
    <row r="36" customFormat="false" ht="13.8" hidden="false" customHeight="false" outlineLevel="0" collapsed="false">
      <c r="A36" s="33" t="n">
        <v>35</v>
      </c>
      <c r="B36" s="32" t="n">
        <v>44231</v>
      </c>
      <c r="C36" s="33" t="n">
        <v>2726</v>
      </c>
      <c r="D36" s="33" t="n">
        <f aca="false">C35-C36</f>
        <v>2019</v>
      </c>
      <c r="E36" s="33" t="n">
        <v>118.2</v>
      </c>
      <c r="F36" s="33" t="n">
        <f aca="false">E35-E36</f>
        <v>98.1</v>
      </c>
      <c r="G36" s="33" t="n">
        <v>1.96</v>
      </c>
      <c r="H36" s="33" t="n">
        <f aca="false">G36-G35</f>
        <v>-1.46</v>
      </c>
      <c r="I36" s="33" t="n">
        <v>30</v>
      </c>
      <c r="J36" s="33" t="n">
        <f aca="false">I35-I36</f>
        <v>27</v>
      </c>
      <c r="K36" s="1" t="s">
        <v>14</v>
      </c>
      <c r="L36" s="1" t="e">
        <f aca="false">MODE($C$33:$C$60)</f>
        <v>#VALUE!</v>
      </c>
      <c r="M36" s="1" t="e">
        <f aca="false">MODE($E$33:$E$60)</f>
        <v>#VALUE!</v>
      </c>
      <c r="N36" s="1" t="e">
        <f aca="false">MODE($G$33:$G$60)</f>
        <v>#VALUE!</v>
      </c>
      <c r="O36" s="1" t="n">
        <f aca="false">MODE($I$33:$I$60)</f>
        <v>29</v>
      </c>
    </row>
    <row r="37" customFormat="false" ht="13.8" hidden="false" customHeight="false" outlineLevel="0" collapsed="false">
      <c r="A37" s="33" t="n">
        <v>36</v>
      </c>
      <c r="B37" s="32" t="n">
        <v>44232</v>
      </c>
      <c r="C37" s="33" t="n">
        <v>7471</v>
      </c>
      <c r="D37" s="33" t="n">
        <f aca="false">C36-C37</f>
        <v>-4745</v>
      </c>
      <c r="E37" s="33" t="n">
        <v>321.5</v>
      </c>
      <c r="F37" s="33" t="n">
        <f aca="false">E36-E37</f>
        <v>-203.3</v>
      </c>
      <c r="G37" s="33" t="n">
        <v>5.38</v>
      </c>
      <c r="H37" s="33" t="n">
        <f aca="false">G37-G36</f>
        <v>3.42</v>
      </c>
      <c r="I37" s="33" t="n">
        <v>81</v>
      </c>
      <c r="J37" s="33" t="n">
        <f aca="false">I36-I37</f>
        <v>-51</v>
      </c>
      <c r="K37" s="1" t="s">
        <v>12</v>
      </c>
      <c r="L37" s="1" t="n">
        <f aca="false">MEDIAN($C$33:$C$60)</f>
        <v>5499.5</v>
      </c>
      <c r="M37" s="1" t="n">
        <f aca="false">MEDIAN($E$33:$E$60)</f>
        <v>254.65</v>
      </c>
      <c r="N37" s="1" t="n">
        <f aca="false">MEDIAN($G$33:$G$60)</f>
        <v>3.96</v>
      </c>
      <c r="O37" s="1" t="n">
        <f aca="false">MEDIAN($I$33:$I$60)</f>
        <v>68</v>
      </c>
    </row>
    <row r="38" customFormat="false" ht="13.8" hidden="false" customHeight="false" outlineLevel="0" collapsed="false">
      <c r="A38" s="33" t="n">
        <v>37</v>
      </c>
      <c r="B38" s="32" t="n">
        <v>44233</v>
      </c>
      <c r="C38" s="33" t="n">
        <v>3280</v>
      </c>
      <c r="D38" s="33" t="n">
        <f aca="false">C37-C38</f>
        <v>4191</v>
      </c>
      <c r="E38" s="33" t="n">
        <v>154.4</v>
      </c>
      <c r="F38" s="33" t="n">
        <f aca="false">E37-E38</f>
        <v>167.1</v>
      </c>
      <c r="G38" s="33" t="n">
        <v>2.36</v>
      </c>
      <c r="H38" s="33" t="n">
        <f aca="false">G38-G37</f>
        <v>-3.02</v>
      </c>
      <c r="I38" s="33" t="n">
        <v>42</v>
      </c>
      <c r="J38" s="33" t="n">
        <f aca="false">I37-I38</f>
        <v>39</v>
      </c>
      <c r="K38" s="1" t="s">
        <v>195</v>
      </c>
      <c r="L38" s="1" t="n">
        <f aca="false">QUARTILE($C$33:$C$60, 1)</f>
        <v>3196.5</v>
      </c>
      <c r="M38" s="1" t="n">
        <f aca="false">QUARTILE($E$33:$E$60, 1)</f>
        <v>142.5</v>
      </c>
      <c r="N38" s="1" t="n">
        <f aca="false">QUARTILE($G$33:$G$60, 1)</f>
        <v>2.3</v>
      </c>
      <c r="O38" s="1" t="n">
        <f aca="false">QUARTILE($I$33:$I$60, 1)</f>
        <v>36.25</v>
      </c>
    </row>
    <row r="39" customFormat="false" ht="13.8" hidden="false" customHeight="false" outlineLevel="0" collapsed="false">
      <c r="A39" s="33" t="n">
        <v>38</v>
      </c>
      <c r="B39" s="32" t="n">
        <v>44234</v>
      </c>
      <c r="C39" s="33" t="n">
        <v>15771</v>
      </c>
      <c r="D39" s="33" t="n">
        <f aca="false">C38-C39</f>
        <v>-12491</v>
      </c>
      <c r="E39" s="33" t="n">
        <v>690</v>
      </c>
      <c r="F39" s="33" t="n">
        <f aca="false">E38-E39</f>
        <v>-535.6</v>
      </c>
      <c r="G39" s="33" t="n">
        <v>11.36</v>
      </c>
      <c r="H39" s="33" t="n">
        <f aca="false">G39-G38</f>
        <v>9</v>
      </c>
      <c r="I39" s="33" t="n">
        <v>178</v>
      </c>
      <c r="J39" s="33" t="n">
        <f aca="false">I38-I39</f>
        <v>-136</v>
      </c>
      <c r="K39" s="1" t="s">
        <v>181</v>
      </c>
      <c r="L39" s="1" t="n">
        <f aca="false">QUARTILE($C$33:$C$60, 3)</f>
        <v>8491</v>
      </c>
      <c r="M39" s="1" t="n">
        <f aca="false">QUARTILE($E$33:$E$60, 3)</f>
        <v>368.575</v>
      </c>
      <c r="N39" s="1" t="n">
        <f aca="false">QUARTILE($G$33:$G$60, 3)</f>
        <v>6.115</v>
      </c>
      <c r="O39" s="1" t="n">
        <f aca="false">QUARTILE($I$33:$I$60, 3)</f>
        <v>93.75</v>
      </c>
    </row>
    <row r="40" customFormat="false" ht="13.8" hidden="false" customHeight="false" outlineLevel="0" collapsed="false">
      <c r="A40" s="33" t="n">
        <v>39</v>
      </c>
      <c r="B40" s="32" t="n">
        <v>44235</v>
      </c>
      <c r="C40" s="33" t="n">
        <v>5141</v>
      </c>
      <c r="D40" s="33" t="n">
        <f aca="false">C39-C40</f>
        <v>10630</v>
      </c>
      <c r="E40" s="33" t="n">
        <v>233.4</v>
      </c>
      <c r="F40" s="33" t="n">
        <f aca="false">E39-E40</f>
        <v>456.6</v>
      </c>
      <c r="G40" s="33" t="n">
        <v>3.7</v>
      </c>
      <c r="H40" s="33" t="n">
        <f aca="false">G40-G39</f>
        <v>-7.66</v>
      </c>
      <c r="I40" s="33" t="n">
        <v>62</v>
      </c>
      <c r="J40" s="33" t="n">
        <f aca="false">I39-I40</f>
        <v>116</v>
      </c>
      <c r="K40" s="1" t="s">
        <v>182</v>
      </c>
      <c r="L40" s="1" t="n">
        <f aca="false">VAR($C$33:$C$60)</f>
        <v>22784509.1150794</v>
      </c>
      <c r="M40" s="1" t="n">
        <f aca="false">VAR($E$33:$E$60)</f>
        <v>39845.7084126984</v>
      </c>
      <c r="N40" s="1" t="n">
        <f aca="false">VAR($G$33:$G$60)</f>
        <v>11.8158587301587</v>
      </c>
      <c r="O40" s="1" t="n">
        <f aca="false">VAR($I$33:$I$60)</f>
        <v>2359.28439153439</v>
      </c>
    </row>
    <row r="41" customFormat="false" ht="13.8" hidden="false" customHeight="false" outlineLevel="0" collapsed="false">
      <c r="A41" s="33" t="n">
        <v>40</v>
      </c>
      <c r="B41" s="32" t="n">
        <v>44236</v>
      </c>
      <c r="C41" s="33" t="n">
        <v>3333</v>
      </c>
      <c r="D41" s="33" t="n">
        <f aca="false">C40-C41</f>
        <v>1808</v>
      </c>
      <c r="E41" s="33" t="n">
        <v>146.2</v>
      </c>
      <c r="F41" s="33" t="n">
        <f aca="false">E40-E41</f>
        <v>87.2</v>
      </c>
      <c r="G41" s="33" t="n">
        <v>2.4</v>
      </c>
      <c r="H41" s="33" t="n">
        <f aca="false">G41-G40</f>
        <v>-1.3</v>
      </c>
      <c r="I41" s="33" t="n">
        <v>37</v>
      </c>
      <c r="J41" s="33" t="n">
        <f aca="false">I40-I41</f>
        <v>25</v>
      </c>
      <c r="K41" s="1" t="s">
        <v>16</v>
      </c>
      <c r="L41" s="1" t="n">
        <f aca="false">STDEV($C$33:$C$60)</f>
        <v>4773.31217448423</v>
      </c>
      <c r="M41" s="1" t="n">
        <f aca="false">STDEV($E$33:$E$60)</f>
        <v>199.613898345527</v>
      </c>
      <c r="N41" s="1" t="n">
        <f aca="false">STDEV($G$33:$G$60)</f>
        <v>3.43742035982781</v>
      </c>
      <c r="O41" s="1" t="n">
        <f aca="false">STDEV($I$33:$I$60)</f>
        <v>48.5724653639734</v>
      </c>
    </row>
    <row r="42" customFormat="false" ht="13.8" hidden="false" customHeight="false" outlineLevel="0" collapsed="false">
      <c r="A42" s="33" t="n">
        <v>41</v>
      </c>
      <c r="B42" s="32" t="n">
        <v>44237</v>
      </c>
      <c r="C42" s="33" t="n">
        <v>2385</v>
      </c>
      <c r="D42" s="33" t="n">
        <f aca="false">C41-C42</f>
        <v>948</v>
      </c>
      <c r="E42" s="33" t="n">
        <v>108.4</v>
      </c>
      <c r="F42" s="33" t="n">
        <f aca="false">E41-E42</f>
        <v>37.8</v>
      </c>
      <c r="G42" s="33" t="n">
        <v>1.72</v>
      </c>
      <c r="H42" s="33" t="n">
        <f aca="false">G42-G41</f>
        <v>-0.68</v>
      </c>
      <c r="I42" s="33" t="n">
        <v>29</v>
      </c>
      <c r="J42" s="33" t="n">
        <f aca="false">I41-I42</f>
        <v>8</v>
      </c>
      <c r="K42" s="1" t="s">
        <v>20</v>
      </c>
      <c r="L42" s="1" t="n">
        <f aca="false">KURT($C$33:$C$60)</f>
        <v>0.377475471721239</v>
      </c>
      <c r="M42" s="1" t="n">
        <f aca="false">KURT($E$33:$E$60)</f>
        <v>0.179200584840299</v>
      </c>
      <c r="N42" s="1" t="n">
        <f aca="false">KURT($G$33:$G$60)</f>
        <v>0.377199858353551</v>
      </c>
      <c r="O42" s="1" t="n">
        <f aca="false">KURT($I$33:$I$60)</f>
        <v>-0.0350280510291863</v>
      </c>
    </row>
    <row r="43" customFormat="false" ht="13.8" hidden="false" customHeight="false" outlineLevel="0" collapsed="false">
      <c r="A43" s="33" t="n">
        <v>42</v>
      </c>
      <c r="B43" s="32" t="n">
        <v>44238</v>
      </c>
      <c r="C43" s="33" t="n">
        <v>4291</v>
      </c>
      <c r="D43" s="33" t="n">
        <f aca="false">C42-C43</f>
        <v>-1906</v>
      </c>
      <c r="E43" s="33" t="n">
        <v>203</v>
      </c>
      <c r="F43" s="33" t="n">
        <f aca="false">E42-E43</f>
        <v>-94.6</v>
      </c>
      <c r="G43" s="33" t="n">
        <v>3.09</v>
      </c>
      <c r="H43" s="33" t="n">
        <f aca="false">G43-G42</f>
        <v>1.37</v>
      </c>
      <c r="I43" s="33" t="n">
        <v>56</v>
      </c>
      <c r="J43" s="33" t="n">
        <f aca="false">I42-I43</f>
        <v>-27</v>
      </c>
      <c r="K43" s="1" t="s">
        <v>22</v>
      </c>
      <c r="L43" s="1" t="n">
        <f aca="false">SKEW($C$33:$C$60)</f>
        <v>1.03335864659715</v>
      </c>
      <c r="M43" s="1" t="n">
        <f aca="false">SKEW($E$33:$E$60)</f>
        <v>0.948854793345729</v>
      </c>
      <c r="N43" s="1" t="n">
        <f aca="false">SKEW($G$33:$G$60)</f>
        <v>1.03339834620238</v>
      </c>
      <c r="O43" s="1" t="n">
        <f aca="false">SKEW($I$33:$I$60)</f>
        <v>0.84123256573285</v>
      </c>
    </row>
    <row r="44" customFormat="false" ht="13.8" hidden="false" customHeight="false" outlineLevel="0" collapsed="false">
      <c r="A44" s="33" t="n">
        <v>43</v>
      </c>
      <c r="B44" s="32" t="n">
        <v>44239</v>
      </c>
      <c r="C44" s="33" t="n">
        <v>1744</v>
      </c>
      <c r="D44" s="33" t="n">
        <f aca="false">C43-C44</f>
        <v>2547</v>
      </c>
      <c r="E44" s="33" t="n">
        <v>84</v>
      </c>
      <c r="F44" s="33" t="n">
        <f aca="false">E43-E44</f>
        <v>119</v>
      </c>
      <c r="G44" s="33" t="n">
        <v>1.26</v>
      </c>
      <c r="H44" s="33" t="n">
        <f aca="false">G44-G43</f>
        <v>-1.83</v>
      </c>
      <c r="I44" s="33" t="n">
        <v>23</v>
      </c>
      <c r="J44" s="33" t="n">
        <f aca="false">I43-I44</f>
        <v>33</v>
      </c>
      <c r="K44" s="1" t="s">
        <v>24</v>
      </c>
      <c r="L44" s="1" t="n">
        <f aca="false">MAX($C$33:$C$60)-MIN($C$33:$C$60)</f>
        <v>17430</v>
      </c>
      <c r="M44" s="1" t="n">
        <f aca="false">MAX($E$33:$E$60)-MIN($E$33:$E$60)</f>
        <v>712</v>
      </c>
      <c r="N44" s="1" t="n">
        <f aca="false">MAX($G$33:$G$60)-MIN($G$33:$G$60)</f>
        <v>12.55</v>
      </c>
      <c r="O44" s="1" t="n">
        <f aca="false">MAX($I$33:$I$60)-MIN($I$33:$I$60)</f>
        <v>166</v>
      </c>
    </row>
    <row r="45" customFormat="false" ht="13.8" hidden="false" customHeight="false" outlineLevel="0" collapsed="false">
      <c r="A45" s="33" t="n">
        <v>44</v>
      </c>
      <c r="B45" s="32" t="n">
        <v>44240</v>
      </c>
      <c r="C45" s="33" t="n">
        <v>1130</v>
      </c>
      <c r="D45" s="33" t="n">
        <f aca="false">C44-C45</f>
        <v>614</v>
      </c>
      <c r="E45" s="33" t="n">
        <v>56</v>
      </c>
      <c r="F45" s="33" t="n">
        <f aca="false">E44-E45</f>
        <v>28</v>
      </c>
      <c r="G45" s="33" t="n">
        <v>0.81</v>
      </c>
      <c r="H45" s="33" t="n">
        <f aca="false">G45-G44</f>
        <v>-0.45</v>
      </c>
      <c r="I45" s="33" t="n">
        <v>16</v>
      </c>
      <c r="J45" s="33" t="n">
        <f aca="false">I44-I45</f>
        <v>7</v>
      </c>
      <c r="K45" s="1" t="s">
        <v>26</v>
      </c>
      <c r="L45" s="1" t="n">
        <f aca="false">MIN($C$33:$C$60)</f>
        <v>1054</v>
      </c>
      <c r="M45" s="1" t="n">
        <f aca="false">MIN($E$33:$E$60)</f>
        <v>48.1</v>
      </c>
      <c r="N45" s="1" t="n">
        <f aca="false">MIN($G$33:$G$60)</f>
        <v>0.76</v>
      </c>
      <c r="O45" s="1" t="n">
        <f aca="false">MIN($I$33:$I$60)</f>
        <v>12</v>
      </c>
    </row>
    <row r="46" customFormat="false" ht="13.8" hidden="false" customHeight="false" outlineLevel="0" collapsed="false">
      <c r="A46" s="33" t="n">
        <v>45</v>
      </c>
      <c r="B46" s="32" t="n">
        <v>44241</v>
      </c>
      <c r="C46" s="33" t="n">
        <v>8150</v>
      </c>
      <c r="D46" s="33" t="n">
        <f aca="false">C45-C46</f>
        <v>-7020</v>
      </c>
      <c r="E46" s="33" t="n">
        <v>366.7</v>
      </c>
      <c r="F46" s="33" t="n">
        <f aca="false">E45-E46</f>
        <v>-310.7</v>
      </c>
      <c r="G46" s="33" t="n">
        <v>5.87</v>
      </c>
      <c r="H46" s="33" t="n">
        <f aca="false">G46-G45</f>
        <v>5.06</v>
      </c>
      <c r="I46" s="33" t="n">
        <v>96</v>
      </c>
      <c r="J46" s="33" t="n">
        <f aca="false">I45-I46</f>
        <v>-80</v>
      </c>
      <c r="K46" s="1" t="s">
        <v>28</v>
      </c>
      <c r="L46" s="1" t="n">
        <f aca="false">MAX($C$33:$C$60)</f>
        <v>18484</v>
      </c>
      <c r="M46" s="1" t="n">
        <f aca="false">MAX($E$33:$E$60)</f>
        <v>760.1</v>
      </c>
      <c r="N46" s="1" t="n">
        <f aca="false">MAX($G$33:$G$60)</f>
        <v>13.31</v>
      </c>
      <c r="O46" s="1" t="n">
        <f aca="false">MAX($I$33:$I$60)</f>
        <v>178</v>
      </c>
    </row>
    <row r="47" customFormat="false" ht="13.8" hidden="false" customHeight="false" outlineLevel="0" collapsed="false">
      <c r="A47" s="33" t="n">
        <v>46</v>
      </c>
      <c r="B47" s="32" t="n">
        <v>44242</v>
      </c>
      <c r="C47" s="33" t="n">
        <v>5336</v>
      </c>
      <c r="D47" s="33" t="n">
        <f aca="false">C46-C47</f>
        <v>2814</v>
      </c>
      <c r="E47" s="33" t="n">
        <v>244.6</v>
      </c>
      <c r="F47" s="33" t="n">
        <f aca="false">E46-E47</f>
        <v>122.1</v>
      </c>
      <c r="G47" s="33" t="n">
        <v>3.84</v>
      </c>
      <c r="H47" s="33" t="n">
        <f aca="false">G47-G46</f>
        <v>-2.03</v>
      </c>
      <c r="I47" s="33" t="n">
        <v>66</v>
      </c>
      <c r="J47" s="33" t="n">
        <f aca="false">I46-I47</f>
        <v>30</v>
      </c>
      <c r="K47" s="1" t="s">
        <v>30</v>
      </c>
      <c r="L47" s="1" t="n">
        <f aca="false">SUM($C$33:$C$60)</f>
        <v>191291</v>
      </c>
      <c r="M47" s="1" t="n">
        <f aca="false">SUM($E$33:$E$60)</f>
        <v>8395</v>
      </c>
      <c r="N47" s="1" t="n">
        <f aca="false">SUM($G$33:$G$60)</f>
        <v>137.74</v>
      </c>
      <c r="O47" s="1" t="n">
        <f aca="false">SUM($I$33:$I$60)</f>
        <v>2145</v>
      </c>
    </row>
    <row r="48" customFormat="false" ht="13.8" hidden="false" customHeight="false" outlineLevel="0" collapsed="false">
      <c r="A48" s="33" t="n">
        <v>47</v>
      </c>
      <c r="B48" s="32" t="n">
        <v>44243</v>
      </c>
      <c r="C48" s="33" t="n">
        <v>4353</v>
      </c>
      <c r="D48" s="33" t="n">
        <f aca="false">C47-C48</f>
        <v>983</v>
      </c>
      <c r="E48" s="33" t="n">
        <v>209.6</v>
      </c>
      <c r="F48" s="33" t="n">
        <f aca="false">E47-E48</f>
        <v>35</v>
      </c>
      <c r="G48" s="33" t="n">
        <v>3.13</v>
      </c>
      <c r="H48" s="33" t="n">
        <f aca="false">G48-G47</f>
        <v>-0.71</v>
      </c>
      <c r="I48" s="33" t="n">
        <v>58</v>
      </c>
      <c r="J48" s="33" t="n">
        <f aca="false">I47-I48</f>
        <v>8</v>
      </c>
      <c r="K48" s="1" t="s">
        <v>32</v>
      </c>
      <c r="L48" s="1" t="n">
        <f aca="false">COUNT($C$33:$C$60)</f>
        <v>28</v>
      </c>
      <c r="M48" s="1" t="n">
        <f aca="false">COUNT($E$33:$E$60)</f>
        <v>28</v>
      </c>
      <c r="N48" s="1" t="n">
        <f aca="false">COUNT($G$33:$G$60)</f>
        <v>28</v>
      </c>
      <c r="O48" s="1" t="n">
        <f aca="false">COUNT($I$33:$I$60)</f>
        <v>28</v>
      </c>
    </row>
    <row r="49" customFormat="false" ht="13.8" hidden="false" customHeight="false" outlineLevel="0" collapsed="false">
      <c r="A49" s="33" t="n">
        <v>48</v>
      </c>
      <c r="B49" s="32" t="n">
        <v>44244</v>
      </c>
      <c r="C49" s="33" t="n">
        <v>16461</v>
      </c>
      <c r="D49" s="33" t="n">
        <f aca="false">C48-C49</f>
        <v>-12108</v>
      </c>
      <c r="E49" s="33" t="n">
        <v>702.7</v>
      </c>
      <c r="F49" s="33" t="n">
        <f aca="false">E48-E49</f>
        <v>-493.1</v>
      </c>
      <c r="G49" s="33" t="n">
        <v>11.85</v>
      </c>
      <c r="H49" s="33" t="n">
        <f aca="false">G49-G48</f>
        <v>8.72</v>
      </c>
      <c r="I49" s="33" t="n">
        <v>174</v>
      </c>
      <c r="J49" s="33" t="n">
        <f aca="false">I48-I49</f>
        <v>-116</v>
      </c>
    </row>
    <row r="50" customFormat="false" ht="13.8" hidden="false" customHeight="false" outlineLevel="0" collapsed="false">
      <c r="A50" s="33" t="n">
        <v>49</v>
      </c>
      <c r="B50" s="32" t="n">
        <v>44245</v>
      </c>
      <c r="C50" s="33" t="n">
        <v>7790</v>
      </c>
      <c r="D50" s="33" t="n">
        <f aca="false">C49-C50</f>
        <v>8671</v>
      </c>
      <c r="E50" s="33" t="n">
        <v>346.1</v>
      </c>
      <c r="F50" s="33" t="n">
        <f aca="false">E49-E50</f>
        <v>356.6</v>
      </c>
      <c r="G50" s="33" t="n">
        <v>5.61</v>
      </c>
      <c r="H50" s="33" t="n">
        <f aca="false">G50-G49</f>
        <v>-6.24</v>
      </c>
      <c r="I50" s="33" t="n">
        <v>89</v>
      </c>
      <c r="J50" s="33" t="n">
        <f aca="false">I49-I50</f>
        <v>85</v>
      </c>
    </row>
    <row r="51" customFormat="false" ht="13.8" hidden="false" customHeight="false" outlineLevel="0" collapsed="false">
      <c r="A51" s="33" t="n">
        <v>50</v>
      </c>
      <c r="B51" s="32" t="n">
        <v>44246</v>
      </c>
      <c r="C51" s="33" t="n">
        <v>14647</v>
      </c>
      <c r="D51" s="33" t="n">
        <f aca="false">C50-C51</f>
        <v>-6857</v>
      </c>
      <c r="E51" s="33" t="n">
        <v>620.4</v>
      </c>
      <c r="F51" s="33" t="n">
        <f aca="false">E50-E51</f>
        <v>-274.3</v>
      </c>
      <c r="G51" s="33" t="n">
        <v>10.55</v>
      </c>
      <c r="H51" s="33" t="n">
        <f aca="false">G51-G50</f>
        <v>4.94</v>
      </c>
      <c r="I51" s="33" t="n">
        <v>154</v>
      </c>
      <c r="J51" s="33" t="n">
        <f aca="false">I50-I51</f>
        <v>-65</v>
      </c>
    </row>
    <row r="52" customFormat="false" ht="13.8" hidden="false" customHeight="false" outlineLevel="0" collapsed="false">
      <c r="A52" s="33" t="n">
        <v>51</v>
      </c>
      <c r="B52" s="32" t="n">
        <v>44247</v>
      </c>
      <c r="C52" s="33" t="n">
        <v>2946</v>
      </c>
      <c r="D52" s="33" t="n">
        <f aca="false">C51-C52</f>
        <v>11701</v>
      </c>
      <c r="E52" s="33" t="n">
        <v>131.4</v>
      </c>
      <c r="F52" s="33" t="n">
        <f aca="false">E51-E52</f>
        <v>489</v>
      </c>
      <c r="G52" s="33" t="n">
        <v>2.12</v>
      </c>
      <c r="H52" s="33" t="n">
        <f aca="false">G52-G51</f>
        <v>-8.43</v>
      </c>
      <c r="I52" s="33" t="n">
        <v>34</v>
      </c>
      <c r="J52" s="33" t="n">
        <f aca="false">I51-I52</f>
        <v>120</v>
      </c>
    </row>
    <row r="53" customFormat="false" ht="13.8" hidden="false" customHeight="false" outlineLevel="0" collapsed="false">
      <c r="A53" s="33" t="n">
        <v>52</v>
      </c>
      <c r="B53" s="32" t="n">
        <v>44248</v>
      </c>
      <c r="C53" s="33" t="n">
        <v>2473</v>
      </c>
      <c r="D53" s="33" t="n">
        <f aca="false">C52-C53</f>
        <v>473</v>
      </c>
      <c r="E53" s="33" t="n">
        <v>111.7</v>
      </c>
      <c r="F53" s="33" t="n">
        <f aca="false">E52-E53</f>
        <v>19.7</v>
      </c>
      <c r="G53" s="33" t="n">
        <v>1.78</v>
      </c>
      <c r="H53" s="33" t="n">
        <f aca="false">G53-G52</f>
        <v>-0.34</v>
      </c>
      <c r="I53" s="33" t="n">
        <v>29</v>
      </c>
      <c r="J53" s="33" t="n">
        <f aca="false">I52-I53</f>
        <v>5</v>
      </c>
    </row>
    <row r="54" customFormat="false" ht="13.8" hidden="false" customHeight="false" outlineLevel="0" collapsed="false">
      <c r="A54" s="33" t="n">
        <v>53</v>
      </c>
      <c r="B54" s="32" t="n">
        <v>44249</v>
      </c>
      <c r="C54" s="33" t="n">
        <v>10530</v>
      </c>
      <c r="D54" s="33" t="n">
        <f aca="false">C53-C54</f>
        <v>-8057</v>
      </c>
      <c r="E54" s="33" t="n">
        <v>465.6</v>
      </c>
      <c r="F54" s="33" t="n">
        <f aca="false">E53-E54</f>
        <v>-353.9</v>
      </c>
      <c r="G54" s="33" t="n">
        <v>7.58</v>
      </c>
      <c r="H54" s="33" t="n">
        <f aca="false">G54-G53</f>
        <v>5.8</v>
      </c>
      <c r="I54" s="33" t="n">
        <v>120</v>
      </c>
      <c r="J54" s="33" t="n">
        <f aca="false">I53-I54</f>
        <v>-91</v>
      </c>
    </row>
    <row r="55" customFormat="false" ht="13.8" hidden="false" customHeight="false" outlineLevel="0" collapsed="false">
      <c r="A55" s="33" t="n">
        <v>54</v>
      </c>
      <c r="B55" s="32" t="n">
        <v>44250</v>
      </c>
      <c r="C55" s="33" t="n">
        <v>5663</v>
      </c>
      <c r="D55" s="33" t="n">
        <f aca="false">C54-C55</f>
        <v>4867</v>
      </c>
      <c r="E55" s="33" t="n">
        <v>264.7</v>
      </c>
      <c r="F55" s="33" t="n">
        <f aca="false">E54-E55</f>
        <v>200.9</v>
      </c>
      <c r="G55" s="33" t="n">
        <v>4.08</v>
      </c>
      <c r="H55" s="33" t="n">
        <f aca="false">G55-G54</f>
        <v>-3.5</v>
      </c>
      <c r="I55" s="33" t="n">
        <v>72</v>
      </c>
      <c r="J55" s="33" t="n">
        <f aca="false">I54-I55</f>
        <v>48</v>
      </c>
    </row>
    <row r="56" customFormat="false" ht="13.8" hidden="false" customHeight="false" outlineLevel="0" collapsed="false">
      <c r="A56" s="33" t="n">
        <v>55</v>
      </c>
      <c r="B56" s="32" t="n">
        <v>44251</v>
      </c>
      <c r="C56" s="33" t="n">
        <v>6141</v>
      </c>
      <c r="D56" s="33" t="n">
        <f aca="false">C55-C56</f>
        <v>-478</v>
      </c>
      <c r="E56" s="33" t="n">
        <v>271.8</v>
      </c>
      <c r="F56" s="33" t="n">
        <f aca="false">E55-E56</f>
        <v>-7.10000000000002</v>
      </c>
      <c r="G56" s="33" t="n">
        <v>4.42</v>
      </c>
      <c r="H56" s="33" t="n">
        <f aca="false">G56-G55</f>
        <v>0.34</v>
      </c>
      <c r="I56" s="33" t="n">
        <v>70</v>
      </c>
      <c r="J56" s="33" t="n">
        <f aca="false">I55-I56</f>
        <v>2</v>
      </c>
    </row>
    <row r="57" customFormat="false" ht="13.8" hidden="false" customHeight="false" outlineLevel="0" collapsed="false">
      <c r="A57" s="33" t="n">
        <v>56</v>
      </c>
      <c r="B57" s="32" t="n">
        <v>44252</v>
      </c>
      <c r="C57" s="33" t="n">
        <v>1054</v>
      </c>
      <c r="D57" s="33" t="n">
        <f aca="false">C56-C57</f>
        <v>5087</v>
      </c>
      <c r="E57" s="33" t="n">
        <v>48.1</v>
      </c>
      <c r="F57" s="33" t="n">
        <f aca="false">E56-E57</f>
        <v>223.7</v>
      </c>
      <c r="G57" s="33" t="n">
        <v>0.76</v>
      </c>
      <c r="H57" s="33" t="n">
        <f aca="false">G57-G56</f>
        <v>-3.66</v>
      </c>
      <c r="I57" s="33" t="n">
        <v>12</v>
      </c>
      <c r="J57" s="33" t="n">
        <f aca="false">I56-I57</f>
        <v>58</v>
      </c>
    </row>
    <row r="58" customFormat="false" ht="13.8" hidden="false" customHeight="false" outlineLevel="0" collapsed="false">
      <c r="A58" s="33" t="n">
        <v>57</v>
      </c>
      <c r="B58" s="32" t="n">
        <v>44253</v>
      </c>
      <c r="C58" s="33" t="n">
        <v>8767</v>
      </c>
      <c r="D58" s="33" t="n">
        <f aca="false">C57-C58</f>
        <v>-7713</v>
      </c>
      <c r="E58" s="33" t="n">
        <v>374.2</v>
      </c>
      <c r="F58" s="33" t="n">
        <f aca="false">E57-E58</f>
        <v>-326.1</v>
      </c>
      <c r="G58" s="33" t="n">
        <v>6.31</v>
      </c>
      <c r="H58" s="33" t="n">
        <f aca="false">G58-G57</f>
        <v>5.55</v>
      </c>
      <c r="I58" s="33" t="n">
        <v>93</v>
      </c>
      <c r="J58" s="33" t="n">
        <f aca="false">I57-I58</f>
        <v>-81</v>
      </c>
    </row>
    <row r="59" customFormat="false" ht="13.8" hidden="false" customHeight="false" outlineLevel="0" collapsed="false">
      <c r="A59" s="33" t="n">
        <v>58</v>
      </c>
      <c r="B59" s="32" t="n">
        <v>44254</v>
      </c>
      <c r="C59" s="33" t="n">
        <v>18484</v>
      </c>
      <c r="D59" s="33" t="n">
        <f aca="false">C58-C59</f>
        <v>-9717</v>
      </c>
      <c r="E59" s="33" t="n">
        <v>760.1</v>
      </c>
      <c r="F59" s="33" t="n">
        <f aca="false">E58-E59</f>
        <v>-385.9</v>
      </c>
      <c r="G59" s="33" t="n">
        <v>13.31</v>
      </c>
      <c r="H59" s="33" t="n">
        <f aca="false">G59-G58</f>
        <v>7</v>
      </c>
      <c r="I59" s="33" t="n">
        <v>177</v>
      </c>
      <c r="J59" s="33" t="n">
        <f aca="false">I58-I59</f>
        <v>-84</v>
      </c>
    </row>
    <row r="60" customFormat="false" ht="13.8" hidden="false" customHeight="false" outlineLevel="0" collapsed="false">
      <c r="A60" s="33" t="n">
        <v>59</v>
      </c>
      <c r="B60" s="32" t="n">
        <v>44255</v>
      </c>
      <c r="C60" s="33" t="n">
        <v>8106</v>
      </c>
      <c r="D60" s="33" t="n">
        <f aca="false">C59-C60</f>
        <v>10378</v>
      </c>
      <c r="E60" s="33" t="n">
        <v>347</v>
      </c>
      <c r="F60" s="33" t="n">
        <f aca="false">E59-E60</f>
        <v>413.1</v>
      </c>
      <c r="G60" s="33" t="n">
        <v>5.84</v>
      </c>
      <c r="H60" s="33" t="n">
        <f aca="false">G60-G59</f>
        <v>-7.47</v>
      </c>
      <c r="I60" s="33" t="n">
        <v>87</v>
      </c>
      <c r="J60" s="33" t="n">
        <f aca="false">I59-I60</f>
        <v>90</v>
      </c>
    </row>
    <row r="61" customFormat="false" ht="13.8" hidden="false" customHeight="false" outlineLevel="0" collapsed="false">
      <c r="A61" s="33" t="n">
        <v>60</v>
      </c>
      <c r="B61" s="32" t="n">
        <v>44256</v>
      </c>
      <c r="C61" s="33" t="n">
        <v>12504</v>
      </c>
      <c r="D61" s="33" t="n">
        <f aca="false">C60-C61</f>
        <v>-4398</v>
      </c>
      <c r="E61" s="33" t="n">
        <v>536</v>
      </c>
      <c r="F61" s="33" t="n">
        <f aca="false">E60-E61</f>
        <v>-189</v>
      </c>
      <c r="G61" s="33" t="n">
        <v>9</v>
      </c>
      <c r="H61" s="33" t="n">
        <f aca="false">G61-G60</f>
        <v>3.16</v>
      </c>
      <c r="I61" s="33" t="n">
        <v>134</v>
      </c>
      <c r="J61" s="33" t="n">
        <f aca="false">I60-I61</f>
        <v>-47</v>
      </c>
      <c r="L61" s="1" t="s">
        <v>2</v>
      </c>
      <c r="M61" s="1" t="s">
        <v>179</v>
      </c>
      <c r="N61" s="1" t="s">
        <v>175</v>
      </c>
      <c r="O61" s="1" t="s">
        <v>177</v>
      </c>
    </row>
    <row r="62" customFormat="false" ht="13.8" hidden="false" customHeight="false" outlineLevel="0" collapsed="false">
      <c r="A62" s="33" t="n">
        <v>61</v>
      </c>
      <c r="B62" s="32" t="n">
        <v>44257</v>
      </c>
      <c r="C62" s="33" t="n">
        <v>2190</v>
      </c>
      <c r="D62" s="33" t="n">
        <f aca="false">C61-C62</f>
        <v>10314</v>
      </c>
      <c r="E62" s="33" t="n">
        <v>100.3</v>
      </c>
      <c r="F62" s="33" t="n">
        <f aca="false">E61-E62</f>
        <v>435.7</v>
      </c>
      <c r="G62" s="33" t="n">
        <v>1.58</v>
      </c>
      <c r="H62" s="33" t="n">
        <f aca="false">G62-G61</f>
        <v>-7.42</v>
      </c>
      <c r="I62" s="33" t="n">
        <v>26</v>
      </c>
      <c r="J62" s="33" t="n">
        <f aca="false">I61-I62</f>
        <v>108</v>
      </c>
      <c r="K62" s="1" t="s">
        <v>8</v>
      </c>
      <c r="L62" s="1" t="n">
        <f aca="false">AVERAGE($C$61:$C$91)</f>
        <v>7410.51612903226</v>
      </c>
      <c r="M62" s="1" t="n">
        <f aca="false">AVERAGE($E$61:$E$91)</f>
        <v>317.196774193548</v>
      </c>
      <c r="N62" s="1" t="n">
        <f aca="false">AVERAGE($G$61:$G$91)</f>
        <v>5.3358064516129</v>
      </c>
      <c r="O62" s="1" t="n">
        <f aca="false">AVERAGE($I$61:$I$91)</f>
        <v>78.3225806451613</v>
      </c>
    </row>
    <row r="63" customFormat="false" ht="13.8" hidden="false" customHeight="false" outlineLevel="0" collapsed="false">
      <c r="A63" s="33" t="n">
        <v>62</v>
      </c>
      <c r="B63" s="32" t="n">
        <v>44258</v>
      </c>
      <c r="C63" s="33" t="n">
        <v>14350</v>
      </c>
      <c r="D63" s="33" t="n">
        <f aca="false">C62-C63</f>
        <v>-12160</v>
      </c>
      <c r="E63" s="33" t="n">
        <v>635.5</v>
      </c>
      <c r="F63" s="33" t="n">
        <f aca="false">E62-E63</f>
        <v>-535.2</v>
      </c>
      <c r="G63" s="33" t="n">
        <v>10.33</v>
      </c>
      <c r="H63" s="33" t="n">
        <f aca="false">G63-G62</f>
        <v>8.75</v>
      </c>
      <c r="I63" s="33" t="n">
        <v>165</v>
      </c>
      <c r="J63" s="33" t="n">
        <f aca="false">I62-I63</f>
        <v>-139</v>
      </c>
      <c r="K63" s="1" t="s">
        <v>10</v>
      </c>
      <c r="L63" s="1" t="n">
        <f aca="false">SQRT(VAR($C$61:$C$91)/COUNT($C$61:$C$91))</f>
        <v>624.906231023482</v>
      </c>
      <c r="M63" s="1" t="n">
        <f aca="false">SQRT(VAR($E$61:$E$91)/COUNT($E$61:$E$91))</f>
        <v>26.3488746097727</v>
      </c>
      <c r="N63" s="1" t="n">
        <f aca="false">SQRT(VAR($G$61:$G$91)/COUNT($G$61:$G$91))</f>
        <v>0.449818069363042</v>
      </c>
      <c r="O63" s="1" t="n">
        <f aca="false">SQRT(VAR($I$61:$I$91)/COUNT($I$61:$I$91))</f>
        <v>6.53088396539143</v>
      </c>
    </row>
    <row r="64" customFormat="false" ht="13.8" hidden="false" customHeight="false" outlineLevel="0" collapsed="false">
      <c r="A64" s="33" t="n">
        <v>63</v>
      </c>
      <c r="B64" s="32" t="n">
        <v>44259</v>
      </c>
      <c r="C64" s="33" t="n">
        <v>4742</v>
      </c>
      <c r="D64" s="33" t="n">
        <f aca="false">C63-C64</f>
        <v>9608</v>
      </c>
      <c r="E64" s="33" t="n">
        <v>225.6</v>
      </c>
      <c r="F64" s="33" t="n">
        <f aca="false">E63-E64</f>
        <v>409.9</v>
      </c>
      <c r="G64" s="33" t="n">
        <v>3.41</v>
      </c>
      <c r="H64" s="33" t="n">
        <f aca="false">G64-G63</f>
        <v>-6.92</v>
      </c>
      <c r="I64" s="33" t="n">
        <v>62</v>
      </c>
      <c r="J64" s="33" t="n">
        <f aca="false">I63-I64</f>
        <v>103</v>
      </c>
      <c r="K64" s="1" t="s">
        <v>14</v>
      </c>
      <c r="L64" s="1" t="n">
        <f aca="false">MODE($C$61:$C$91)</f>
        <v>4934</v>
      </c>
      <c r="M64" s="1" t="e">
        <f aca="false">MODE($E$61:$E$91)</f>
        <v>#VALUE!</v>
      </c>
      <c r="N64" s="1" t="n">
        <f aca="false">MODE($G$61:$G$91)</f>
        <v>3.55</v>
      </c>
      <c r="O64" s="1" t="n">
        <f aca="false">MODE($I$61:$I$91)</f>
        <v>69</v>
      </c>
    </row>
    <row r="65" customFormat="false" ht="13.8" hidden="false" customHeight="false" outlineLevel="0" collapsed="false">
      <c r="A65" s="33" t="n">
        <v>64</v>
      </c>
      <c r="B65" s="32" t="n">
        <v>44260</v>
      </c>
      <c r="C65" s="33" t="n">
        <v>8754</v>
      </c>
      <c r="D65" s="33" t="n">
        <f aca="false">C64-C65</f>
        <v>-4012</v>
      </c>
      <c r="E65" s="33" t="n">
        <v>377.2</v>
      </c>
      <c r="F65" s="33" t="n">
        <f aca="false">E64-E65</f>
        <v>-151.6</v>
      </c>
      <c r="G65" s="33" t="n">
        <v>6.3</v>
      </c>
      <c r="H65" s="33" t="n">
        <f aca="false">G65-G64</f>
        <v>2.89</v>
      </c>
      <c r="I65" s="33" t="n">
        <v>95</v>
      </c>
      <c r="J65" s="33" t="n">
        <f aca="false">I64-I65</f>
        <v>-33</v>
      </c>
      <c r="K65" s="1" t="s">
        <v>12</v>
      </c>
      <c r="L65" s="1" t="n">
        <f aca="false">MEDIAN($C$61:$C$91)</f>
        <v>7308</v>
      </c>
      <c r="M65" s="1" t="n">
        <f aca="false">MEDIAN($E$61:$E$91)</f>
        <v>297.7</v>
      </c>
      <c r="N65" s="1" t="n">
        <f aca="false">MEDIAN($G$61:$G$91)</f>
        <v>5.26</v>
      </c>
      <c r="O65" s="1" t="n">
        <f aca="false">MEDIAN($I$61:$I$91)</f>
        <v>70</v>
      </c>
    </row>
    <row r="66" customFormat="false" ht="13.8" hidden="false" customHeight="false" outlineLevel="0" collapsed="false">
      <c r="A66" s="33" t="n">
        <v>65</v>
      </c>
      <c r="B66" s="32" t="n">
        <v>44261</v>
      </c>
      <c r="C66" s="33" t="n">
        <v>1438</v>
      </c>
      <c r="D66" s="33" t="n">
        <f aca="false">C65-C66</f>
        <v>7316</v>
      </c>
      <c r="E66" s="33" t="n">
        <v>69.9</v>
      </c>
      <c r="F66" s="33" t="n">
        <f aca="false">E65-E66</f>
        <v>307.3</v>
      </c>
      <c r="G66" s="33" t="n">
        <v>1.04</v>
      </c>
      <c r="H66" s="33" t="n">
        <f aca="false">G66-G65</f>
        <v>-5.26</v>
      </c>
      <c r="I66" s="33" t="n">
        <v>19</v>
      </c>
      <c r="J66" s="33" t="n">
        <f aca="false">I65-I66</f>
        <v>76</v>
      </c>
      <c r="K66" s="1" t="s">
        <v>195</v>
      </c>
      <c r="L66" s="1" t="n">
        <f aca="false">QUARTILE($C$61:$C$91, 1)</f>
        <v>5388.5</v>
      </c>
      <c r="M66" s="1" t="n">
        <f aca="false">QUARTILE($E$61:$E$91, 1)</f>
        <v>234.55</v>
      </c>
      <c r="N66" s="1" t="n">
        <f aca="false">QUARTILE($G$61:$G$91, 1)</f>
        <v>3.88</v>
      </c>
      <c r="O66" s="1" t="n">
        <f aca="false">QUARTILE($I$61:$I$91, 1)</f>
        <v>61.5</v>
      </c>
    </row>
    <row r="67" customFormat="false" ht="13.8" hidden="false" customHeight="false" outlineLevel="0" collapsed="false">
      <c r="A67" s="33" t="n">
        <v>66</v>
      </c>
      <c r="B67" s="32" t="n">
        <v>44262</v>
      </c>
      <c r="C67" s="33" t="n">
        <v>4934</v>
      </c>
      <c r="D67" s="33" t="n">
        <f aca="false">C66-C67</f>
        <v>-3496</v>
      </c>
      <c r="E67" s="33" t="n">
        <v>208.3</v>
      </c>
      <c r="F67" s="33" t="n">
        <f aca="false">E66-E67</f>
        <v>-138.4</v>
      </c>
      <c r="G67" s="33" t="n">
        <v>3.55</v>
      </c>
      <c r="H67" s="33" t="n">
        <f aca="false">G67-G66</f>
        <v>2.51</v>
      </c>
      <c r="I67" s="33" t="n">
        <v>50</v>
      </c>
      <c r="J67" s="33" t="n">
        <f aca="false">I66-I67</f>
        <v>-31</v>
      </c>
      <c r="K67" s="1" t="s">
        <v>181</v>
      </c>
      <c r="L67" s="1" t="n">
        <f aca="false">QUARTILE($C$61:$C$91, 3)</f>
        <v>8636</v>
      </c>
      <c r="M67" s="1" t="n">
        <f aca="false">QUARTILE($E$61:$E$91, 3)</f>
        <v>364.05</v>
      </c>
      <c r="N67" s="1" t="n">
        <f aca="false">QUARTILE($G$61:$G$91, 3)</f>
        <v>6.22</v>
      </c>
      <c r="O67" s="1" t="n">
        <f aca="false">QUARTILE($I$61:$I$91, 3)</f>
        <v>92</v>
      </c>
    </row>
    <row r="68" customFormat="false" ht="13.8" hidden="false" customHeight="false" outlineLevel="0" collapsed="false">
      <c r="A68" s="33" t="n">
        <v>67</v>
      </c>
      <c r="B68" s="32" t="n">
        <v>44263</v>
      </c>
      <c r="C68" s="33" t="n">
        <v>1917</v>
      </c>
      <c r="D68" s="33" t="n">
        <f aca="false">C67-C68</f>
        <v>3017</v>
      </c>
      <c r="E68" s="33" t="n">
        <v>88.4</v>
      </c>
      <c r="F68" s="33" t="n">
        <f aca="false">E67-E68</f>
        <v>119.9</v>
      </c>
      <c r="G68" s="33" t="n">
        <v>1.38</v>
      </c>
      <c r="H68" s="33" t="n">
        <f aca="false">G68-G67</f>
        <v>-2.17</v>
      </c>
      <c r="I68" s="33" t="n">
        <v>24</v>
      </c>
      <c r="J68" s="33" t="n">
        <f aca="false">I67-I68</f>
        <v>26</v>
      </c>
      <c r="K68" s="1" t="s">
        <v>182</v>
      </c>
      <c r="L68" s="1" t="n">
        <f aca="false">VAR($C$61:$C$91)</f>
        <v>12105741.7247312</v>
      </c>
      <c r="M68" s="1" t="n">
        <f aca="false">VAR($E$61:$E$91)</f>
        <v>21522.1589892473</v>
      </c>
      <c r="N68" s="1" t="n">
        <f aca="false">VAR($G$61:$G$91)</f>
        <v>6.27242516129032</v>
      </c>
      <c r="O68" s="1" t="n">
        <f aca="false">VAR($I$61:$I$91)</f>
        <v>1322.22580645161</v>
      </c>
    </row>
    <row r="69" customFormat="false" ht="13.8" hidden="false" customHeight="false" outlineLevel="0" collapsed="false">
      <c r="A69" s="33" t="n">
        <v>68</v>
      </c>
      <c r="B69" s="32" t="n">
        <v>44264</v>
      </c>
      <c r="C69" s="33" t="n">
        <v>4934</v>
      </c>
      <c r="D69" s="33" t="n">
        <f aca="false">C68-C69</f>
        <v>-3017</v>
      </c>
      <c r="E69" s="33" t="n">
        <v>231.4</v>
      </c>
      <c r="F69" s="33" t="n">
        <f aca="false">E68-E69</f>
        <v>-143</v>
      </c>
      <c r="G69" s="33" t="n">
        <v>3.55</v>
      </c>
      <c r="H69" s="33" t="n">
        <f aca="false">G69-G68</f>
        <v>2.17</v>
      </c>
      <c r="I69" s="33" t="n">
        <v>63</v>
      </c>
      <c r="J69" s="33" t="n">
        <f aca="false">I68-I69</f>
        <v>-39</v>
      </c>
      <c r="K69" s="1" t="s">
        <v>16</v>
      </c>
      <c r="L69" s="1" t="n">
        <f aca="false">STDEV($C$61:$C$91)</f>
        <v>3479.33064320297</v>
      </c>
      <c r="M69" s="1" t="n">
        <f aca="false">STDEV($E$61:$E$91)</f>
        <v>146.704325052969</v>
      </c>
      <c r="N69" s="1" t="n">
        <f aca="false">STDEV($G$61:$G$91)</f>
        <v>2.50448101635655</v>
      </c>
      <c r="O69" s="1" t="n">
        <f aca="false">STDEV($I$61:$I$91)</f>
        <v>36.3624230002844</v>
      </c>
    </row>
    <row r="70" customFormat="false" ht="13.8" hidden="false" customHeight="false" outlineLevel="0" collapsed="false">
      <c r="A70" s="33" t="n">
        <v>69</v>
      </c>
      <c r="B70" s="32" t="n">
        <v>44265</v>
      </c>
      <c r="C70" s="33" t="n">
        <v>6031</v>
      </c>
      <c r="D70" s="33" t="n">
        <f aca="false">C69-C70</f>
        <v>-1097</v>
      </c>
      <c r="E70" s="33" t="n">
        <v>268</v>
      </c>
      <c r="F70" s="33" t="n">
        <f aca="false">E69-E70</f>
        <v>-36.6</v>
      </c>
      <c r="G70" s="33" t="n">
        <v>4.34</v>
      </c>
      <c r="H70" s="33" t="n">
        <f aca="false">G70-G69</f>
        <v>0.79</v>
      </c>
      <c r="I70" s="33" t="n">
        <v>70</v>
      </c>
      <c r="J70" s="33" t="n">
        <f aca="false">I69-I70</f>
        <v>-7</v>
      </c>
      <c r="K70" s="1" t="s">
        <v>20</v>
      </c>
      <c r="L70" s="1" t="n">
        <f aca="false">KURT($C$61:$C$91)</f>
        <v>-0.000719848023154057</v>
      </c>
      <c r="M70" s="1" t="n">
        <f aca="false">KURT($E$61:$E$91)</f>
        <v>0.11914729909309</v>
      </c>
      <c r="N70" s="1" t="n">
        <f aca="false">KURT($G$61:$G$91)</f>
        <v>-0.00162326185171668</v>
      </c>
      <c r="O70" s="1" t="n">
        <f aca="false">KURT($I$61:$I$91)</f>
        <v>0.3117075054733</v>
      </c>
    </row>
    <row r="71" customFormat="false" ht="13.8" hidden="false" customHeight="false" outlineLevel="0" collapsed="false">
      <c r="A71" s="33" t="n">
        <v>70</v>
      </c>
      <c r="B71" s="32" t="n">
        <v>44266</v>
      </c>
      <c r="C71" s="33" t="n">
        <v>7914</v>
      </c>
      <c r="D71" s="33" t="n">
        <f aca="false">C70-C71</f>
        <v>-1883</v>
      </c>
      <c r="E71" s="33" t="n">
        <v>348.1</v>
      </c>
      <c r="F71" s="33" t="n">
        <f aca="false">E70-E71</f>
        <v>-80.1</v>
      </c>
      <c r="G71" s="33" t="n">
        <v>5.7</v>
      </c>
      <c r="H71" s="33" t="n">
        <f aca="false">G71-G70</f>
        <v>1.36</v>
      </c>
      <c r="I71" s="33" t="n">
        <v>89</v>
      </c>
      <c r="J71" s="33" t="n">
        <f aca="false">I70-I71</f>
        <v>-19</v>
      </c>
      <c r="K71" s="1" t="s">
        <v>22</v>
      </c>
      <c r="L71" s="1" t="n">
        <f aca="false">SKEW($C$61:$C$91)</f>
        <v>0.2535688691478</v>
      </c>
      <c r="M71" s="1" t="n">
        <f aca="false">SKEW($E$61:$E$91)</f>
        <v>0.334943645628117</v>
      </c>
      <c r="N71" s="1" t="n">
        <f aca="false">SKEW($G$61:$G$91)</f>
        <v>0.253635019705067</v>
      </c>
      <c r="O71" s="1" t="n">
        <f aca="false">SKEW($I$61:$I$91)</f>
        <v>0.477001904608164</v>
      </c>
    </row>
    <row r="72" customFormat="false" ht="13.8" hidden="false" customHeight="false" outlineLevel="0" collapsed="false">
      <c r="A72" s="33" t="n">
        <v>71</v>
      </c>
      <c r="B72" s="32" t="n">
        <v>44267</v>
      </c>
      <c r="C72" s="33" t="n">
        <v>7571</v>
      </c>
      <c r="D72" s="33" t="n">
        <f aca="false">C71-C72</f>
        <v>343</v>
      </c>
      <c r="E72" s="33" t="n">
        <v>335.1</v>
      </c>
      <c r="F72" s="33" t="n">
        <f aca="false">E71-E72</f>
        <v>13</v>
      </c>
      <c r="G72" s="33" t="n">
        <v>5.45</v>
      </c>
      <c r="H72" s="33" t="n">
        <f aca="false">G72-G71</f>
        <v>-0.25</v>
      </c>
      <c r="I72" s="33" t="n">
        <v>87</v>
      </c>
      <c r="J72" s="33" t="n">
        <f aca="false">I71-I72</f>
        <v>2</v>
      </c>
      <c r="K72" s="1" t="s">
        <v>24</v>
      </c>
      <c r="L72" s="1" t="n">
        <f aca="false">MAX($C$61:$C$91)-MIN($C$61:$C$91)</f>
        <v>13418</v>
      </c>
      <c r="M72" s="1" t="n">
        <f aca="false">MAX($E$61:$E$91)-MIN($E$61:$E$91)</f>
        <v>586.8</v>
      </c>
      <c r="N72" s="1" t="n">
        <f aca="false">MAX($G$61:$G$91)-MIN($G$61:$G$91)</f>
        <v>9.66</v>
      </c>
      <c r="O72" s="1" t="n">
        <f aca="false">MAX($I$61:$I$91)-MIN($I$61:$I$91)</f>
        <v>152</v>
      </c>
    </row>
    <row r="73" customFormat="false" ht="13.8" hidden="false" customHeight="false" outlineLevel="0" collapsed="false">
      <c r="A73" s="33" t="n">
        <v>72</v>
      </c>
      <c r="B73" s="32" t="n">
        <v>44268</v>
      </c>
      <c r="C73" s="33" t="n">
        <v>1040</v>
      </c>
      <c r="D73" s="33" t="n">
        <f aca="false">C72-C73</f>
        <v>6531</v>
      </c>
      <c r="E73" s="33" t="n">
        <v>48.7</v>
      </c>
      <c r="F73" s="33" t="n">
        <f aca="false">E72-E73</f>
        <v>286.4</v>
      </c>
      <c r="G73" s="33" t="n">
        <v>0.75</v>
      </c>
      <c r="H73" s="33" t="n">
        <f aca="false">G73-G72</f>
        <v>-4.7</v>
      </c>
      <c r="I73" s="33" t="n">
        <v>13</v>
      </c>
      <c r="J73" s="33" t="n">
        <f aca="false">I72-I73</f>
        <v>74</v>
      </c>
      <c r="K73" s="1" t="s">
        <v>26</v>
      </c>
      <c r="L73" s="1" t="n">
        <f aca="false">MIN($C$61:$C$91)</f>
        <v>1040</v>
      </c>
      <c r="M73" s="1" t="n">
        <f aca="false">MIN($E$61:$E$91)</f>
        <v>48.7</v>
      </c>
      <c r="N73" s="1" t="n">
        <f aca="false">MIN($G$61:$G$91)</f>
        <v>0.75</v>
      </c>
      <c r="O73" s="1" t="n">
        <f aca="false">MIN($I$61:$I$91)</f>
        <v>13</v>
      </c>
    </row>
    <row r="74" customFormat="false" ht="13.8" hidden="false" customHeight="false" outlineLevel="0" collapsed="false">
      <c r="A74" s="33" t="n">
        <v>73</v>
      </c>
      <c r="B74" s="32" t="n">
        <v>44269</v>
      </c>
      <c r="C74" s="33" t="n">
        <v>5011</v>
      </c>
      <c r="D74" s="33" t="n">
        <f aca="false">C73-C74</f>
        <v>-3971</v>
      </c>
      <c r="E74" s="33" t="n">
        <v>212.4</v>
      </c>
      <c r="F74" s="33" t="n">
        <f aca="false">E73-E74</f>
        <v>-163.7</v>
      </c>
      <c r="G74" s="33" t="n">
        <v>3.61</v>
      </c>
      <c r="H74" s="33" t="n">
        <f aca="false">G74-G73</f>
        <v>2.86</v>
      </c>
      <c r="I74" s="33" t="n">
        <v>52</v>
      </c>
      <c r="J74" s="33" t="n">
        <f aca="false">I73-I74</f>
        <v>-39</v>
      </c>
      <c r="K74" s="1" t="s">
        <v>28</v>
      </c>
      <c r="L74" s="1" t="n">
        <f aca="false">MAX($C$61:$C$91)</f>
        <v>14458</v>
      </c>
      <c r="M74" s="1" t="n">
        <f aca="false">MAX($E$61:$E$91)</f>
        <v>635.5</v>
      </c>
      <c r="N74" s="1" t="n">
        <f aca="false">MAX($G$61:$G$91)</f>
        <v>10.41</v>
      </c>
      <c r="O74" s="1" t="n">
        <f aca="false">MAX($I$61:$I$91)</f>
        <v>165</v>
      </c>
    </row>
    <row r="75" customFormat="false" ht="13.8" hidden="false" customHeight="false" outlineLevel="0" collapsed="false">
      <c r="A75" s="33" t="n">
        <v>74</v>
      </c>
      <c r="B75" s="32" t="n">
        <v>44270</v>
      </c>
      <c r="C75" s="33" t="n">
        <v>5766</v>
      </c>
      <c r="D75" s="33" t="n">
        <f aca="false">C74-C75</f>
        <v>-755</v>
      </c>
      <c r="E75" s="33" t="n">
        <v>237.7</v>
      </c>
      <c r="F75" s="33" t="n">
        <f aca="false">E74-E75</f>
        <v>-25.3</v>
      </c>
      <c r="G75" s="33" t="n">
        <v>4.15</v>
      </c>
      <c r="H75" s="33" t="n">
        <f aca="false">G75-G74</f>
        <v>0.540000000000001</v>
      </c>
      <c r="I75" s="33" t="n">
        <v>56</v>
      </c>
      <c r="J75" s="33" t="n">
        <f aca="false">I74-I75</f>
        <v>-4</v>
      </c>
      <c r="K75" s="1" t="s">
        <v>30</v>
      </c>
      <c r="L75" s="1" t="n">
        <f aca="false">SUM($C$61:$C$91)</f>
        <v>229726</v>
      </c>
      <c r="M75" s="1" t="n">
        <f aca="false">SUM($E$61:$E$91)</f>
        <v>9833.1</v>
      </c>
      <c r="N75" s="1" t="n">
        <f aca="false">SUM($G$61:$G$91)</f>
        <v>165.41</v>
      </c>
      <c r="O75" s="1" t="n">
        <f aca="false">SUM($I$61:$I$91)</f>
        <v>2428</v>
      </c>
    </row>
    <row r="76" customFormat="false" ht="13.8" hidden="false" customHeight="false" outlineLevel="0" collapsed="false">
      <c r="A76" s="33" t="n">
        <v>75</v>
      </c>
      <c r="B76" s="32" t="n">
        <v>44271</v>
      </c>
      <c r="C76" s="33" t="n">
        <v>8480</v>
      </c>
      <c r="D76" s="33" t="n">
        <f aca="false">C75-C76</f>
        <v>-2714</v>
      </c>
      <c r="E76" s="33" t="n">
        <v>349.9</v>
      </c>
      <c r="F76" s="33" t="n">
        <f aca="false">E75-E76</f>
        <v>-112.2</v>
      </c>
      <c r="G76" s="33" t="n">
        <v>6.11</v>
      </c>
      <c r="H76" s="33" t="n">
        <f aca="false">G76-G75</f>
        <v>1.96</v>
      </c>
      <c r="I76" s="33" t="n">
        <v>82</v>
      </c>
      <c r="J76" s="33" t="n">
        <f aca="false">I75-I76</f>
        <v>-26</v>
      </c>
      <c r="K76" s="1" t="s">
        <v>32</v>
      </c>
      <c r="L76" s="1" t="n">
        <f aca="false">COUNT($C$61:$C$91)</f>
        <v>31</v>
      </c>
      <c r="M76" s="1" t="n">
        <f aca="false">COUNT($E$61:$E$91)</f>
        <v>31</v>
      </c>
      <c r="N76" s="1" t="n">
        <f aca="false">COUNT($G$61:$G$91)</f>
        <v>31</v>
      </c>
      <c r="O76" s="1" t="n">
        <f aca="false">COUNT($I$61:$I$91)</f>
        <v>31</v>
      </c>
    </row>
    <row r="77" customFormat="false" ht="13.8" hidden="false" customHeight="false" outlineLevel="0" collapsed="false">
      <c r="A77" s="33" t="n">
        <v>76</v>
      </c>
      <c r="B77" s="32" t="n">
        <v>44272</v>
      </c>
      <c r="C77" s="33" t="n">
        <v>6391</v>
      </c>
      <c r="D77" s="33" t="n">
        <f aca="false">C76-C77</f>
        <v>2089</v>
      </c>
      <c r="E77" s="33" t="n">
        <v>262.4</v>
      </c>
      <c r="F77" s="33" t="n">
        <f aca="false">E76-E77</f>
        <v>87.5</v>
      </c>
      <c r="G77" s="33" t="n">
        <v>4.6</v>
      </c>
      <c r="H77" s="33" t="n">
        <f aca="false">G77-G76</f>
        <v>-1.51</v>
      </c>
      <c r="I77" s="33" t="n">
        <v>61</v>
      </c>
      <c r="J77" s="33" t="n">
        <f aca="false">I76-I77</f>
        <v>21</v>
      </c>
    </row>
    <row r="78" customFormat="false" ht="13.8" hidden="false" customHeight="false" outlineLevel="0" collapsed="false">
      <c r="A78" s="33" t="n">
        <v>77</v>
      </c>
      <c r="B78" s="32" t="n">
        <v>44273</v>
      </c>
      <c r="C78" s="33" t="n">
        <v>6439</v>
      </c>
      <c r="D78" s="33" t="n">
        <f aca="false">C77-C78</f>
        <v>-48</v>
      </c>
      <c r="E78" s="33" t="n">
        <v>268.7</v>
      </c>
      <c r="F78" s="33" t="n">
        <f aca="false">E77-E78</f>
        <v>-6.30000000000001</v>
      </c>
      <c r="G78" s="33" t="n">
        <v>4.64</v>
      </c>
      <c r="H78" s="33" t="n">
        <f aca="false">G78-G77</f>
        <v>0.04</v>
      </c>
      <c r="I78" s="33" t="n">
        <v>64</v>
      </c>
      <c r="J78" s="33" t="n">
        <f aca="false">I77-I78</f>
        <v>-3</v>
      </c>
    </row>
    <row r="79" customFormat="false" ht="13.8" hidden="false" customHeight="false" outlineLevel="0" collapsed="false">
      <c r="A79" s="33" t="n">
        <v>78</v>
      </c>
      <c r="B79" s="32" t="n">
        <v>44274</v>
      </c>
      <c r="C79" s="33" t="n">
        <v>7181</v>
      </c>
      <c r="D79" s="33" t="n">
        <f aca="false">C78-C79</f>
        <v>-742</v>
      </c>
      <c r="E79" s="33" t="n">
        <v>296.2</v>
      </c>
      <c r="F79" s="33" t="n">
        <f aca="false">E78-E79</f>
        <v>-27.5</v>
      </c>
      <c r="G79" s="33" t="n">
        <v>5.17</v>
      </c>
      <c r="H79" s="33" t="n">
        <f aca="false">G79-G78</f>
        <v>0.53</v>
      </c>
      <c r="I79" s="33" t="n">
        <v>69</v>
      </c>
      <c r="J79" s="33" t="n">
        <f aca="false">I78-I79</f>
        <v>-5</v>
      </c>
    </row>
    <row r="80" customFormat="false" ht="13.8" hidden="false" customHeight="false" outlineLevel="0" collapsed="false">
      <c r="A80" s="33" t="n">
        <v>79</v>
      </c>
      <c r="B80" s="32" t="n">
        <v>44275</v>
      </c>
      <c r="C80" s="33" t="n">
        <v>8119</v>
      </c>
      <c r="D80" s="33" t="n">
        <f aca="false">C79-C80</f>
        <v>-938</v>
      </c>
      <c r="E80" s="33" t="n">
        <v>371.8</v>
      </c>
      <c r="F80" s="33" t="n">
        <f aca="false">E79-E80</f>
        <v>-75.6</v>
      </c>
      <c r="G80" s="33" t="n">
        <v>5.85</v>
      </c>
      <c r="H80" s="33" t="n">
        <f aca="false">G80-G79</f>
        <v>0.68</v>
      </c>
      <c r="I80" s="33" t="n">
        <v>99</v>
      </c>
      <c r="J80" s="33" t="n">
        <f aca="false">I79-I80</f>
        <v>-30</v>
      </c>
    </row>
    <row r="81" customFormat="false" ht="13.8" hidden="false" customHeight="false" outlineLevel="0" collapsed="false">
      <c r="A81" s="33" t="n">
        <v>80</v>
      </c>
      <c r="B81" s="32" t="n">
        <v>44276</v>
      </c>
      <c r="C81" s="33" t="n">
        <v>13000</v>
      </c>
      <c r="D81" s="33" t="n">
        <f aca="false">C80-C81</f>
        <v>-4881</v>
      </c>
      <c r="E81" s="33" t="n">
        <v>564.5</v>
      </c>
      <c r="F81" s="33" t="n">
        <f aca="false">E80-E81</f>
        <v>-192.7</v>
      </c>
      <c r="G81" s="33" t="n">
        <v>9.36</v>
      </c>
      <c r="H81" s="33" t="n">
        <f aca="false">G81-G80</f>
        <v>3.51</v>
      </c>
      <c r="I81" s="33" t="n">
        <v>143</v>
      </c>
      <c r="J81" s="33" t="n">
        <f aca="false">I80-I81</f>
        <v>-44</v>
      </c>
    </row>
    <row r="82" customFormat="false" ht="13.8" hidden="false" customHeight="false" outlineLevel="0" collapsed="false">
      <c r="A82" s="33" t="n">
        <v>81</v>
      </c>
      <c r="B82" s="32" t="n">
        <v>44277</v>
      </c>
      <c r="C82" s="33" t="n">
        <v>8294</v>
      </c>
      <c r="D82" s="33" t="n">
        <f aca="false">C81-C82</f>
        <v>4706</v>
      </c>
      <c r="E82" s="33" t="n">
        <v>349.2</v>
      </c>
      <c r="F82" s="33" t="n">
        <f aca="false">E81-E82</f>
        <v>215.3</v>
      </c>
      <c r="G82" s="33" t="n">
        <v>5.97</v>
      </c>
      <c r="H82" s="33" t="n">
        <f aca="false">G82-G81</f>
        <v>-3.39</v>
      </c>
      <c r="I82" s="33" t="n">
        <v>84</v>
      </c>
      <c r="J82" s="33" t="n">
        <f aca="false">I81-I82</f>
        <v>59</v>
      </c>
    </row>
    <row r="83" customFormat="false" ht="13.8" hidden="false" customHeight="false" outlineLevel="0" collapsed="false">
      <c r="A83" s="33" t="n">
        <v>82</v>
      </c>
      <c r="B83" s="32" t="n">
        <v>44278</v>
      </c>
      <c r="C83" s="33" t="n">
        <v>8611</v>
      </c>
      <c r="D83" s="33" t="n">
        <f aca="false">C82-C83</f>
        <v>-317</v>
      </c>
      <c r="E83" s="33" t="n">
        <v>350.9</v>
      </c>
      <c r="F83" s="33" t="n">
        <f aca="false">E82-E83</f>
        <v>-1.69999999999999</v>
      </c>
      <c r="G83" s="33" t="n">
        <v>6.2</v>
      </c>
      <c r="H83" s="33" t="n">
        <f aca="false">G83-G82</f>
        <v>0.23</v>
      </c>
      <c r="I83" s="33" t="n">
        <v>80</v>
      </c>
      <c r="J83" s="33" t="n">
        <f aca="false">I82-I83</f>
        <v>4</v>
      </c>
    </row>
    <row r="84" customFormat="false" ht="13.8" hidden="false" customHeight="false" outlineLevel="0" collapsed="false">
      <c r="A84" s="33" t="n">
        <v>83</v>
      </c>
      <c r="B84" s="32" t="n">
        <v>44279</v>
      </c>
      <c r="C84" s="33" t="n">
        <v>7188</v>
      </c>
      <c r="D84" s="33" t="n">
        <f aca="false">C83-C84</f>
        <v>1423</v>
      </c>
      <c r="E84" s="33" t="n">
        <v>297.2</v>
      </c>
      <c r="F84" s="33" t="n">
        <f aca="false">E83-E84</f>
        <v>53.7</v>
      </c>
      <c r="G84" s="33" t="n">
        <v>5.18</v>
      </c>
      <c r="H84" s="33" t="n">
        <f aca="false">G84-G83</f>
        <v>-1.02</v>
      </c>
      <c r="I84" s="33" t="n">
        <v>70</v>
      </c>
      <c r="J84" s="33" t="n">
        <f aca="false">I83-I84</f>
        <v>10</v>
      </c>
    </row>
    <row r="85" customFormat="false" ht="13.8" hidden="false" customHeight="false" outlineLevel="0" collapsed="false">
      <c r="A85" s="33" t="n">
        <v>84</v>
      </c>
      <c r="B85" s="32" t="n">
        <v>44280</v>
      </c>
      <c r="C85" s="33" t="n">
        <v>8661</v>
      </c>
      <c r="D85" s="33" t="n">
        <f aca="false">C84-C85</f>
        <v>-1473</v>
      </c>
      <c r="E85" s="33" t="n">
        <v>356.3</v>
      </c>
      <c r="F85" s="33" t="n">
        <f aca="false">E84-E85</f>
        <v>-59.1</v>
      </c>
      <c r="G85" s="33" t="n">
        <v>6.24</v>
      </c>
      <c r="H85" s="33" t="n">
        <f aca="false">G85-G84</f>
        <v>1.06</v>
      </c>
      <c r="I85" s="33" t="n">
        <v>82</v>
      </c>
      <c r="J85" s="33" t="n">
        <f aca="false">I84-I85</f>
        <v>-12</v>
      </c>
    </row>
    <row r="86" customFormat="false" ht="13.8" hidden="false" customHeight="false" outlineLevel="0" collapsed="false">
      <c r="A86" s="33" t="n">
        <v>85</v>
      </c>
      <c r="B86" s="32" t="n">
        <v>44281</v>
      </c>
      <c r="C86" s="33" t="n">
        <v>9743</v>
      </c>
      <c r="D86" s="33" t="n">
        <f aca="false">C85-C86</f>
        <v>-1082</v>
      </c>
      <c r="E86" s="33" t="n">
        <v>418.1</v>
      </c>
      <c r="F86" s="33" t="n">
        <f aca="false">E85-E86</f>
        <v>-61.8</v>
      </c>
      <c r="G86" s="33" t="n">
        <v>7.01</v>
      </c>
      <c r="H86" s="33" t="n">
        <f aca="false">G86-G85</f>
        <v>0.77</v>
      </c>
      <c r="I86" s="33" t="n">
        <v>104</v>
      </c>
      <c r="J86" s="33" t="n">
        <f aca="false">I85-I86</f>
        <v>-22</v>
      </c>
    </row>
    <row r="87" customFormat="false" ht="13.8" hidden="false" customHeight="false" outlineLevel="0" collapsed="false">
      <c r="A87" s="33" t="n">
        <v>86</v>
      </c>
      <c r="B87" s="32" t="n">
        <v>44282</v>
      </c>
      <c r="C87" s="33" t="n">
        <v>14458</v>
      </c>
      <c r="D87" s="33" t="n">
        <f aca="false">C86-C87</f>
        <v>-4715</v>
      </c>
      <c r="E87" s="33" t="n">
        <v>603.6</v>
      </c>
      <c r="F87" s="33" t="n">
        <f aca="false">E86-E87</f>
        <v>-185.5</v>
      </c>
      <c r="G87" s="33" t="n">
        <v>10.41</v>
      </c>
      <c r="H87" s="33" t="n">
        <f aca="false">G87-G86</f>
        <v>3.4</v>
      </c>
      <c r="I87" s="33" t="n">
        <v>145</v>
      </c>
      <c r="J87" s="33" t="n">
        <f aca="false">I86-I87</f>
        <v>-41</v>
      </c>
    </row>
    <row r="88" customFormat="false" ht="13.8" hidden="false" customHeight="false" outlineLevel="0" collapsed="false">
      <c r="A88" s="33" t="n">
        <v>87</v>
      </c>
      <c r="B88" s="32" t="n">
        <v>44283</v>
      </c>
      <c r="C88" s="33" t="n">
        <v>6009</v>
      </c>
      <c r="D88" s="33" t="n">
        <f aca="false">C87-C88</f>
        <v>8449</v>
      </c>
      <c r="E88" s="33" t="n">
        <v>266.4</v>
      </c>
      <c r="F88" s="33" t="n">
        <f aca="false">E87-E88</f>
        <v>337.2</v>
      </c>
      <c r="G88" s="33" t="n">
        <v>4.33</v>
      </c>
      <c r="H88" s="33" t="n">
        <f aca="false">G88-G87</f>
        <v>-6.08</v>
      </c>
      <c r="I88" s="33" t="n">
        <v>69</v>
      </c>
      <c r="J88" s="33" t="n">
        <f aca="false">I87-I88</f>
        <v>76</v>
      </c>
    </row>
    <row r="89" customFormat="false" ht="13.8" hidden="false" customHeight="false" outlineLevel="0" collapsed="false">
      <c r="A89" s="33" t="n">
        <v>88</v>
      </c>
      <c r="B89" s="32" t="n">
        <v>44284</v>
      </c>
      <c r="C89" s="33" t="n">
        <v>8122</v>
      </c>
      <c r="D89" s="33" t="n">
        <f aca="false">C88-C89</f>
        <v>-2113</v>
      </c>
      <c r="E89" s="33" t="n">
        <v>338.1</v>
      </c>
      <c r="F89" s="33" t="n">
        <f aca="false">E88-E89</f>
        <v>-71.7000000000001</v>
      </c>
      <c r="G89" s="33" t="n">
        <v>5.85</v>
      </c>
      <c r="H89" s="33" t="n">
        <f aca="false">G89-G88</f>
        <v>1.52</v>
      </c>
      <c r="I89" s="33" t="n">
        <v>81</v>
      </c>
      <c r="J89" s="33" t="n">
        <f aca="false">I88-I89</f>
        <v>-12</v>
      </c>
    </row>
    <row r="90" customFormat="false" ht="13.8" hidden="false" customHeight="false" outlineLevel="0" collapsed="false">
      <c r="A90" s="33" t="n">
        <v>89</v>
      </c>
      <c r="B90" s="32" t="n">
        <v>44285</v>
      </c>
      <c r="C90" s="33" t="n">
        <v>7308</v>
      </c>
      <c r="D90" s="33" t="n">
        <f aca="false">C89-C90</f>
        <v>814</v>
      </c>
      <c r="E90" s="33" t="n">
        <v>297.7</v>
      </c>
      <c r="F90" s="33" t="n">
        <f aca="false">E89-E90</f>
        <v>40.4</v>
      </c>
      <c r="G90" s="33" t="n">
        <v>5.26</v>
      </c>
      <c r="H90" s="33" t="n">
        <f aca="false">G90-G89</f>
        <v>-0.59</v>
      </c>
      <c r="I90" s="33" t="n">
        <v>68</v>
      </c>
      <c r="J90" s="33" t="n">
        <f aca="false">I89-I90</f>
        <v>13</v>
      </c>
    </row>
    <row r="91" customFormat="false" ht="13.8" hidden="false" customHeight="false" outlineLevel="0" collapsed="false">
      <c r="A91" s="33" t="n">
        <v>90</v>
      </c>
      <c r="B91" s="32" t="n">
        <v>44286</v>
      </c>
      <c r="C91" s="33" t="n">
        <v>12626</v>
      </c>
      <c r="D91" s="33" t="n">
        <f aca="false">C90-C91</f>
        <v>-5318</v>
      </c>
      <c r="E91" s="33" t="n">
        <v>519.5</v>
      </c>
      <c r="F91" s="33" t="n">
        <f aca="false">E90-E91</f>
        <v>-221.8</v>
      </c>
      <c r="G91" s="33" t="n">
        <v>9.09</v>
      </c>
      <c r="H91" s="33" t="n">
        <f aca="false">G91-G90</f>
        <v>3.83</v>
      </c>
      <c r="I91" s="33" t="n">
        <v>122</v>
      </c>
      <c r="J91" s="33" t="n">
        <f aca="false">I90-I91</f>
        <v>-54</v>
      </c>
    </row>
    <row r="92" customFormat="false" ht="13.8" hidden="false" customHeight="false" outlineLevel="0" collapsed="false">
      <c r="A92" s="33" t="n">
        <v>91</v>
      </c>
      <c r="B92" s="32" t="n">
        <v>44287</v>
      </c>
      <c r="C92" s="33" t="n">
        <v>6698</v>
      </c>
      <c r="D92" s="33" t="n">
        <f aca="false">C91-C92</f>
        <v>5928</v>
      </c>
      <c r="E92" s="33" t="n">
        <v>282.3</v>
      </c>
      <c r="F92" s="33" t="n">
        <f aca="false">E91-E92</f>
        <v>237.2</v>
      </c>
      <c r="G92" s="33" t="n">
        <v>4.82</v>
      </c>
      <c r="H92" s="33" t="n">
        <f aca="false">G92-G91</f>
        <v>-4.27</v>
      </c>
      <c r="I92" s="33" t="n">
        <v>69</v>
      </c>
      <c r="J92" s="33" t="n">
        <f aca="false">I91-I92</f>
        <v>53</v>
      </c>
      <c r="L92" s="1" t="s">
        <v>2</v>
      </c>
      <c r="M92" s="1" t="s">
        <v>179</v>
      </c>
      <c r="N92" s="1" t="s">
        <v>175</v>
      </c>
      <c r="O92" s="1" t="s">
        <v>177</v>
      </c>
    </row>
    <row r="93" customFormat="false" ht="13.8" hidden="false" customHeight="false" outlineLevel="0" collapsed="false">
      <c r="A93" s="33" t="n">
        <v>92</v>
      </c>
      <c r="B93" s="32" t="n">
        <v>44288</v>
      </c>
      <c r="C93" s="33" t="n">
        <v>8760</v>
      </c>
      <c r="D93" s="33" t="n">
        <f aca="false">C92-C93</f>
        <v>-2062</v>
      </c>
      <c r="E93" s="33" t="n">
        <v>375.9</v>
      </c>
      <c r="F93" s="33" t="n">
        <f aca="false">E92-E93</f>
        <v>-93.6</v>
      </c>
      <c r="G93" s="33" t="n">
        <v>6.31</v>
      </c>
      <c r="H93" s="33" t="n">
        <f aca="false">G93-G92</f>
        <v>1.49</v>
      </c>
      <c r="I93" s="33" t="n">
        <v>93</v>
      </c>
      <c r="J93" s="33" t="n">
        <f aca="false">I92-I93</f>
        <v>-24</v>
      </c>
      <c r="K93" s="1" t="s">
        <v>8</v>
      </c>
      <c r="L93" s="1" t="n">
        <f aca="false">AVERAGE($C$92:$C$121)</f>
        <v>10398.9</v>
      </c>
      <c r="M93" s="1" t="n">
        <f aca="false">AVERAGE($E$92:$E$121)</f>
        <v>441.303333333333</v>
      </c>
      <c r="N93" s="1" t="n">
        <f aca="false">AVERAGE($G$92:$G$121)</f>
        <v>7.48733333333333</v>
      </c>
      <c r="O93" s="1" t="n">
        <f aca="false">AVERAGE($I$92:$I$121)</f>
        <v>106.8</v>
      </c>
    </row>
    <row r="94" customFormat="false" ht="13.8" hidden="false" customHeight="false" outlineLevel="0" collapsed="false">
      <c r="A94" s="33" t="n">
        <v>93</v>
      </c>
      <c r="B94" s="32" t="n">
        <v>44289</v>
      </c>
      <c r="C94" s="33" t="n">
        <v>17839</v>
      </c>
      <c r="D94" s="33" t="n">
        <f aca="false">C93-C94</f>
        <v>-9079</v>
      </c>
      <c r="E94" s="33" t="n">
        <v>813.6</v>
      </c>
      <c r="F94" s="33" t="n">
        <f aca="false">E93-E94</f>
        <v>-437.7</v>
      </c>
      <c r="G94" s="33" t="n">
        <v>12.84</v>
      </c>
      <c r="H94" s="33" t="n">
        <f aca="false">G94-G93</f>
        <v>6.53</v>
      </c>
      <c r="I94" s="33" t="n">
        <v>218</v>
      </c>
      <c r="J94" s="33" t="n">
        <f aca="false">I93-I94</f>
        <v>-125</v>
      </c>
      <c r="K94" s="1" t="s">
        <v>10</v>
      </c>
      <c r="L94" s="1" t="n">
        <f aca="false">SQRT(VAR($C$92:$C$121)/COUNT($C$92:$C$121))</f>
        <v>921.343607013099</v>
      </c>
      <c r="M94" s="1" t="n">
        <f aca="false">SQRT(VAR($E$92:$E$121)/COUNT($E$92:$E$121))</f>
        <v>41.3804102920536</v>
      </c>
      <c r="N94" s="1" t="n">
        <f aca="false">SQRT(VAR($G$92:$G$121)/COUNT($G$92:$G$121))</f>
        <v>0.663114028323475</v>
      </c>
      <c r="O94" s="1" t="n">
        <f aca="false">SQRT(VAR($I$92:$I$121)/COUNT($I$92:$I$121))</f>
        <v>10.8079791724958</v>
      </c>
    </row>
    <row r="95" customFormat="false" ht="13.8" hidden="false" customHeight="false" outlineLevel="0" collapsed="false">
      <c r="A95" s="33" t="n">
        <v>94</v>
      </c>
      <c r="B95" s="32" t="n">
        <v>44290</v>
      </c>
      <c r="C95" s="33" t="n">
        <v>3799</v>
      </c>
      <c r="D95" s="33" t="n">
        <f aca="false">C94-C95</f>
        <v>14040</v>
      </c>
      <c r="E95" s="33" t="n">
        <v>170.6</v>
      </c>
      <c r="F95" s="33" t="n">
        <f aca="false">E94-E95</f>
        <v>643</v>
      </c>
      <c r="G95" s="33" t="n">
        <v>2.74</v>
      </c>
      <c r="H95" s="33" t="n">
        <f aca="false">G95-G94</f>
        <v>-10.1</v>
      </c>
      <c r="I95" s="33" t="n">
        <v>45</v>
      </c>
      <c r="J95" s="33" t="n">
        <f aca="false">I94-I95</f>
        <v>173</v>
      </c>
      <c r="K95" s="1" t="s">
        <v>14</v>
      </c>
      <c r="L95" s="1" t="e">
        <f aca="false">MODE($C$92:$C$121)</f>
        <v>#VALUE!</v>
      </c>
      <c r="M95" s="1" t="e">
        <f aca="false">MODE($E$92:$E$121)</f>
        <v>#VALUE!</v>
      </c>
      <c r="N95" s="1" t="n">
        <f aca="false">MODE($G$92:$G$121)</f>
        <v>6.82</v>
      </c>
      <c r="O95" s="1" t="n">
        <f aca="false">MODE($I$92:$I$121)</f>
        <v>72</v>
      </c>
    </row>
    <row r="96" customFormat="false" ht="13.8" hidden="false" customHeight="false" outlineLevel="0" collapsed="false">
      <c r="A96" s="33" t="n">
        <v>95</v>
      </c>
      <c r="B96" s="32" t="n">
        <v>44291</v>
      </c>
      <c r="C96" s="33" t="n">
        <v>10019</v>
      </c>
      <c r="D96" s="33" t="n">
        <f aca="false">C95-C96</f>
        <v>-6220</v>
      </c>
      <c r="E96" s="33" t="n">
        <v>418.3</v>
      </c>
      <c r="F96" s="33" t="n">
        <f aca="false">E95-E96</f>
        <v>-247.7</v>
      </c>
      <c r="G96" s="33" t="n">
        <v>7.21</v>
      </c>
      <c r="H96" s="33" t="n">
        <f aca="false">G96-G95</f>
        <v>4.47</v>
      </c>
      <c r="I96" s="33" t="n">
        <v>100</v>
      </c>
      <c r="J96" s="33" t="n">
        <f aca="false">I95-I96</f>
        <v>-55</v>
      </c>
      <c r="K96" s="1" t="s">
        <v>12</v>
      </c>
      <c r="L96" s="1" t="n">
        <f aca="false">MEDIAN($C$92:$C$121)</f>
        <v>8835</v>
      </c>
      <c r="M96" s="1" t="n">
        <f aca="false">MEDIAN($E$92:$E$121)</f>
        <v>374.55</v>
      </c>
      <c r="N96" s="1" t="n">
        <f aca="false">MEDIAN($G$92:$G$121)</f>
        <v>6.365</v>
      </c>
      <c r="O96" s="1" t="n">
        <f aca="false">MEDIAN($I$92:$I$121)</f>
        <v>86</v>
      </c>
    </row>
    <row r="97" customFormat="false" ht="13.8" hidden="false" customHeight="false" outlineLevel="0" collapsed="false">
      <c r="A97" s="33" t="n">
        <v>96</v>
      </c>
      <c r="B97" s="32" t="n">
        <v>44292</v>
      </c>
      <c r="C97" s="33" t="n">
        <v>8800</v>
      </c>
      <c r="D97" s="33" t="n">
        <f aca="false">C96-C97</f>
        <v>1219</v>
      </c>
      <c r="E97" s="33" t="n">
        <v>356.4</v>
      </c>
      <c r="F97" s="33" t="n">
        <f aca="false">E96-E97</f>
        <v>61.9</v>
      </c>
      <c r="G97" s="33" t="n">
        <v>6.34</v>
      </c>
      <c r="H97" s="33" t="n">
        <f aca="false">G97-G96</f>
        <v>-0.87</v>
      </c>
      <c r="I97" s="33" t="n">
        <v>80</v>
      </c>
      <c r="J97" s="33" t="n">
        <f aca="false">I96-I97</f>
        <v>20</v>
      </c>
      <c r="K97" s="1" t="s">
        <v>195</v>
      </c>
      <c r="L97" s="1" t="n">
        <f aca="false">QUARTILE($C$92:$C$121, 1)</f>
        <v>7892.75</v>
      </c>
      <c r="M97" s="1" t="n">
        <f aca="false">QUARTILE($E$92:$E$121, 1)</f>
        <v>321.375</v>
      </c>
      <c r="N97" s="1" t="n">
        <f aca="false">QUARTILE($G$92:$G$121, 1)</f>
        <v>5.685</v>
      </c>
      <c r="O97" s="1" t="n">
        <f aca="false">QUARTILE($I$92:$I$121, 1)</f>
        <v>73</v>
      </c>
    </row>
    <row r="98" customFormat="false" ht="13.8" hidden="false" customHeight="false" outlineLevel="0" collapsed="false">
      <c r="A98" s="33" t="n">
        <v>97</v>
      </c>
      <c r="B98" s="32" t="n">
        <v>44293</v>
      </c>
      <c r="C98" s="33" t="n">
        <v>9376</v>
      </c>
      <c r="D98" s="33" t="n">
        <f aca="false">C97-C98</f>
        <v>-576</v>
      </c>
      <c r="E98" s="33" t="n">
        <v>382.2</v>
      </c>
      <c r="F98" s="33" t="n">
        <f aca="false">E97-E98</f>
        <v>-25.8</v>
      </c>
      <c r="G98" s="33" t="n">
        <v>6.75</v>
      </c>
      <c r="H98" s="33" t="n">
        <f aca="false">G98-G97</f>
        <v>0.41</v>
      </c>
      <c r="I98" s="33" t="n">
        <v>72</v>
      </c>
      <c r="J98" s="33" t="n">
        <f aca="false">I97-I98</f>
        <v>8</v>
      </c>
      <c r="K98" s="1" t="s">
        <v>181</v>
      </c>
      <c r="L98" s="1" t="n">
        <f aca="false">QUARTILE($C$92:$C$121, 3)</f>
        <v>10565</v>
      </c>
      <c r="M98" s="1" t="n">
        <f aca="false">QUARTILE($E$92:$E$121, 3)</f>
        <v>444.625</v>
      </c>
      <c r="N98" s="1" t="n">
        <f aca="false">QUARTILE($G$92:$G$121, 3)</f>
        <v>7.6075</v>
      </c>
      <c r="O98" s="1" t="n">
        <f aca="false">QUARTILE($I$92:$I$121, 3)</f>
        <v>108.25</v>
      </c>
    </row>
    <row r="99" customFormat="false" ht="13.8" hidden="false" customHeight="false" outlineLevel="0" collapsed="false">
      <c r="A99" s="33" t="n">
        <v>98</v>
      </c>
      <c r="B99" s="32" t="n">
        <v>44294</v>
      </c>
      <c r="C99" s="33" t="n">
        <v>7910</v>
      </c>
      <c r="D99" s="33" t="n">
        <f aca="false">C98-C99</f>
        <v>1466</v>
      </c>
      <c r="E99" s="33" t="n">
        <v>320.1</v>
      </c>
      <c r="F99" s="33" t="n">
        <f aca="false">E98-E99</f>
        <v>62.1</v>
      </c>
      <c r="G99" s="33" t="n">
        <v>5.7</v>
      </c>
      <c r="H99" s="33" t="n">
        <f aca="false">G99-G98</f>
        <v>-1.05</v>
      </c>
      <c r="I99" s="33" t="n">
        <v>72</v>
      </c>
      <c r="J99" s="33" t="n">
        <f aca="false">I98-I99</f>
        <v>0</v>
      </c>
      <c r="K99" s="1" t="s">
        <v>182</v>
      </c>
      <c r="L99" s="1" t="n">
        <f aca="false">VAR($C$92:$C$121)</f>
        <v>25466221.2655172</v>
      </c>
      <c r="M99" s="1" t="n">
        <f aca="false">VAR($E$92:$E$121)</f>
        <v>51370.1506781609</v>
      </c>
      <c r="N99" s="1" t="n">
        <f aca="false">VAR($G$92:$G$121)</f>
        <v>13.1916064367816</v>
      </c>
      <c r="O99" s="1" t="n">
        <f aca="false">VAR($I$92:$I$121)</f>
        <v>3504.3724137931</v>
      </c>
    </row>
    <row r="100" customFormat="false" ht="13.8" hidden="false" customHeight="false" outlineLevel="0" collapsed="false">
      <c r="A100" s="33" t="n">
        <v>99</v>
      </c>
      <c r="B100" s="32" t="n">
        <v>44295</v>
      </c>
      <c r="C100" s="33" t="n">
        <v>7997</v>
      </c>
      <c r="D100" s="33" t="n">
        <f aca="false">C99-C100</f>
        <v>-87</v>
      </c>
      <c r="E100" s="33" t="n">
        <v>337.4</v>
      </c>
      <c r="F100" s="33" t="n">
        <f aca="false">E99-E100</f>
        <v>-17.3</v>
      </c>
      <c r="G100" s="33" t="n">
        <v>5.76</v>
      </c>
      <c r="H100" s="33" t="n">
        <f aca="false">G100-G99</f>
        <v>0.0599999999999996</v>
      </c>
      <c r="I100" s="33" t="n">
        <v>82</v>
      </c>
      <c r="J100" s="33" t="n">
        <f aca="false">I99-I100</f>
        <v>-10</v>
      </c>
      <c r="K100" s="1" t="s">
        <v>16</v>
      </c>
      <c r="L100" s="1" t="n">
        <f aca="false">STDEV($C$92:$C$121)</f>
        <v>5046.40676774249</v>
      </c>
      <c r="M100" s="1" t="n">
        <f aca="false">STDEV($E$92:$E$121)</f>
        <v>226.649841557767</v>
      </c>
      <c r="N100" s="1" t="n">
        <f aca="false">STDEV($G$92:$G$121)</f>
        <v>3.63202511510887</v>
      </c>
      <c r="O100" s="1" t="n">
        <f aca="false">STDEV($I$92:$I$121)</f>
        <v>59.1977399382198</v>
      </c>
    </row>
    <row r="101" customFormat="false" ht="13.8" hidden="false" customHeight="false" outlineLevel="0" collapsed="false">
      <c r="A101" s="33" t="n">
        <v>100</v>
      </c>
      <c r="B101" s="32" t="n">
        <v>44296</v>
      </c>
      <c r="C101" s="33" t="n">
        <v>21294</v>
      </c>
      <c r="D101" s="33" t="n">
        <f aca="false">C100-C101</f>
        <v>-13297</v>
      </c>
      <c r="E101" s="33" t="n">
        <v>925.2</v>
      </c>
      <c r="F101" s="33" t="n">
        <f aca="false">E100-E101</f>
        <v>-587.8</v>
      </c>
      <c r="G101" s="33" t="n">
        <v>15.33</v>
      </c>
      <c r="H101" s="33" t="n">
        <f aca="false">G101-G100</f>
        <v>9.57</v>
      </c>
      <c r="I101" s="33" t="n">
        <v>237</v>
      </c>
      <c r="J101" s="33" t="n">
        <f aca="false">I100-I101</f>
        <v>-155</v>
      </c>
      <c r="K101" s="1" t="s">
        <v>20</v>
      </c>
      <c r="L101" s="1" t="n">
        <f aca="false">KURT($C$92:$C$121)</f>
        <v>0.316697818503458</v>
      </c>
      <c r="M101" s="1" t="n">
        <f aca="false">KURT($E$92:$E$121)</f>
        <v>0.653379149152593</v>
      </c>
      <c r="N101" s="1" t="n">
        <f aca="false">KURT($G$92:$G$121)</f>
        <v>0.316308269716537</v>
      </c>
      <c r="O101" s="1" t="n">
        <f aca="false">KURT($I$92:$I$121)</f>
        <v>0.941667984654866</v>
      </c>
    </row>
    <row r="102" customFormat="false" ht="13.8" hidden="false" customHeight="false" outlineLevel="0" collapsed="false">
      <c r="A102" s="33" t="n">
        <v>101</v>
      </c>
      <c r="B102" s="32" t="n">
        <v>44297</v>
      </c>
      <c r="C102" s="33" t="n">
        <v>5572</v>
      </c>
      <c r="D102" s="33" t="n">
        <f aca="false">C101-C102</f>
        <v>15722</v>
      </c>
      <c r="E102" s="33" t="n">
        <v>232.6</v>
      </c>
      <c r="F102" s="33" t="n">
        <f aca="false">E101-E102</f>
        <v>692.6</v>
      </c>
      <c r="G102" s="33" t="n">
        <v>4.01</v>
      </c>
      <c r="H102" s="33" t="n">
        <f aca="false">G102-G101</f>
        <v>-11.32</v>
      </c>
      <c r="I102" s="33" t="n">
        <v>55</v>
      </c>
      <c r="J102" s="33" t="n">
        <f aca="false">I101-I102</f>
        <v>182</v>
      </c>
      <c r="K102" s="1" t="s">
        <v>22</v>
      </c>
      <c r="L102" s="1" t="n">
        <f aca="false">SKEW($C$92:$C$121)</f>
        <v>1.1225039130631</v>
      </c>
      <c r="M102" s="1" t="n">
        <f aca="false">SKEW($E$92:$E$121)</f>
        <v>1.27293205903242</v>
      </c>
      <c r="N102" s="1" t="n">
        <f aca="false">SKEW($G$92:$G$121)</f>
        <v>1.12214773342558</v>
      </c>
      <c r="O102" s="1" t="n">
        <f aca="false">SKEW($I$92:$I$121)</f>
        <v>1.41097936681845</v>
      </c>
    </row>
    <row r="103" customFormat="false" ht="13.8" hidden="false" customHeight="false" outlineLevel="0" collapsed="false">
      <c r="A103" s="33" t="n">
        <v>102</v>
      </c>
      <c r="B103" s="32" t="n">
        <v>44298</v>
      </c>
      <c r="C103" s="33" t="n">
        <v>12680</v>
      </c>
      <c r="D103" s="33" t="n">
        <f aca="false">C102-C103</f>
        <v>-7108</v>
      </c>
      <c r="E103" s="33" t="n">
        <v>515.8</v>
      </c>
      <c r="F103" s="33" t="n">
        <f aca="false">E102-E103</f>
        <v>-283.2</v>
      </c>
      <c r="G103" s="33" t="n">
        <v>9.13</v>
      </c>
      <c r="H103" s="33" t="n">
        <f aca="false">G103-G102</f>
        <v>5.12</v>
      </c>
      <c r="I103" s="33" t="n">
        <v>118</v>
      </c>
      <c r="J103" s="33" t="n">
        <f aca="false">I102-I103</f>
        <v>-63</v>
      </c>
      <c r="K103" s="1" t="s">
        <v>24</v>
      </c>
      <c r="L103" s="1" t="n">
        <f aca="false">MAX($C$92:$C$121)-MIN($C$92:$C$121)</f>
        <v>18113</v>
      </c>
      <c r="M103" s="1" t="n">
        <f aca="false">MAX($E$92:$E$121)-MIN($E$92:$E$121)</f>
        <v>840</v>
      </c>
      <c r="N103" s="1" t="n">
        <f aca="false">MAX($G$92:$G$121)-MIN($G$92:$G$121)</f>
        <v>13.04</v>
      </c>
      <c r="O103" s="1" t="n">
        <f aca="false">MAX($I$92:$I$121)-MIN($I$92:$I$121)</f>
        <v>213</v>
      </c>
    </row>
    <row r="104" customFormat="false" ht="13.8" hidden="false" customHeight="false" outlineLevel="0" collapsed="false">
      <c r="A104" s="33" t="n">
        <v>103</v>
      </c>
      <c r="B104" s="32" t="n">
        <v>44299</v>
      </c>
      <c r="C104" s="33" t="n">
        <v>9602</v>
      </c>
      <c r="D104" s="33" t="n">
        <f aca="false">C103-C104</f>
        <v>3078</v>
      </c>
      <c r="E104" s="33" t="n">
        <v>392</v>
      </c>
      <c r="F104" s="33" t="n">
        <f aca="false">E103-E104</f>
        <v>123.8</v>
      </c>
      <c r="G104" s="33" t="n">
        <v>6.91</v>
      </c>
      <c r="H104" s="33" t="n">
        <f aca="false">G104-G103</f>
        <v>-2.22</v>
      </c>
      <c r="I104" s="33" t="n">
        <v>90</v>
      </c>
      <c r="J104" s="33" t="n">
        <f aca="false">I103-I104</f>
        <v>28</v>
      </c>
      <c r="K104" s="1" t="s">
        <v>26</v>
      </c>
      <c r="L104" s="1" t="n">
        <f aca="false">MIN($C$92:$C$121)</f>
        <v>3181</v>
      </c>
      <c r="M104" s="1" t="n">
        <f aca="false">MIN($E$92:$E$121)</f>
        <v>132.5</v>
      </c>
      <c r="N104" s="1" t="n">
        <f aca="false">MIN($G$92:$G$121)</f>
        <v>2.29</v>
      </c>
      <c r="O104" s="1" t="n">
        <f aca="false">MIN($I$92:$I$121)</f>
        <v>31</v>
      </c>
    </row>
    <row r="105" customFormat="false" ht="13.8" hidden="false" customHeight="false" outlineLevel="0" collapsed="false">
      <c r="A105" s="33" t="n">
        <v>104</v>
      </c>
      <c r="B105" s="32" t="n">
        <v>44300</v>
      </c>
      <c r="C105" s="33" t="n">
        <v>7887</v>
      </c>
      <c r="D105" s="33" t="n">
        <f aca="false">C104-C105</f>
        <v>1715</v>
      </c>
      <c r="E105" s="33" t="n">
        <v>325.2</v>
      </c>
      <c r="F105" s="33" t="n">
        <f aca="false">E104-E105</f>
        <v>66.8</v>
      </c>
      <c r="G105" s="33" t="n">
        <v>5.68</v>
      </c>
      <c r="H105" s="33" t="n">
        <f aca="false">G105-G104</f>
        <v>-1.23</v>
      </c>
      <c r="I105" s="33" t="n">
        <v>76</v>
      </c>
      <c r="J105" s="33" t="n">
        <f aca="false">I104-I105</f>
        <v>14</v>
      </c>
      <c r="K105" s="1" t="s">
        <v>28</v>
      </c>
      <c r="L105" s="1" t="n">
        <f aca="false">MAX($C$92:$C$121)</f>
        <v>21294</v>
      </c>
      <c r="M105" s="1" t="n">
        <f aca="false">MAX($E$92:$E$121)</f>
        <v>972.5</v>
      </c>
      <c r="N105" s="1" t="n">
        <f aca="false">MAX($G$92:$G$121)</f>
        <v>15.33</v>
      </c>
      <c r="O105" s="1" t="n">
        <f aca="false">MAX($I$92:$I$121)</f>
        <v>244</v>
      </c>
    </row>
    <row r="106" customFormat="false" ht="13.8" hidden="false" customHeight="false" outlineLevel="0" collapsed="false">
      <c r="A106" s="33" t="n">
        <v>105</v>
      </c>
      <c r="B106" s="32" t="n">
        <v>44301</v>
      </c>
      <c r="C106" s="33" t="n">
        <v>8306</v>
      </c>
      <c r="D106" s="33" t="n">
        <f aca="false">C105-C106</f>
        <v>-419</v>
      </c>
      <c r="E106" s="33" t="n">
        <v>341.6</v>
      </c>
      <c r="F106" s="33" t="n">
        <f aca="false">E105-E106</f>
        <v>-16.4</v>
      </c>
      <c r="G106" s="33" t="n">
        <v>5.98</v>
      </c>
      <c r="H106" s="33" t="n">
        <f aca="false">G106-G105</f>
        <v>0.300000000000001</v>
      </c>
      <c r="I106" s="33" t="n">
        <v>80</v>
      </c>
      <c r="J106" s="33" t="n">
        <f aca="false">I105-I106</f>
        <v>-4</v>
      </c>
      <c r="K106" s="1" t="s">
        <v>30</v>
      </c>
      <c r="L106" s="1" t="n">
        <f aca="false">SUM($C$92:$C$121)</f>
        <v>311967</v>
      </c>
      <c r="M106" s="1" t="n">
        <f aca="false">SUM($E$92:$E$121)</f>
        <v>13239.1</v>
      </c>
      <c r="N106" s="1" t="n">
        <f aca="false">SUM($G$92:$G$121)</f>
        <v>224.62</v>
      </c>
      <c r="O106" s="1" t="n">
        <f aca="false">SUM($I$92:$I$121)</f>
        <v>3204</v>
      </c>
    </row>
    <row r="107" customFormat="false" ht="13.8" hidden="false" customHeight="false" outlineLevel="0" collapsed="false">
      <c r="A107" s="33" t="n">
        <v>106</v>
      </c>
      <c r="B107" s="32" t="n">
        <v>44302</v>
      </c>
      <c r="C107" s="33" t="n">
        <v>9438</v>
      </c>
      <c r="D107" s="33" t="n">
        <f aca="false">C106-C107</f>
        <v>-1132</v>
      </c>
      <c r="E107" s="33" t="n">
        <v>397.3</v>
      </c>
      <c r="F107" s="33" t="n">
        <f aca="false">E106-E107</f>
        <v>-55.7</v>
      </c>
      <c r="G107" s="33" t="n">
        <v>6.8</v>
      </c>
      <c r="H107" s="33" t="n">
        <f aca="false">G107-G106</f>
        <v>0.819999999999999</v>
      </c>
      <c r="I107" s="33" t="n">
        <v>97</v>
      </c>
      <c r="J107" s="33" t="n">
        <f aca="false">I106-I107</f>
        <v>-17</v>
      </c>
      <c r="K107" s="1" t="s">
        <v>32</v>
      </c>
      <c r="L107" s="1" t="n">
        <f aca="false">COUNT($C$92:$C$121)</f>
        <v>30</v>
      </c>
      <c r="M107" s="1" t="n">
        <f aca="false">COUNT($E$92:$E$121)</f>
        <v>30</v>
      </c>
      <c r="N107" s="1" t="n">
        <f aca="false">COUNT($G$92:$G$121)</f>
        <v>30</v>
      </c>
      <c r="O107" s="1" t="n">
        <f aca="false">COUNT($I$92:$I$121)</f>
        <v>30</v>
      </c>
    </row>
    <row r="108" customFormat="false" ht="13.8" hidden="false" customHeight="false" outlineLevel="0" collapsed="false">
      <c r="A108" s="33" t="n">
        <v>107</v>
      </c>
      <c r="B108" s="32" t="n">
        <v>44303</v>
      </c>
      <c r="C108" s="33" t="n">
        <v>20893</v>
      </c>
      <c r="D108" s="33" t="n">
        <f aca="false">C107-C108</f>
        <v>-11455</v>
      </c>
      <c r="E108" s="33" t="n">
        <v>972.5</v>
      </c>
      <c r="F108" s="33" t="n">
        <f aca="false">E107-E108</f>
        <v>-575.2</v>
      </c>
      <c r="G108" s="33" t="n">
        <v>15.04</v>
      </c>
      <c r="H108" s="33" t="n">
        <f aca="false">G108-G107</f>
        <v>8.24</v>
      </c>
      <c r="I108" s="33" t="n">
        <v>244</v>
      </c>
      <c r="J108" s="33" t="n">
        <f aca="false">I107-I108</f>
        <v>-147</v>
      </c>
    </row>
    <row r="109" customFormat="false" ht="13.8" hidden="false" customHeight="false" outlineLevel="0" collapsed="false">
      <c r="A109" s="33" t="n">
        <v>108</v>
      </c>
      <c r="B109" s="32" t="n">
        <v>44304</v>
      </c>
      <c r="C109" s="33" t="n">
        <v>3181</v>
      </c>
      <c r="D109" s="33" t="n">
        <f aca="false">C108-C109</f>
        <v>17712</v>
      </c>
      <c r="E109" s="33" t="n">
        <v>132.5</v>
      </c>
      <c r="F109" s="33" t="n">
        <f aca="false">E108-E109</f>
        <v>840</v>
      </c>
      <c r="G109" s="33" t="n">
        <v>2.29</v>
      </c>
      <c r="H109" s="33" t="n">
        <f aca="false">G109-G108</f>
        <v>-12.75</v>
      </c>
      <c r="I109" s="33" t="n">
        <v>31</v>
      </c>
      <c r="J109" s="33" t="n">
        <f aca="false">I108-I109</f>
        <v>213</v>
      </c>
    </row>
    <row r="110" customFormat="false" ht="13.8" hidden="false" customHeight="false" outlineLevel="0" collapsed="false">
      <c r="A110" s="33" t="n">
        <v>109</v>
      </c>
      <c r="B110" s="32" t="n">
        <v>44305</v>
      </c>
      <c r="C110" s="33" t="n">
        <v>8568</v>
      </c>
      <c r="D110" s="33" t="n">
        <f aca="false">C109-C110</f>
        <v>-5387</v>
      </c>
      <c r="E110" s="33" t="n">
        <v>350.4</v>
      </c>
      <c r="F110" s="33" t="n">
        <f aca="false">E109-E110</f>
        <v>-217.9</v>
      </c>
      <c r="G110" s="33" t="n">
        <v>6.17</v>
      </c>
      <c r="H110" s="33" t="n">
        <f aca="false">G110-G109</f>
        <v>3.88</v>
      </c>
      <c r="I110" s="33" t="n">
        <v>81</v>
      </c>
      <c r="J110" s="33" t="n">
        <f aca="false">I109-I110</f>
        <v>-50</v>
      </c>
    </row>
    <row r="111" customFormat="false" ht="13.8" hidden="false" customHeight="false" outlineLevel="0" collapsed="false">
      <c r="A111" s="33" t="n">
        <v>110</v>
      </c>
      <c r="B111" s="32" t="n">
        <v>44306</v>
      </c>
      <c r="C111" s="33" t="n">
        <v>8870</v>
      </c>
      <c r="D111" s="33" t="n">
        <f aca="false">C110-C111</f>
        <v>-302</v>
      </c>
      <c r="E111" s="33" t="n">
        <v>373.2</v>
      </c>
      <c r="F111" s="33" t="n">
        <f aca="false">E110-E111</f>
        <v>-22.8</v>
      </c>
      <c r="G111" s="33" t="n">
        <v>6.39</v>
      </c>
      <c r="H111" s="33" t="n">
        <f aca="false">G111-G110</f>
        <v>0.22</v>
      </c>
      <c r="I111" s="33" t="n">
        <v>91</v>
      </c>
      <c r="J111" s="33" t="n">
        <f aca="false">I110-I111</f>
        <v>-10</v>
      </c>
    </row>
    <row r="112" customFormat="false" ht="13.8" hidden="false" customHeight="false" outlineLevel="0" collapsed="false">
      <c r="A112" s="33" t="n">
        <v>111</v>
      </c>
      <c r="B112" s="32" t="n">
        <v>44307</v>
      </c>
      <c r="C112" s="33" t="n">
        <v>7527</v>
      </c>
      <c r="D112" s="33" t="n">
        <f aca="false">C111-C112</f>
        <v>1343</v>
      </c>
      <c r="E112" s="33" t="n">
        <v>307.2</v>
      </c>
      <c r="F112" s="33" t="n">
        <f aca="false">E111-E112</f>
        <v>66</v>
      </c>
      <c r="G112" s="33" t="n">
        <v>5.42</v>
      </c>
      <c r="H112" s="33" t="n">
        <f aca="false">G112-G111</f>
        <v>-0.97</v>
      </c>
      <c r="I112" s="33" t="n">
        <v>71</v>
      </c>
      <c r="J112" s="33" t="n">
        <f aca="false">I111-I112</f>
        <v>20</v>
      </c>
    </row>
    <row r="113" customFormat="false" ht="13.8" hidden="false" customHeight="false" outlineLevel="0" collapsed="false">
      <c r="A113" s="33" t="n">
        <v>112</v>
      </c>
      <c r="B113" s="32" t="n">
        <v>44308</v>
      </c>
      <c r="C113" s="33" t="n">
        <v>7960</v>
      </c>
      <c r="D113" s="33" t="n">
        <f aca="false">C112-C113</f>
        <v>-433</v>
      </c>
      <c r="E113" s="33" t="n">
        <v>329.6</v>
      </c>
      <c r="F113" s="33" t="n">
        <f aca="false">E112-E113</f>
        <v>-22.4</v>
      </c>
      <c r="G113" s="33" t="n">
        <v>5.73</v>
      </c>
      <c r="H113" s="33" t="n">
        <f aca="false">G113-G112</f>
        <v>0.310000000000001</v>
      </c>
      <c r="I113" s="33" t="n">
        <v>78</v>
      </c>
      <c r="J113" s="33" t="n">
        <f aca="false">I112-I113</f>
        <v>-7</v>
      </c>
    </row>
    <row r="114" customFormat="false" ht="13.8" hidden="false" customHeight="false" outlineLevel="0" collapsed="false">
      <c r="A114" s="33" t="n">
        <v>113</v>
      </c>
      <c r="B114" s="32" t="n">
        <v>44309</v>
      </c>
      <c r="C114" s="33" t="n">
        <v>9477</v>
      </c>
      <c r="D114" s="33" t="n">
        <f aca="false">C113-C114</f>
        <v>-1517</v>
      </c>
      <c r="E114" s="33" t="n">
        <v>404.7</v>
      </c>
      <c r="F114" s="33" t="n">
        <f aca="false">E113-E114</f>
        <v>-75.1</v>
      </c>
      <c r="G114" s="33" t="n">
        <v>6.82</v>
      </c>
      <c r="H114" s="33" t="n">
        <f aca="false">G114-G113</f>
        <v>1.09</v>
      </c>
      <c r="I114" s="33" t="n">
        <v>100</v>
      </c>
      <c r="J114" s="33" t="n">
        <f aca="false">I113-I114</f>
        <v>-22</v>
      </c>
    </row>
    <row r="115" customFormat="false" ht="13.8" hidden="false" customHeight="false" outlineLevel="0" collapsed="false">
      <c r="A115" s="33" t="n">
        <v>114</v>
      </c>
      <c r="B115" s="32" t="n">
        <v>44310</v>
      </c>
      <c r="C115" s="33" t="n">
        <v>21270</v>
      </c>
      <c r="D115" s="33" t="n">
        <f aca="false">C114-C115</f>
        <v>-11793</v>
      </c>
      <c r="E115" s="33" t="n">
        <v>934.5</v>
      </c>
      <c r="F115" s="33" t="n">
        <f aca="false">E114-E115</f>
        <v>-529.8</v>
      </c>
      <c r="G115" s="33" t="n">
        <v>15.31</v>
      </c>
      <c r="H115" s="33" t="n">
        <f aca="false">G115-G114</f>
        <v>8.49</v>
      </c>
      <c r="I115" s="33" t="n">
        <v>242</v>
      </c>
      <c r="J115" s="33" t="n">
        <f aca="false">I114-I115</f>
        <v>-142</v>
      </c>
    </row>
    <row r="116" customFormat="false" ht="13.8" hidden="false" customHeight="false" outlineLevel="0" collapsed="false">
      <c r="A116" s="33" t="n">
        <v>115</v>
      </c>
      <c r="B116" s="32" t="n">
        <v>44311</v>
      </c>
      <c r="C116" s="33" t="n">
        <v>18520</v>
      </c>
      <c r="D116" s="33" t="n">
        <f aca="false">C115-C116</f>
        <v>2750</v>
      </c>
      <c r="E116" s="33" t="n">
        <v>759.1</v>
      </c>
      <c r="F116" s="33" t="n">
        <f aca="false">E115-E116</f>
        <v>175.4</v>
      </c>
      <c r="G116" s="33" t="n">
        <v>13.33</v>
      </c>
      <c r="H116" s="33" t="n">
        <f aca="false">G116-G115</f>
        <v>-1.98</v>
      </c>
      <c r="I116" s="33" t="n">
        <v>176</v>
      </c>
      <c r="J116" s="33" t="n">
        <f aca="false">I115-I116</f>
        <v>66</v>
      </c>
    </row>
    <row r="117" customFormat="false" ht="13.8" hidden="false" customHeight="false" outlineLevel="0" collapsed="false">
      <c r="A117" s="33" t="n">
        <v>116</v>
      </c>
      <c r="B117" s="32" t="n">
        <v>44312</v>
      </c>
      <c r="C117" s="33" t="n">
        <v>10747</v>
      </c>
      <c r="D117" s="33" t="n">
        <f aca="false">C116-C117</f>
        <v>7773</v>
      </c>
      <c r="E117" s="33" t="n">
        <v>453.4</v>
      </c>
      <c r="F117" s="33" t="n">
        <f aca="false">E116-E117</f>
        <v>305.7</v>
      </c>
      <c r="G117" s="33" t="n">
        <v>7.74</v>
      </c>
      <c r="H117" s="33" t="n">
        <f aca="false">G117-G116</f>
        <v>-5.59</v>
      </c>
      <c r="I117" s="33" t="n">
        <v>111</v>
      </c>
      <c r="J117" s="33" t="n">
        <f aca="false">I116-I117</f>
        <v>65</v>
      </c>
    </row>
    <row r="118" customFormat="false" ht="13.8" hidden="false" customHeight="false" outlineLevel="0" collapsed="false">
      <c r="A118" s="33" t="n">
        <v>117</v>
      </c>
      <c r="B118" s="32" t="n">
        <v>44313</v>
      </c>
      <c r="C118" s="33" t="n">
        <v>6167</v>
      </c>
      <c r="D118" s="33" t="n">
        <f aca="false">C117-C118</f>
        <v>4580</v>
      </c>
      <c r="E118" s="33" t="n">
        <v>251.2</v>
      </c>
      <c r="F118" s="33" t="n">
        <f aca="false">E117-E118</f>
        <v>202.2</v>
      </c>
      <c r="G118" s="33" t="n">
        <v>4.44</v>
      </c>
      <c r="H118" s="33" t="n">
        <f aca="false">G118-G117</f>
        <v>-3.3</v>
      </c>
      <c r="I118" s="33" t="n">
        <v>57</v>
      </c>
      <c r="J118" s="33" t="n">
        <f aca="false">I117-I118</f>
        <v>54</v>
      </c>
    </row>
    <row r="119" customFormat="false" ht="13.8" hidden="false" customHeight="false" outlineLevel="0" collapsed="false">
      <c r="A119" s="33" t="n">
        <v>118</v>
      </c>
      <c r="B119" s="32" t="n">
        <v>44314</v>
      </c>
      <c r="C119" s="33" t="n">
        <v>9467</v>
      </c>
      <c r="D119" s="33" t="n">
        <f aca="false">C118-C119</f>
        <v>-3300</v>
      </c>
      <c r="E119" s="33" t="n">
        <v>392.7</v>
      </c>
      <c r="F119" s="33" t="n">
        <f aca="false">E118-E119</f>
        <v>-141.5</v>
      </c>
      <c r="G119" s="33" t="n">
        <v>6.82</v>
      </c>
      <c r="H119" s="33" t="n">
        <f aca="false">G119-G118</f>
        <v>2.38</v>
      </c>
      <c r="I119" s="33" t="n">
        <v>93</v>
      </c>
      <c r="J119" s="33" t="n">
        <f aca="false">I118-I119</f>
        <v>-36</v>
      </c>
    </row>
    <row r="120" customFormat="false" ht="13.8" hidden="false" customHeight="false" outlineLevel="0" collapsed="false">
      <c r="A120" s="33" t="n">
        <v>119</v>
      </c>
      <c r="B120" s="32" t="n">
        <v>44315</v>
      </c>
      <c r="C120" s="33" t="n">
        <v>17095</v>
      </c>
      <c r="D120" s="33" t="n">
        <f aca="false">C119-C120</f>
        <v>-7628</v>
      </c>
      <c r="E120" s="33" t="n">
        <v>707.3</v>
      </c>
      <c r="F120" s="33" t="n">
        <f aca="false">E119-E120</f>
        <v>-314.6</v>
      </c>
      <c r="G120" s="33" t="n">
        <v>12.31</v>
      </c>
      <c r="H120" s="33" t="n">
        <f aca="false">G120-G119</f>
        <v>5.49</v>
      </c>
      <c r="I120" s="33" t="n">
        <v>169</v>
      </c>
      <c r="J120" s="33" t="n">
        <f aca="false">I119-I120</f>
        <v>-76</v>
      </c>
    </row>
    <row r="121" customFormat="false" ht="13.8" hidden="false" customHeight="false" outlineLevel="0" collapsed="false">
      <c r="A121" s="33" t="n">
        <v>120</v>
      </c>
      <c r="B121" s="32" t="n">
        <v>44316</v>
      </c>
      <c r="C121" s="33" t="n">
        <v>6248</v>
      </c>
      <c r="D121" s="33" t="n">
        <f aca="false">C120-C121</f>
        <v>10847</v>
      </c>
      <c r="E121" s="33" t="n">
        <v>284.3</v>
      </c>
      <c r="F121" s="33" t="n">
        <f aca="false">E120-E121</f>
        <v>423</v>
      </c>
      <c r="G121" s="33" t="n">
        <v>4.5</v>
      </c>
      <c r="H121" s="33" t="n">
        <f aca="false">G121-G120</f>
        <v>-7.81</v>
      </c>
      <c r="I121" s="33" t="n">
        <v>76</v>
      </c>
      <c r="J121" s="33" t="n">
        <f aca="false">I120-I121</f>
        <v>93</v>
      </c>
    </row>
    <row r="122" customFormat="false" ht="13.8" hidden="false" customHeight="false" outlineLevel="0" collapsed="false">
      <c r="A122" s="33" t="n">
        <v>121</v>
      </c>
      <c r="B122" s="32" t="n">
        <v>44317</v>
      </c>
      <c r="C122" s="33" t="n">
        <v>4314</v>
      </c>
      <c r="D122" s="33" t="n">
        <f aca="false">C121-C122</f>
        <v>1934</v>
      </c>
      <c r="E122" s="33" t="n">
        <v>192.7</v>
      </c>
      <c r="F122" s="33" t="n">
        <f aca="false">E121-E122</f>
        <v>91.6</v>
      </c>
      <c r="G122" s="33" t="n">
        <v>3.11</v>
      </c>
      <c r="H122" s="33" t="n">
        <f aca="false">G122-G121</f>
        <v>-1.39</v>
      </c>
      <c r="I122" s="33" t="n">
        <v>50</v>
      </c>
      <c r="J122" s="33" t="n">
        <f aca="false">I121-I122</f>
        <v>26</v>
      </c>
      <c r="L122" s="1" t="s">
        <v>2</v>
      </c>
      <c r="M122" s="1" t="s">
        <v>179</v>
      </c>
      <c r="N122" s="1" t="s">
        <v>175</v>
      </c>
      <c r="O122" s="1" t="s">
        <v>177</v>
      </c>
    </row>
    <row r="123" customFormat="false" ht="13.8" hidden="false" customHeight="false" outlineLevel="0" collapsed="false">
      <c r="A123" s="33" t="n">
        <v>122</v>
      </c>
      <c r="B123" s="32" t="n">
        <v>44318</v>
      </c>
      <c r="C123" s="33" t="n">
        <v>4929</v>
      </c>
      <c r="D123" s="33" t="n">
        <f aca="false">C122-C123</f>
        <v>-615</v>
      </c>
      <c r="E123" s="33" t="n">
        <v>219.4</v>
      </c>
      <c r="F123" s="33" t="n">
        <f aca="false">E122-E123</f>
        <v>-26.7</v>
      </c>
      <c r="G123" s="33" t="n">
        <v>3.55</v>
      </c>
      <c r="H123" s="33" t="n">
        <f aca="false">G123-G122</f>
        <v>0.44</v>
      </c>
      <c r="I123" s="33" t="n">
        <v>57</v>
      </c>
      <c r="J123" s="33" t="n">
        <f aca="false">I122-I123</f>
        <v>-7</v>
      </c>
      <c r="K123" s="1" t="s">
        <v>8</v>
      </c>
      <c r="L123" s="1" t="n">
        <f aca="false">AVERAGE($C$122:$C$152)</f>
        <v>12319.3870967742</v>
      </c>
      <c r="M123" s="1" t="n">
        <f aca="false">AVERAGE($E$122:$E$152)</f>
        <v>520.661290322581</v>
      </c>
      <c r="N123" s="1" t="n">
        <f aca="false">AVERAGE($G$122:$G$152)</f>
        <v>8.87032258064516</v>
      </c>
      <c r="O123" s="1" t="n">
        <f aca="false">AVERAGE($I$122:$I$152)</f>
        <v>126.354838709677</v>
      </c>
    </row>
    <row r="124" customFormat="false" ht="13.8" hidden="false" customHeight="false" outlineLevel="0" collapsed="false">
      <c r="A124" s="33" t="n">
        <v>123</v>
      </c>
      <c r="B124" s="32" t="n">
        <v>44319</v>
      </c>
      <c r="C124" s="33" t="n">
        <v>26232</v>
      </c>
      <c r="D124" s="33" t="n">
        <f aca="false">C123-C124</f>
        <v>-21303</v>
      </c>
      <c r="E124" s="33" t="n">
        <v>1121.3</v>
      </c>
      <c r="F124" s="33" t="n">
        <f aca="false">E123-E124</f>
        <v>-901.9</v>
      </c>
      <c r="G124" s="33" t="n">
        <v>18.89</v>
      </c>
      <c r="H124" s="33" t="n">
        <f aca="false">G124-G123</f>
        <v>15.34</v>
      </c>
      <c r="I124" s="33" t="n">
        <v>280</v>
      </c>
      <c r="J124" s="33" t="n">
        <f aca="false">I123-I124</f>
        <v>-223</v>
      </c>
      <c r="K124" s="1" t="s">
        <v>10</v>
      </c>
      <c r="L124" s="1" t="n">
        <f aca="false">SQRT(VAR($C$122:$C$152)/COUNT($C$122:$C$152))</f>
        <v>1406.80070095572</v>
      </c>
      <c r="M124" s="1" t="n">
        <f aca="false">SQRT(VAR($E$122:$E$152)/COUNT($E$122:$E$152))</f>
        <v>59.7553659222638</v>
      </c>
      <c r="N124" s="1" t="n">
        <f aca="false">SQRT(VAR($G$122:$G$152)/COUNT($G$122:$G$152))</f>
        <v>1.01282087535933</v>
      </c>
      <c r="O124" s="1" t="n">
        <f aca="false">SQRT(VAR($I$122:$I$152)/COUNT($I$122:$I$152))</f>
        <v>14.856340624341</v>
      </c>
    </row>
    <row r="125" customFormat="false" ht="13.8" hidden="false" customHeight="false" outlineLevel="0" collapsed="false">
      <c r="A125" s="33" t="n">
        <v>124</v>
      </c>
      <c r="B125" s="32" t="n">
        <v>44320</v>
      </c>
      <c r="C125" s="33" t="n">
        <v>6970</v>
      </c>
      <c r="D125" s="33" t="n">
        <f aca="false">C124-C125</f>
        <v>19262</v>
      </c>
      <c r="E125" s="33" t="n">
        <v>312.7</v>
      </c>
      <c r="F125" s="33" t="n">
        <f aca="false">E124-E125</f>
        <v>808.6</v>
      </c>
      <c r="G125" s="33" t="n">
        <v>5.02</v>
      </c>
      <c r="H125" s="33" t="n">
        <f aca="false">G125-G124</f>
        <v>-13.87</v>
      </c>
      <c r="I125" s="33" t="n">
        <v>82</v>
      </c>
      <c r="J125" s="33" t="n">
        <f aca="false">I124-I125</f>
        <v>198</v>
      </c>
      <c r="K125" s="1" t="s">
        <v>14</v>
      </c>
      <c r="L125" s="1" t="e">
        <f aca="false">MODE($C$122:$C$152)</f>
        <v>#VALUE!</v>
      </c>
      <c r="M125" s="1" t="e">
        <f aca="false">MODE($E$122:$E$152)</f>
        <v>#VALUE!</v>
      </c>
      <c r="N125" s="1" t="e">
        <f aca="false">MODE($G$122:$G$152)</f>
        <v>#VALUE!</v>
      </c>
      <c r="O125" s="1" t="n">
        <f aca="false">MODE($I$122:$I$152)</f>
        <v>82</v>
      </c>
    </row>
    <row r="126" customFormat="false" ht="13.8" hidden="false" customHeight="false" outlineLevel="0" collapsed="false">
      <c r="A126" s="33" t="n">
        <v>125</v>
      </c>
      <c r="B126" s="32" t="n">
        <v>44321</v>
      </c>
      <c r="C126" s="33" t="n">
        <v>16101</v>
      </c>
      <c r="D126" s="33" t="n">
        <f aca="false">C125-C126</f>
        <v>-9131</v>
      </c>
      <c r="E126" s="33" t="n">
        <v>660.2</v>
      </c>
      <c r="F126" s="33" t="n">
        <f aca="false">E125-E126</f>
        <v>-347.5</v>
      </c>
      <c r="G126" s="33" t="n">
        <v>11.59</v>
      </c>
      <c r="H126" s="33" t="n">
        <f aca="false">G126-G125</f>
        <v>6.57</v>
      </c>
      <c r="I126" s="33" t="n">
        <v>154</v>
      </c>
      <c r="J126" s="33" t="n">
        <f aca="false">I125-I126</f>
        <v>-72</v>
      </c>
      <c r="K126" s="1" t="s">
        <v>12</v>
      </c>
      <c r="L126" s="1" t="n">
        <f aca="false">MEDIAN($C$122:$C$152)</f>
        <v>8208</v>
      </c>
      <c r="M126" s="1" t="n">
        <f aca="false">MEDIAN($E$122:$E$152)</f>
        <v>345.8</v>
      </c>
      <c r="N126" s="1" t="n">
        <f aca="false">MEDIAN($G$122:$G$152)</f>
        <v>5.91</v>
      </c>
      <c r="O126" s="1" t="n">
        <f aca="false">MEDIAN($I$122:$I$152)</f>
        <v>89</v>
      </c>
    </row>
    <row r="127" customFormat="false" ht="13.8" hidden="false" customHeight="false" outlineLevel="0" collapsed="false">
      <c r="A127" s="33" t="n">
        <v>126</v>
      </c>
      <c r="B127" s="32" t="n">
        <v>44322</v>
      </c>
      <c r="C127" s="33" t="n">
        <v>6009</v>
      </c>
      <c r="D127" s="33" t="n">
        <f aca="false">C126-C127</f>
        <v>10092</v>
      </c>
      <c r="E127" s="33" t="n">
        <v>251.3</v>
      </c>
      <c r="F127" s="33" t="n">
        <f aca="false">E126-E127</f>
        <v>408.9</v>
      </c>
      <c r="G127" s="33" t="n">
        <v>4.33</v>
      </c>
      <c r="H127" s="33" t="n">
        <f aca="false">G127-G126</f>
        <v>-7.26</v>
      </c>
      <c r="I127" s="33" t="n">
        <v>59</v>
      </c>
      <c r="J127" s="33" t="n">
        <f aca="false">I126-I127</f>
        <v>95</v>
      </c>
      <c r="K127" s="1" t="s">
        <v>195</v>
      </c>
      <c r="L127" s="1" t="n">
        <f aca="false">QUARTILE($C$122:$C$152, 1)</f>
        <v>6643</v>
      </c>
      <c r="M127" s="1" t="n">
        <f aca="false">QUARTILE($E$122:$E$152, 1)</f>
        <v>278.9</v>
      </c>
      <c r="N127" s="1" t="n">
        <f aca="false">QUARTILE($G$122:$G$152, 1)</f>
        <v>4.78</v>
      </c>
      <c r="O127" s="1" t="n">
        <f aca="false">QUARTILE($I$122:$I$152, 1)</f>
        <v>67</v>
      </c>
    </row>
    <row r="128" customFormat="false" ht="13.8" hidden="false" customHeight="false" outlineLevel="0" collapsed="false">
      <c r="A128" s="33" t="n">
        <v>127</v>
      </c>
      <c r="B128" s="32" t="n">
        <v>44323</v>
      </c>
      <c r="C128" s="33" t="n">
        <v>7726</v>
      </c>
      <c r="D128" s="33" t="n">
        <f aca="false">C127-C128</f>
        <v>-1717</v>
      </c>
      <c r="E128" s="33" t="n">
        <v>322.1</v>
      </c>
      <c r="F128" s="33" t="n">
        <f aca="false">E127-E128</f>
        <v>-70.8</v>
      </c>
      <c r="G128" s="33" t="n">
        <v>5.56</v>
      </c>
      <c r="H128" s="33" t="n">
        <f aca="false">G128-G127</f>
        <v>1.23</v>
      </c>
      <c r="I128" s="33" t="n">
        <v>77</v>
      </c>
      <c r="J128" s="33" t="n">
        <f aca="false">I127-I128</f>
        <v>-18</v>
      </c>
      <c r="K128" s="1" t="s">
        <v>181</v>
      </c>
      <c r="L128" s="1" t="n">
        <f aca="false">QUARTILE($C$122:$C$152, 3)</f>
        <v>17399.5</v>
      </c>
      <c r="M128" s="1" t="n">
        <f aca="false">QUARTILE($E$122:$E$152, 3)</f>
        <v>747.75</v>
      </c>
      <c r="N128" s="1" t="n">
        <f aca="false">QUARTILE($G$122:$G$152, 3)</f>
        <v>12.53</v>
      </c>
      <c r="O128" s="1" t="n">
        <f aca="false">QUARTILE($I$122:$I$152, 3)</f>
        <v>177.5</v>
      </c>
    </row>
    <row r="129" customFormat="false" ht="13.8" hidden="false" customHeight="false" outlineLevel="0" collapsed="false">
      <c r="A129" s="33" t="n">
        <v>128</v>
      </c>
      <c r="B129" s="32" t="n">
        <v>44324</v>
      </c>
      <c r="C129" s="33" t="n">
        <v>24765</v>
      </c>
      <c r="D129" s="33" t="n">
        <f aca="false">C128-C129</f>
        <v>-17039</v>
      </c>
      <c r="E129" s="33" t="n">
        <v>1036.8</v>
      </c>
      <c r="F129" s="33" t="n">
        <f aca="false">E128-E129</f>
        <v>-714.7</v>
      </c>
      <c r="G129" s="33" t="n">
        <v>17.83</v>
      </c>
      <c r="H129" s="33" t="n">
        <f aca="false">G129-G128</f>
        <v>12.27</v>
      </c>
      <c r="I129" s="33" t="n">
        <v>251</v>
      </c>
      <c r="J129" s="33" t="n">
        <f aca="false">I128-I129</f>
        <v>-174</v>
      </c>
      <c r="K129" s="1" t="s">
        <v>182</v>
      </c>
      <c r="L129" s="1" t="n">
        <f aca="false">VAR($C$122:$C$152)</f>
        <v>61351734.5784946</v>
      </c>
      <c r="M129" s="1" t="n">
        <f aca="false">VAR($E$122:$E$152)</f>
        <v>110691.816451613</v>
      </c>
      <c r="N129" s="1" t="n">
        <f aca="false">VAR($G$122:$G$152)</f>
        <v>31.7999898924731</v>
      </c>
      <c r="O129" s="1" t="n">
        <f aca="false">VAR($I$122:$I$152)</f>
        <v>6842.03655913978</v>
      </c>
    </row>
    <row r="130" customFormat="false" ht="13.8" hidden="false" customHeight="false" outlineLevel="0" collapsed="false">
      <c r="A130" s="33" t="n">
        <v>129</v>
      </c>
      <c r="B130" s="32" t="n">
        <v>44325</v>
      </c>
      <c r="C130" s="33" t="n">
        <v>7785</v>
      </c>
      <c r="D130" s="33" t="n">
        <f aca="false">C129-C130</f>
        <v>16980</v>
      </c>
      <c r="E130" s="33" t="n">
        <v>339.8</v>
      </c>
      <c r="F130" s="33" t="n">
        <f aca="false">E129-E130</f>
        <v>697</v>
      </c>
      <c r="G130" s="33" t="n">
        <v>5.61</v>
      </c>
      <c r="H130" s="33" t="n">
        <f aca="false">G130-G129</f>
        <v>-12.22</v>
      </c>
      <c r="I130" s="33" t="n">
        <v>86</v>
      </c>
      <c r="J130" s="33" t="n">
        <f aca="false">I129-I130</f>
        <v>165</v>
      </c>
      <c r="K130" s="1" t="s">
        <v>16</v>
      </c>
      <c r="L130" s="1" t="n">
        <f aca="false">STDEV($C$122:$C$152)</f>
        <v>7832.73480838555</v>
      </c>
      <c r="M130" s="1" t="n">
        <f aca="false">STDEV($E$122:$E$152)</f>
        <v>332.703796869848</v>
      </c>
      <c r="N130" s="1" t="n">
        <f aca="false">STDEV($G$122:$G$152)</f>
        <v>5.63914797575601</v>
      </c>
      <c r="O130" s="1" t="n">
        <f aca="false">STDEV($I$122:$I$152)</f>
        <v>82.7166038902697</v>
      </c>
    </row>
    <row r="131" customFormat="false" ht="13.8" hidden="false" customHeight="false" outlineLevel="0" collapsed="false">
      <c r="A131" s="33" t="n">
        <v>130</v>
      </c>
      <c r="B131" s="32" t="n">
        <v>44326</v>
      </c>
      <c r="C131" s="33" t="n">
        <v>7581</v>
      </c>
      <c r="D131" s="33" t="n">
        <f aca="false">C130-C131</f>
        <v>204</v>
      </c>
      <c r="E131" s="33" t="n">
        <v>323.5</v>
      </c>
      <c r="F131" s="33" t="n">
        <f aca="false">E130-E131</f>
        <v>16.3</v>
      </c>
      <c r="G131" s="33" t="n">
        <v>5.46</v>
      </c>
      <c r="H131" s="33" t="n">
        <f aca="false">G131-G130</f>
        <v>-0.15</v>
      </c>
      <c r="I131" s="33" t="n">
        <v>80</v>
      </c>
      <c r="J131" s="33" t="n">
        <f aca="false">I130-I131</f>
        <v>6</v>
      </c>
      <c r="K131" s="1" t="s">
        <v>20</v>
      </c>
      <c r="L131" s="1" t="n">
        <f aca="false">KURT($C$122:$C$152)</f>
        <v>-0.741442016459848</v>
      </c>
      <c r="M131" s="1" t="n">
        <f aca="false">KURT($E$122:$E$152)</f>
        <v>-0.614196716481516</v>
      </c>
      <c r="N131" s="1" t="n">
        <f aca="false">KURT($G$122:$G$152)</f>
        <v>-0.740721323067066</v>
      </c>
      <c r="O131" s="1" t="n">
        <f aca="false">KURT($I$122:$I$152)</f>
        <v>-0.285136457338962</v>
      </c>
    </row>
    <row r="132" customFormat="false" ht="13.8" hidden="false" customHeight="false" outlineLevel="0" collapsed="false">
      <c r="A132" s="33" t="n">
        <v>131</v>
      </c>
      <c r="B132" s="32" t="n">
        <v>44327</v>
      </c>
      <c r="C132" s="33" t="n">
        <v>3933</v>
      </c>
      <c r="D132" s="33" t="n">
        <f aca="false">C131-C132</f>
        <v>3648</v>
      </c>
      <c r="E132" s="33" t="n">
        <v>161</v>
      </c>
      <c r="F132" s="33" t="n">
        <f aca="false">E131-E132</f>
        <v>162.5</v>
      </c>
      <c r="G132" s="33" t="n">
        <v>2.83</v>
      </c>
      <c r="H132" s="33" t="n">
        <f aca="false">G132-G131</f>
        <v>-2.63</v>
      </c>
      <c r="I132" s="33" t="n">
        <v>37</v>
      </c>
      <c r="J132" s="33" t="n">
        <f aca="false">I131-I132</f>
        <v>43</v>
      </c>
      <c r="K132" s="1" t="s">
        <v>22</v>
      </c>
      <c r="L132" s="1" t="n">
        <f aca="false">SKEW($C$122:$C$152)</f>
        <v>0.871307405808801</v>
      </c>
      <c r="M132" s="1" t="n">
        <f aca="false">SKEW($E$122:$E$152)</f>
        <v>0.915816310606338</v>
      </c>
      <c r="N132" s="1" t="n">
        <f aca="false">SKEW($G$122:$G$152)</f>
        <v>0.871465627944626</v>
      </c>
      <c r="O132" s="1" t="n">
        <f aca="false">SKEW($I$122:$I$152)</f>
        <v>1.0378589609994</v>
      </c>
    </row>
    <row r="133" customFormat="false" ht="13.8" hidden="false" customHeight="false" outlineLevel="0" collapsed="false">
      <c r="A133" s="33" t="n">
        <v>132</v>
      </c>
      <c r="B133" s="32" t="n">
        <v>44328</v>
      </c>
      <c r="C133" s="33" t="n">
        <v>4595</v>
      </c>
      <c r="D133" s="33" t="n">
        <f aca="false">C132-C133</f>
        <v>-662</v>
      </c>
      <c r="E133" s="33" t="n">
        <v>187</v>
      </c>
      <c r="F133" s="33" t="n">
        <f aca="false">E132-E133</f>
        <v>-26</v>
      </c>
      <c r="G133" s="33" t="n">
        <v>3.31</v>
      </c>
      <c r="H133" s="33" t="n">
        <f aca="false">G133-G132</f>
        <v>0.48</v>
      </c>
      <c r="I133" s="33" t="n">
        <v>42</v>
      </c>
      <c r="J133" s="33" t="n">
        <f aca="false">I132-I133</f>
        <v>-5</v>
      </c>
      <c r="K133" s="1" t="s">
        <v>24</v>
      </c>
      <c r="L133" s="1" t="n">
        <f aca="false">MAX($C$122:$C$152)-MIN($C$122:$C$152)</f>
        <v>23466</v>
      </c>
      <c r="M133" s="1" t="n">
        <f aca="false">MAX($E$122:$E$152)-MIN($E$122:$E$152)</f>
        <v>1030.2</v>
      </c>
      <c r="N133" s="1" t="n">
        <f aca="false">MAX($G$122:$G$152)-MIN($G$122:$G$152)</f>
        <v>16.9</v>
      </c>
      <c r="O133" s="1" t="n">
        <f aca="false">MAX($I$122:$I$152)-MIN($I$122:$I$152)</f>
        <v>269</v>
      </c>
    </row>
    <row r="134" customFormat="false" ht="13.8" hidden="false" customHeight="false" outlineLevel="0" collapsed="false">
      <c r="A134" s="33" t="n">
        <v>133</v>
      </c>
      <c r="B134" s="32" t="n">
        <v>44329</v>
      </c>
      <c r="C134" s="33" t="n">
        <v>8540</v>
      </c>
      <c r="D134" s="33" t="n">
        <f aca="false">C133-C134</f>
        <v>-3945</v>
      </c>
      <c r="E134" s="33" t="n">
        <v>364.7</v>
      </c>
      <c r="F134" s="33" t="n">
        <f aca="false">E133-E134</f>
        <v>-177.7</v>
      </c>
      <c r="G134" s="33" t="n">
        <v>6.15</v>
      </c>
      <c r="H134" s="33" t="n">
        <f aca="false">G134-G133</f>
        <v>2.84</v>
      </c>
      <c r="I134" s="33" t="n">
        <v>91</v>
      </c>
      <c r="J134" s="33" t="n">
        <f aca="false">I133-I134</f>
        <v>-49</v>
      </c>
      <c r="K134" s="1" t="s">
        <v>26</v>
      </c>
      <c r="L134" s="1" t="n">
        <f aca="false">MIN($C$122:$C$152)</f>
        <v>3933</v>
      </c>
      <c r="M134" s="1" t="n">
        <f aca="false">MIN($E$122:$E$152)</f>
        <v>161</v>
      </c>
      <c r="N134" s="1" t="n">
        <f aca="false">MIN($G$122:$G$152)</f>
        <v>2.83</v>
      </c>
      <c r="O134" s="1" t="n">
        <f aca="false">MIN($I$122:$I$152)</f>
        <v>37</v>
      </c>
    </row>
    <row r="135" customFormat="false" ht="13.8" hidden="false" customHeight="false" outlineLevel="0" collapsed="false">
      <c r="A135" s="33" t="n">
        <v>134</v>
      </c>
      <c r="B135" s="32" t="n">
        <v>44330</v>
      </c>
      <c r="C135" s="33" t="n">
        <v>17232</v>
      </c>
      <c r="D135" s="33" t="n">
        <f aca="false">C134-C135</f>
        <v>-8692</v>
      </c>
      <c r="E135" s="33" t="n">
        <v>780</v>
      </c>
      <c r="F135" s="33" t="n">
        <f aca="false">E134-E135</f>
        <v>-415.3</v>
      </c>
      <c r="G135" s="33" t="n">
        <v>12.41</v>
      </c>
      <c r="H135" s="33" t="n">
        <f aca="false">G135-G134</f>
        <v>6.26</v>
      </c>
      <c r="I135" s="33" t="n">
        <v>208</v>
      </c>
      <c r="J135" s="33" t="n">
        <f aca="false">I134-I135</f>
        <v>-117</v>
      </c>
      <c r="K135" s="1" t="s">
        <v>28</v>
      </c>
      <c r="L135" s="1" t="n">
        <f aca="false">MAX($C$122:$C$152)</f>
        <v>27399</v>
      </c>
      <c r="M135" s="1" t="n">
        <f aca="false">MAX($E$122:$E$152)</f>
        <v>1191.2</v>
      </c>
      <c r="N135" s="1" t="n">
        <f aca="false">MAX($G$122:$G$152)</f>
        <v>19.73</v>
      </c>
      <c r="O135" s="1" t="n">
        <f aca="false">MAX($I$122:$I$152)</f>
        <v>306</v>
      </c>
    </row>
    <row r="136" customFormat="false" ht="13.8" hidden="false" customHeight="false" outlineLevel="0" collapsed="false">
      <c r="A136" s="33" t="n">
        <v>135</v>
      </c>
      <c r="B136" s="32" t="n">
        <v>44331</v>
      </c>
      <c r="C136" s="33" t="n">
        <v>27332</v>
      </c>
      <c r="D136" s="33" t="n">
        <f aca="false">C135-C136</f>
        <v>-10100</v>
      </c>
      <c r="E136" s="33" t="n">
        <v>1191.2</v>
      </c>
      <c r="F136" s="33" t="n">
        <f aca="false">E135-E136</f>
        <v>-411.2</v>
      </c>
      <c r="G136" s="33" t="n">
        <v>19.68</v>
      </c>
      <c r="H136" s="33" t="n">
        <f aca="false">G136-G135</f>
        <v>7.27</v>
      </c>
      <c r="I136" s="33" t="n">
        <v>306</v>
      </c>
      <c r="J136" s="33" t="n">
        <f aca="false">I135-I136</f>
        <v>-98</v>
      </c>
      <c r="K136" s="1" t="s">
        <v>30</v>
      </c>
      <c r="L136" s="1" t="n">
        <f aca="false">SUM($C$122:$C$152)</f>
        <v>381901</v>
      </c>
      <c r="M136" s="1" t="n">
        <f aca="false">SUM($E$122:$E$152)</f>
        <v>16140.5</v>
      </c>
      <c r="N136" s="1" t="n">
        <f aca="false">SUM($G$122:$G$152)</f>
        <v>274.98</v>
      </c>
      <c r="O136" s="1" t="n">
        <f aca="false">SUM($I$122:$I$152)</f>
        <v>3917</v>
      </c>
    </row>
    <row r="137" customFormat="false" ht="13.8" hidden="false" customHeight="false" outlineLevel="0" collapsed="false">
      <c r="A137" s="33" t="n">
        <v>136</v>
      </c>
      <c r="B137" s="32" t="n">
        <v>44332</v>
      </c>
      <c r="C137" s="33" t="n">
        <v>27399</v>
      </c>
      <c r="D137" s="33" t="n">
        <f aca="false">C136-C137</f>
        <v>-67</v>
      </c>
      <c r="E137" s="33" t="n">
        <v>1173.6</v>
      </c>
      <c r="F137" s="33" t="n">
        <f aca="false">E136-E137</f>
        <v>17.6000000000001</v>
      </c>
      <c r="G137" s="33" t="n">
        <v>19.73</v>
      </c>
      <c r="H137" s="33" t="n">
        <f aca="false">G137-G136</f>
        <v>0.0500000000000007</v>
      </c>
      <c r="I137" s="33" t="n">
        <v>295</v>
      </c>
      <c r="J137" s="33" t="n">
        <f aca="false">I136-I137</f>
        <v>11</v>
      </c>
      <c r="K137" s="1" t="s">
        <v>32</v>
      </c>
      <c r="L137" s="1" t="n">
        <f aca="false">COUNT($C$122:$C$152)</f>
        <v>31</v>
      </c>
      <c r="M137" s="1" t="n">
        <f aca="false">COUNT($E$122:$E$152)</f>
        <v>31</v>
      </c>
      <c r="N137" s="1" t="n">
        <f aca="false">COUNT($G$122:$G$152)</f>
        <v>31</v>
      </c>
      <c r="O137" s="1" t="n">
        <f aca="false">COUNT($I$122:$I$152)</f>
        <v>31</v>
      </c>
    </row>
    <row r="138" customFormat="false" ht="13.8" hidden="false" customHeight="false" outlineLevel="0" collapsed="false">
      <c r="A138" s="33" t="n">
        <v>137</v>
      </c>
      <c r="B138" s="32" t="n">
        <v>44333</v>
      </c>
      <c r="C138" s="33" t="n">
        <v>7680</v>
      </c>
      <c r="D138" s="33" t="n">
        <f aca="false">C137-C138</f>
        <v>19719</v>
      </c>
      <c r="E138" s="33" t="n">
        <v>316.7</v>
      </c>
      <c r="F138" s="33" t="n">
        <f aca="false">E137-E138</f>
        <v>856.9</v>
      </c>
      <c r="G138" s="33" t="n">
        <v>5.53</v>
      </c>
      <c r="H138" s="33" t="n">
        <f aca="false">G138-G137</f>
        <v>-14.2</v>
      </c>
      <c r="I138" s="33" t="n">
        <v>74</v>
      </c>
      <c r="J138" s="33" t="n">
        <f aca="false">I137-I138</f>
        <v>221</v>
      </c>
    </row>
    <row r="139" customFormat="false" ht="13.8" hidden="false" customHeight="false" outlineLevel="0" collapsed="false">
      <c r="A139" s="33" t="n">
        <v>138</v>
      </c>
      <c r="B139" s="32" t="n">
        <v>44334</v>
      </c>
      <c r="C139" s="33" t="n">
        <v>10148</v>
      </c>
      <c r="D139" s="33" t="n">
        <f aca="false">C138-C139</f>
        <v>-2468</v>
      </c>
      <c r="E139" s="33" t="n">
        <v>424</v>
      </c>
      <c r="F139" s="33" t="n">
        <f aca="false">E138-E139</f>
        <v>-107.3</v>
      </c>
      <c r="G139" s="33" t="n">
        <v>7.31</v>
      </c>
      <c r="H139" s="33" t="n">
        <f aca="false">G139-G138</f>
        <v>1.78</v>
      </c>
      <c r="I139" s="33" t="n">
        <v>100</v>
      </c>
      <c r="J139" s="33" t="n">
        <f aca="false">I138-I139</f>
        <v>-26</v>
      </c>
    </row>
    <row r="140" customFormat="false" ht="13.8" hidden="false" customHeight="false" outlineLevel="0" collapsed="false">
      <c r="A140" s="33" t="n">
        <v>139</v>
      </c>
      <c r="B140" s="32" t="n">
        <v>44335</v>
      </c>
      <c r="C140" s="33" t="n">
        <v>15574</v>
      </c>
      <c r="D140" s="33" t="n">
        <f aca="false">C139-C140</f>
        <v>-5426</v>
      </c>
      <c r="E140" s="33" t="n">
        <v>630.4</v>
      </c>
      <c r="F140" s="33" t="n">
        <f aca="false">E139-E140</f>
        <v>-206.4</v>
      </c>
      <c r="G140" s="33" t="n">
        <v>11.21</v>
      </c>
      <c r="H140" s="33" t="n">
        <f aca="false">G140-G139</f>
        <v>3.9</v>
      </c>
      <c r="I140" s="33" t="n">
        <v>142</v>
      </c>
      <c r="J140" s="33" t="n">
        <f aca="false">I139-I140</f>
        <v>-42</v>
      </c>
    </row>
    <row r="141" customFormat="false" ht="13.8" hidden="false" customHeight="false" outlineLevel="0" collapsed="false">
      <c r="A141" s="33" t="n">
        <v>140</v>
      </c>
      <c r="B141" s="32" t="n">
        <v>44336</v>
      </c>
      <c r="C141" s="33" t="n">
        <v>17567</v>
      </c>
      <c r="D141" s="33" t="n">
        <f aca="false">C140-C141</f>
        <v>-1993</v>
      </c>
      <c r="E141" s="33" t="n">
        <v>715.5</v>
      </c>
      <c r="F141" s="33" t="n">
        <f aca="false">E140-E141</f>
        <v>-85.1</v>
      </c>
      <c r="G141" s="33" t="n">
        <v>12.65</v>
      </c>
      <c r="H141" s="33" t="n">
        <f aca="false">G141-G140</f>
        <v>1.44</v>
      </c>
      <c r="I141" s="33" t="n">
        <v>143</v>
      </c>
      <c r="J141" s="33" t="n">
        <f aca="false">I140-I141</f>
        <v>-1</v>
      </c>
    </row>
    <row r="142" customFormat="false" ht="13.8" hidden="false" customHeight="false" outlineLevel="0" collapsed="false">
      <c r="A142" s="33" t="n">
        <v>141</v>
      </c>
      <c r="B142" s="32" t="n">
        <v>44337</v>
      </c>
      <c r="C142" s="33" t="n">
        <v>6655</v>
      </c>
      <c r="D142" s="33" t="n">
        <f aca="false">C141-C142</f>
        <v>10912</v>
      </c>
      <c r="E142" s="33" t="n">
        <v>275.8</v>
      </c>
      <c r="F142" s="33" t="n">
        <f aca="false">E141-E142</f>
        <v>439.7</v>
      </c>
      <c r="G142" s="33" t="n">
        <v>4.79</v>
      </c>
      <c r="H142" s="33" t="n">
        <f aca="false">G142-G141</f>
        <v>-7.86</v>
      </c>
      <c r="I142" s="33" t="n">
        <v>65</v>
      </c>
      <c r="J142" s="33" t="n">
        <f aca="false">I141-I142</f>
        <v>78</v>
      </c>
    </row>
    <row r="143" customFormat="false" ht="13.8" hidden="false" customHeight="false" outlineLevel="0" collapsed="false">
      <c r="A143" s="33" t="n">
        <v>142</v>
      </c>
      <c r="B143" s="32" t="n">
        <v>44338</v>
      </c>
      <c r="C143" s="33" t="n">
        <v>23117</v>
      </c>
      <c r="D143" s="33" t="n">
        <f aca="false">C142-C143</f>
        <v>-16462</v>
      </c>
      <c r="E143" s="33" t="n">
        <v>934.7</v>
      </c>
      <c r="F143" s="33" t="n">
        <f aca="false">E142-E143</f>
        <v>-658.9</v>
      </c>
      <c r="G143" s="33" t="n">
        <v>16.64</v>
      </c>
      <c r="H143" s="33" t="n">
        <f aca="false">G143-G142</f>
        <v>11.85</v>
      </c>
      <c r="I143" s="33" t="n">
        <v>210</v>
      </c>
      <c r="J143" s="33" t="n">
        <f aca="false">I142-I143</f>
        <v>-145</v>
      </c>
    </row>
    <row r="144" customFormat="false" ht="13.8" hidden="false" customHeight="false" outlineLevel="0" collapsed="false">
      <c r="A144" s="33" t="n">
        <v>143</v>
      </c>
      <c r="B144" s="32" t="n">
        <v>44339</v>
      </c>
      <c r="C144" s="33" t="n">
        <v>19631</v>
      </c>
      <c r="D144" s="33" t="n">
        <f aca="false">C143-C144</f>
        <v>3486</v>
      </c>
      <c r="E144" s="33" t="n">
        <v>823.8</v>
      </c>
      <c r="F144" s="33" t="n">
        <f aca="false">E143-E144</f>
        <v>110.9</v>
      </c>
      <c r="G144" s="33" t="n">
        <v>14.13</v>
      </c>
      <c r="H144" s="33" t="n">
        <f aca="false">G144-G143</f>
        <v>-2.51</v>
      </c>
      <c r="I144" s="33" t="n">
        <v>201</v>
      </c>
      <c r="J144" s="33" t="n">
        <f aca="false">I143-I144</f>
        <v>9</v>
      </c>
    </row>
    <row r="145" customFormat="false" ht="13.8" hidden="false" customHeight="false" outlineLevel="0" collapsed="false">
      <c r="A145" s="33" t="n">
        <v>144</v>
      </c>
      <c r="B145" s="32" t="n">
        <v>44340</v>
      </c>
      <c r="C145" s="33" t="n">
        <v>6005</v>
      </c>
      <c r="D145" s="33" t="n">
        <f aca="false">C144-C145</f>
        <v>13626</v>
      </c>
      <c r="E145" s="33" t="n">
        <v>256.7</v>
      </c>
      <c r="F145" s="33" t="n">
        <f aca="false">E144-E145</f>
        <v>567.1</v>
      </c>
      <c r="G145" s="33" t="n">
        <v>4.32</v>
      </c>
      <c r="H145" s="33" t="n">
        <f aca="false">G145-G144</f>
        <v>-9.81</v>
      </c>
      <c r="I145" s="33" t="n">
        <v>64</v>
      </c>
      <c r="J145" s="33" t="n">
        <f aca="false">I144-I145</f>
        <v>137</v>
      </c>
    </row>
    <row r="146" customFormat="false" ht="13.8" hidden="false" customHeight="false" outlineLevel="0" collapsed="false">
      <c r="A146" s="33" t="n">
        <v>145</v>
      </c>
      <c r="B146" s="32" t="n">
        <v>44341</v>
      </c>
      <c r="C146" s="33" t="n">
        <v>10539</v>
      </c>
      <c r="D146" s="33" t="n">
        <f aca="false">C145-C146</f>
        <v>-4534</v>
      </c>
      <c r="E146" s="33" t="n">
        <v>437.7</v>
      </c>
      <c r="F146" s="33" t="n">
        <f aca="false">E145-E146</f>
        <v>-181</v>
      </c>
      <c r="G146" s="33" t="n">
        <v>7.59</v>
      </c>
      <c r="H146" s="33" t="n">
        <f aca="false">G146-G145</f>
        <v>3.27</v>
      </c>
      <c r="I146" s="33" t="n">
        <v>104</v>
      </c>
      <c r="J146" s="33" t="n">
        <f aca="false">I145-I146</f>
        <v>-40</v>
      </c>
    </row>
    <row r="147" customFormat="false" ht="13.8" hidden="false" customHeight="false" outlineLevel="0" collapsed="false">
      <c r="A147" s="33" t="n">
        <v>146</v>
      </c>
      <c r="B147" s="32" t="n">
        <v>44342</v>
      </c>
      <c r="C147" s="33" t="n">
        <v>5358</v>
      </c>
      <c r="D147" s="33" t="n">
        <f aca="false">C146-C147</f>
        <v>5181</v>
      </c>
      <c r="E147" s="33" t="n">
        <v>222.4</v>
      </c>
      <c r="F147" s="33" t="n">
        <f aca="false">E146-E147</f>
        <v>215.3</v>
      </c>
      <c r="G147" s="33" t="n">
        <v>3.86</v>
      </c>
      <c r="H147" s="33" t="n">
        <f aca="false">G147-G146</f>
        <v>-3.73</v>
      </c>
      <c r="I147" s="33" t="n">
        <v>53</v>
      </c>
      <c r="J147" s="33" t="n">
        <f aca="false">I146-I147</f>
        <v>51</v>
      </c>
    </row>
    <row r="148" customFormat="false" ht="13.8" hidden="false" customHeight="false" outlineLevel="0" collapsed="false">
      <c r="A148" s="33" t="n">
        <v>147</v>
      </c>
      <c r="B148" s="32" t="n">
        <v>44343</v>
      </c>
      <c r="C148" s="33" t="n">
        <v>9954</v>
      </c>
      <c r="D148" s="33" t="n">
        <f aca="false">C147-C148</f>
        <v>-4596</v>
      </c>
      <c r="E148" s="33" t="n">
        <v>410.4</v>
      </c>
      <c r="F148" s="33" t="n">
        <f aca="false">E147-E148</f>
        <v>-188</v>
      </c>
      <c r="G148" s="33" t="n">
        <v>7.17</v>
      </c>
      <c r="H148" s="33" t="n">
        <f aca="false">G148-G147</f>
        <v>3.31</v>
      </c>
      <c r="I148" s="33" t="n">
        <v>96</v>
      </c>
      <c r="J148" s="33" t="n">
        <f aca="false">I147-I148</f>
        <v>-43</v>
      </c>
    </row>
    <row r="149" customFormat="false" ht="13.8" hidden="false" customHeight="false" outlineLevel="0" collapsed="false">
      <c r="A149" s="33" t="n">
        <v>148</v>
      </c>
      <c r="B149" s="32" t="n">
        <v>44344</v>
      </c>
      <c r="C149" s="33" t="n">
        <v>6631</v>
      </c>
      <c r="D149" s="33" t="n">
        <f aca="false">C148-C149</f>
        <v>3323</v>
      </c>
      <c r="E149" s="33" t="n">
        <v>282</v>
      </c>
      <c r="F149" s="33" t="n">
        <f aca="false">E148-E149</f>
        <v>128.4</v>
      </c>
      <c r="G149" s="33" t="n">
        <v>4.77</v>
      </c>
      <c r="H149" s="33" t="n">
        <f aca="false">G149-G148</f>
        <v>-2.4</v>
      </c>
      <c r="I149" s="33" t="n">
        <v>69</v>
      </c>
      <c r="J149" s="33" t="n">
        <f aca="false">I148-I149</f>
        <v>27</v>
      </c>
    </row>
    <row r="150" customFormat="false" ht="13.8" hidden="false" customHeight="false" outlineLevel="0" collapsed="false">
      <c r="A150" s="33" t="n">
        <v>149</v>
      </c>
      <c r="B150" s="32" t="n">
        <v>44345</v>
      </c>
      <c r="C150" s="33" t="n">
        <v>25476</v>
      </c>
      <c r="D150" s="33" t="n">
        <f aca="false">C149-C150</f>
        <v>-18845</v>
      </c>
      <c r="E150" s="33" t="n">
        <v>1085.7</v>
      </c>
      <c r="F150" s="33" t="n">
        <f aca="false">E149-E150</f>
        <v>-803.7</v>
      </c>
      <c r="G150" s="33" t="n">
        <v>18.34</v>
      </c>
      <c r="H150" s="33" t="n">
        <f aca="false">G150-G149</f>
        <v>13.57</v>
      </c>
      <c r="I150" s="33" t="n">
        <v>270</v>
      </c>
      <c r="J150" s="33" t="n">
        <f aca="false">I149-I150</f>
        <v>-201</v>
      </c>
    </row>
    <row r="151" customFormat="false" ht="13.8" hidden="false" customHeight="false" outlineLevel="0" collapsed="false">
      <c r="A151" s="33" t="n">
        <v>150</v>
      </c>
      <c r="B151" s="32" t="n">
        <v>44346</v>
      </c>
      <c r="C151" s="33" t="n">
        <v>7915</v>
      </c>
      <c r="D151" s="33" t="n">
        <f aca="false">C150-C151</f>
        <v>17561</v>
      </c>
      <c r="E151" s="33" t="n">
        <v>345.8</v>
      </c>
      <c r="F151" s="33" t="n">
        <f aca="false">E150-E151</f>
        <v>739.9</v>
      </c>
      <c r="G151" s="33" t="n">
        <v>5.7</v>
      </c>
      <c r="H151" s="33" t="n">
        <f aca="false">G151-G150</f>
        <v>-12.64</v>
      </c>
      <c r="I151" s="33" t="n">
        <v>89</v>
      </c>
      <c r="J151" s="33" t="n">
        <f aca="false">I150-I151</f>
        <v>181</v>
      </c>
    </row>
    <row r="152" customFormat="false" ht="13.8" hidden="false" customHeight="false" outlineLevel="0" collapsed="false">
      <c r="A152" s="33" t="n">
        <v>151</v>
      </c>
      <c r="B152" s="32" t="n">
        <v>44347</v>
      </c>
      <c r="C152" s="33" t="n">
        <v>8208</v>
      </c>
      <c r="D152" s="33" t="n">
        <f aca="false">C151-C152</f>
        <v>-293</v>
      </c>
      <c r="E152" s="33" t="n">
        <v>341.6</v>
      </c>
      <c r="F152" s="33" t="n">
        <f aca="false">E151-E152</f>
        <v>4.19999999999999</v>
      </c>
      <c r="G152" s="33" t="n">
        <v>5.91</v>
      </c>
      <c r="H152" s="33" t="n">
        <f aca="false">G152-G151</f>
        <v>0.21</v>
      </c>
      <c r="I152" s="33" t="n">
        <v>82</v>
      </c>
      <c r="J152" s="33" t="n">
        <f aca="false">I151-I152</f>
        <v>7</v>
      </c>
    </row>
    <row r="153" customFormat="false" ht="13.8" hidden="false" customHeight="false" outlineLevel="0" collapsed="false">
      <c r="A153" s="33" t="n">
        <v>152</v>
      </c>
      <c r="B153" s="32" t="n">
        <v>44348</v>
      </c>
      <c r="C153" s="33" t="n">
        <v>5165</v>
      </c>
      <c r="D153" s="33" t="n">
        <f aca="false">C152-C153</f>
        <v>3043</v>
      </c>
      <c r="E153" s="33" t="n">
        <v>212.3</v>
      </c>
      <c r="F153" s="33" t="n">
        <f aca="false">E152-E153</f>
        <v>129.3</v>
      </c>
      <c r="G153" s="33" t="n">
        <v>3.72</v>
      </c>
      <c r="H153" s="33" t="n">
        <f aca="false">G153-G152</f>
        <v>-2.19</v>
      </c>
      <c r="I153" s="33" t="n">
        <v>49</v>
      </c>
      <c r="J153" s="33" t="n">
        <f aca="false">I152-I153</f>
        <v>33</v>
      </c>
      <c r="L153" s="1" t="s">
        <v>2</v>
      </c>
      <c r="M153" s="1" t="s">
        <v>179</v>
      </c>
      <c r="N153" s="1" t="s">
        <v>175</v>
      </c>
      <c r="O153" s="1" t="s">
        <v>177</v>
      </c>
    </row>
    <row r="154" customFormat="false" ht="13.8" hidden="false" customHeight="false" outlineLevel="0" collapsed="false">
      <c r="A154" s="33" t="n">
        <v>153</v>
      </c>
      <c r="B154" s="32" t="n">
        <v>44349</v>
      </c>
      <c r="C154" s="33" t="n">
        <v>8520</v>
      </c>
      <c r="D154" s="33" t="n">
        <f aca="false">C153-C154</f>
        <v>-3355</v>
      </c>
      <c r="E154" s="33" t="n">
        <v>351.2</v>
      </c>
      <c r="F154" s="33" t="n">
        <f aca="false">E153-E154</f>
        <v>-138.9</v>
      </c>
      <c r="G154" s="33" t="n">
        <v>6.13</v>
      </c>
      <c r="H154" s="33" t="n">
        <f aca="false">G154-G153</f>
        <v>2.41</v>
      </c>
      <c r="I154" s="33" t="n">
        <v>82</v>
      </c>
      <c r="J154" s="33" t="n">
        <f aca="false">I153-I154</f>
        <v>-33</v>
      </c>
      <c r="K154" s="1" t="s">
        <v>8</v>
      </c>
      <c r="L154" s="1" t="n">
        <f aca="false">AVERAGE($C$153:$C$182)</f>
        <v>9629.9</v>
      </c>
      <c r="M154" s="1" t="n">
        <f aca="false">AVERAGE($E$153:$E$182)</f>
        <v>404.536666666667</v>
      </c>
      <c r="N154" s="1" t="n">
        <f aca="false">AVERAGE($G$153:$G$182)</f>
        <v>6.93333333333333</v>
      </c>
      <c r="O154" s="1" t="n">
        <f aca="false">AVERAGE($I$153:$I$182)</f>
        <v>97.8333333333333</v>
      </c>
    </row>
    <row r="155" customFormat="false" ht="13.8" hidden="false" customHeight="false" outlineLevel="0" collapsed="false">
      <c r="A155" s="33" t="n">
        <v>154</v>
      </c>
      <c r="B155" s="32" t="n">
        <v>44350</v>
      </c>
      <c r="C155" s="33" t="n">
        <v>5627</v>
      </c>
      <c r="D155" s="33" t="n">
        <f aca="false">C154-C155</f>
        <v>2893</v>
      </c>
      <c r="E155" s="33" t="n">
        <v>232.3</v>
      </c>
      <c r="F155" s="33" t="n">
        <f aca="false">E154-E155</f>
        <v>118.9</v>
      </c>
      <c r="G155" s="33" t="n">
        <v>4.05</v>
      </c>
      <c r="H155" s="33" t="n">
        <f aca="false">G155-G154</f>
        <v>-2.08</v>
      </c>
      <c r="I155" s="33" t="n">
        <v>54</v>
      </c>
      <c r="J155" s="33" t="n">
        <f aca="false">I154-I155</f>
        <v>28</v>
      </c>
      <c r="K155" s="1" t="s">
        <v>10</v>
      </c>
      <c r="L155" s="1" t="n">
        <f aca="false">SQRT(VAR($C$153:$C$182)/COUNT($C$153:$C$182))</f>
        <v>1399.67800595166</v>
      </c>
      <c r="M155" s="1" t="n">
        <f aca="false">SQRT(VAR($E$153:$E$182)/COUNT($E$153:$E$182))</f>
        <v>59.683131193346</v>
      </c>
      <c r="N155" s="1" t="n">
        <f aca="false">SQRT(VAR($G$153:$G$182)/COUNT($G$153:$G$182))</f>
        <v>1.00782642335715</v>
      </c>
      <c r="O155" s="1" t="n">
        <f aca="false">SQRT(VAR($I$153:$I$182)/COUNT($I$153:$I$182))</f>
        <v>14.9593382462689</v>
      </c>
    </row>
    <row r="156" customFormat="false" ht="13.8" hidden="false" customHeight="false" outlineLevel="0" collapsed="false">
      <c r="A156" s="33" t="n">
        <v>155</v>
      </c>
      <c r="B156" s="32" t="n">
        <v>44351</v>
      </c>
      <c r="C156" s="33" t="n">
        <v>8586</v>
      </c>
      <c r="D156" s="33" t="n">
        <f aca="false">C155-C156</f>
        <v>-2959</v>
      </c>
      <c r="E156" s="33" t="n">
        <v>359.6</v>
      </c>
      <c r="F156" s="33" t="n">
        <f aca="false">E155-E156</f>
        <v>-127.3</v>
      </c>
      <c r="G156" s="33" t="n">
        <v>6.18</v>
      </c>
      <c r="H156" s="33" t="n">
        <f aca="false">G156-G155</f>
        <v>2.13</v>
      </c>
      <c r="I156" s="33" t="n">
        <v>86</v>
      </c>
      <c r="J156" s="33" t="n">
        <f aca="false">I155-I156</f>
        <v>-32</v>
      </c>
      <c r="K156" s="1" t="s">
        <v>14</v>
      </c>
      <c r="L156" s="1" t="e">
        <f aca="false">MODE($C$153:$C$182)</f>
        <v>#VALUE!</v>
      </c>
      <c r="M156" s="1" t="e">
        <f aca="false">MODE($E$153:$E$182)</f>
        <v>#VALUE!</v>
      </c>
      <c r="N156" s="1" t="n">
        <f aca="false">MODE($G$153:$G$182)</f>
        <v>5.33</v>
      </c>
      <c r="O156" s="1" t="n">
        <f aca="false">MODE($I$153:$I$182)</f>
        <v>56</v>
      </c>
    </row>
    <row r="157" customFormat="false" ht="13.8" hidden="false" customHeight="false" outlineLevel="0" collapsed="false">
      <c r="A157" s="33" t="n">
        <v>156</v>
      </c>
      <c r="B157" s="32" t="n">
        <v>44352</v>
      </c>
      <c r="C157" s="33" t="n">
        <v>28146</v>
      </c>
      <c r="D157" s="33" t="n">
        <f aca="false">C156-C157</f>
        <v>-19560</v>
      </c>
      <c r="E157" s="33" t="n">
        <v>1255</v>
      </c>
      <c r="F157" s="33" t="n">
        <f aca="false">E156-E157</f>
        <v>-895.4</v>
      </c>
      <c r="G157" s="33" t="n">
        <v>20.27</v>
      </c>
      <c r="H157" s="33" t="n">
        <f aca="false">G157-G156</f>
        <v>14.09</v>
      </c>
      <c r="I157" s="33" t="n">
        <v>331</v>
      </c>
      <c r="J157" s="33" t="n">
        <f aca="false">I156-I157</f>
        <v>-245</v>
      </c>
      <c r="K157" s="1" t="s">
        <v>12</v>
      </c>
      <c r="L157" s="1" t="n">
        <f aca="false">MEDIAN($C$153:$C$182)</f>
        <v>7404</v>
      </c>
      <c r="M157" s="1" t="n">
        <f aca="false">MEDIAN($E$153:$E$182)</f>
        <v>305</v>
      </c>
      <c r="N157" s="1" t="n">
        <f aca="false">MEDIAN($G$153:$G$182)</f>
        <v>5.33</v>
      </c>
      <c r="O157" s="1" t="n">
        <f aca="false">MEDIAN($I$153:$I$182)</f>
        <v>73</v>
      </c>
    </row>
    <row r="158" customFormat="false" ht="13.8" hidden="false" customHeight="false" outlineLevel="0" collapsed="false">
      <c r="A158" s="33" t="n">
        <v>157</v>
      </c>
      <c r="B158" s="32" t="n">
        <v>44353</v>
      </c>
      <c r="C158" s="33" t="n">
        <v>8054</v>
      </c>
      <c r="D158" s="33" t="n">
        <f aca="false">C157-C158</f>
        <v>20092</v>
      </c>
      <c r="E158" s="33" t="n">
        <v>343.6</v>
      </c>
      <c r="F158" s="33" t="n">
        <f aca="false">E157-E158</f>
        <v>911.4</v>
      </c>
      <c r="G158" s="33" t="n">
        <v>5.8</v>
      </c>
      <c r="H158" s="33" t="n">
        <f aca="false">G158-G157</f>
        <v>-14.47</v>
      </c>
      <c r="I158" s="33" t="n">
        <v>85</v>
      </c>
      <c r="J158" s="33" t="n">
        <f aca="false">I157-I158</f>
        <v>246</v>
      </c>
      <c r="K158" s="1" t="s">
        <v>195</v>
      </c>
      <c r="L158" s="1" t="n">
        <f aca="false">QUARTILE($C$153:$C$182, 1)</f>
        <v>6233.25</v>
      </c>
      <c r="M158" s="1" t="n">
        <f aca="false">QUARTILE($E$153:$E$182, 1)</f>
        <v>266.325</v>
      </c>
      <c r="N158" s="1" t="n">
        <f aca="false">QUARTILE($G$153:$G$182, 1)</f>
        <v>4.4875</v>
      </c>
      <c r="O158" s="1" t="n">
        <f aca="false">QUARTILE($I$153:$I$182, 1)</f>
        <v>63.75</v>
      </c>
    </row>
    <row r="159" customFormat="false" ht="13.8" hidden="false" customHeight="false" outlineLevel="0" collapsed="false">
      <c r="A159" s="33" t="n">
        <v>158</v>
      </c>
      <c r="B159" s="32" t="n">
        <v>44354</v>
      </c>
      <c r="C159" s="33" t="n">
        <v>6306</v>
      </c>
      <c r="D159" s="33" t="n">
        <f aca="false">C158-C159</f>
        <v>1748</v>
      </c>
      <c r="E159" s="33" t="n">
        <v>268.2</v>
      </c>
      <c r="F159" s="33" t="n">
        <f aca="false">E158-E159</f>
        <v>75.4</v>
      </c>
      <c r="G159" s="33" t="n">
        <v>4.54</v>
      </c>
      <c r="H159" s="33" t="n">
        <f aca="false">G159-G158</f>
        <v>-1.26</v>
      </c>
      <c r="I159" s="33" t="n">
        <v>66</v>
      </c>
      <c r="J159" s="33" t="n">
        <f aca="false">I158-I159</f>
        <v>19</v>
      </c>
      <c r="K159" s="1" t="s">
        <v>181</v>
      </c>
      <c r="L159" s="1" t="n">
        <f aca="false">QUARTILE($C$153:$C$182, 3)</f>
        <v>8569.5</v>
      </c>
      <c r="M159" s="1" t="n">
        <f aca="false">QUARTILE($E$153:$E$182, 3)</f>
        <v>359.325</v>
      </c>
      <c r="N159" s="1" t="n">
        <f aca="false">QUARTILE($G$153:$G$182, 3)</f>
        <v>6.1675</v>
      </c>
      <c r="O159" s="1" t="n">
        <f aca="false">QUARTILE($I$153:$I$182, 3)</f>
        <v>85.75</v>
      </c>
    </row>
    <row r="160" customFormat="false" ht="13.8" hidden="false" customHeight="false" outlineLevel="0" collapsed="false">
      <c r="A160" s="33" t="n">
        <v>159</v>
      </c>
      <c r="B160" s="32" t="n">
        <v>44355</v>
      </c>
      <c r="C160" s="33" t="n">
        <v>11476</v>
      </c>
      <c r="D160" s="33" t="n">
        <f aca="false">C159-C160</f>
        <v>-5170</v>
      </c>
      <c r="E160" s="33" t="n">
        <v>478</v>
      </c>
      <c r="F160" s="33" t="n">
        <f aca="false">E159-E160</f>
        <v>-209.8</v>
      </c>
      <c r="G160" s="33" t="n">
        <v>8.26</v>
      </c>
      <c r="H160" s="33" t="n">
        <f aca="false">G160-G159</f>
        <v>3.72</v>
      </c>
      <c r="I160" s="33" t="n">
        <v>115</v>
      </c>
      <c r="J160" s="33" t="n">
        <f aca="false">I159-I160</f>
        <v>-49</v>
      </c>
      <c r="K160" s="1" t="s">
        <v>182</v>
      </c>
      <c r="L160" s="1" t="n">
        <f aca="false">VAR($C$153:$C$182)</f>
        <v>58772955.6103448</v>
      </c>
      <c r="M160" s="1" t="n">
        <f aca="false">VAR($E$153:$E$182)</f>
        <v>106862.284471264</v>
      </c>
      <c r="N160" s="1" t="n">
        <f aca="false">VAR($G$153:$G$182)</f>
        <v>30.4714229885058</v>
      </c>
      <c r="O160" s="1" t="n">
        <f aca="false">VAR($I$153:$I$182)</f>
        <v>6713.45402298851</v>
      </c>
    </row>
    <row r="161" customFormat="false" ht="13.8" hidden="false" customHeight="false" outlineLevel="0" collapsed="false">
      <c r="A161" s="33" t="n">
        <v>160</v>
      </c>
      <c r="B161" s="32" t="n">
        <v>44356</v>
      </c>
      <c r="C161" s="33" t="n">
        <v>9564</v>
      </c>
      <c r="D161" s="33" t="n">
        <f aca="false">C160-C161</f>
        <v>1912</v>
      </c>
      <c r="E161" s="33" t="n">
        <v>395.5</v>
      </c>
      <c r="F161" s="33" t="n">
        <f aca="false">E160-E161</f>
        <v>82.5</v>
      </c>
      <c r="G161" s="33" t="n">
        <v>6.89</v>
      </c>
      <c r="H161" s="33" t="n">
        <f aca="false">G161-G160</f>
        <v>-1.37</v>
      </c>
      <c r="I161" s="33" t="n">
        <v>93</v>
      </c>
      <c r="J161" s="33" t="n">
        <f aca="false">I160-I161</f>
        <v>22</v>
      </c>
      <c r="K161" s="1" t="s">
        <v>16</v>
      </c>
      <c r="L161" s="1" t="n">
        <f aca="false">STDEV($C$153:$C$182)</f>
        <v>7666.35217103577</v>
      </c>
      <c r="M161" s="1" t="n">
        <f aca="false">STDEV($E$153:$E$182)</f>
        <v>326.897972571358</v>
      </c>
      <c r="N161" s="1" t="n">
        <f aca="false">STDEV($G$153:$G$182)</f>
        <v>5.52009266122461</v>
      </c>
      <c r="O161" s="1" t="n">
        <f aca="false">STDEV($I$153:$I$182)</f>
        <v>81.9356700283125</v>
      </c>
    </row>
    <row r="162" customFormat="false" ht="13.8" hidden="false" customHeight="false" outlineLevel="0" collapsed="false">
      <c r="A162" s="33" t="n">
        <v>161</v>
      </c>
      <c r="B162" s="32" t="n">
        <v>44357</v>
      </c>
      <c r="C162" s="33" t="n">
        <v>5555</v>
      </c>
      <c r="D162" s="33" t="n">
        <f aca="false">C161-C162</f>
        <v>4009</v>
      </c>
      <c r="E162" s="33" t="n">
        <v>233</v>
      </c>
      <c r="F162" s="33" t="n">
        <f aca="false">E161-E162</f>
        <v>162.5</v>
      </c>
      <c r="G162" s="33" t="n">
        <v>4</v>
      </c>
      <c r="H162" s="33" t="n">
        <f aca="false">G162-G161</f>
        <v>-2.89</v>
      </c>
      <c r="I162" s="33" t="n">
        <v>56</v>
      </c>
      <c r="J162" s="33" t="n">
        <f aca="false">I161-I162</f>
        <v>37</v>
      </c>
      <c r="K162" s="1" t="s">
        <v>20</v>
      </c>
      <c r="L162" s="1" t="n">
        <f aca="false">KURT($C$153:$C$182)</f>
        <v>10.1479292986354</v>
      </c>
      <c r="M162" s="1" t="n">
        <f aca="false">KURT($E$153:$E$182)</f>
        <v>9.67281272114539</v>
      </c>
      <c r="N162" s="1" t="n">
        <f aca="false">KURT($G$153:$G$182)</f>
        <v>10.1453012458667</v>
      </c>
      <c r="O162" s="1" t="n">
        <f aca="false">KURT($I$153:$I$182)</f>
        <v>9.25386170038706</v>
      </c>
    </row>
    <row r="163" customFormat="false" ht="13.8" hidden="false" customHeight="false" outlineLevel="0" collapsed="false">
      <c r="A163" s="33" t="n">
        <v>162</v>
      </c>
      <c r="B163" s="32" t="n">
        <v>44358</v>
      </c>
      <c r="C163" s="33" t="n">
        <v>8352</v>
      </c>
      <c r="D163" s="33" t="n">
        <f aca="false">C162-C163</f>
        <v>-2797</v>
      </c>
      <c r="E163" s="33" t="n">
        <v>358.5</v>
      </c>
      <c r="F163" s="33" t="n">
        <f aca="false">E162-E163</f>
        <v>-125.5</v>
      </c>
      <c r="G163" s="33" t="n">
        <v>6.01</v>
      </c>
      <c r="H163" s="33" t="n">
        <f aca="false">G163-G162</f>
        <v>2.01</v>
      </c>
      <c r="I163" s="33" t="n">
        <v>89</v>
      </c>
      <c r="J163" s="33" t="n">
        <f aca="false">I162-I163</f>
        <v>-33</v>
      </c>
      <c r="K163" s="1" t="s">
        <v>22</v>
      </c>
      <c r="L163" s="1" t="n">
        <f aca="false">SKEW($C$153:$C$182)</f>
        <v>3.14764728488677</v>
      </c>
      <c r="M163" s="1" t="n">
        <f aca="false">SKEW($E$153:$E$182)</f>
        <v>3.1075908229969</v>
      </c>
      <c r="N163" s="1" t="n">
        <f aca="false">SKEW($G$153:$G$182)</f>
        <v>3.14743352095021</v>
      </c>
      <c r="O163" s="1" t="n">
        <f aca="false">SKEW($I$153:$I$182)</f>
        <v>3.07926201742208</v>
      </c>
    </row>
    <row r="164" customFormat="false" ht="13.8" hidden="false" customHeight="false" outlineLevel="0" collapsed="false">
      <c r="A164" s="33" t="n">
        <v>163</v>
      </c>
      <c r="B164" s="32" t="n">
        <v>44359</v>
      </c>
      <c r="C164" s="33" t="n">
        <v>5692</v>
      </c>
      <c r="D164" s="33" t="n">
        <f aca="false">C163-C164</f>
        <v>2660</v>
      </c>
      <c r="E164" s="33" t="n">
        <v>234.9</v>
      </c>
      <c r="F164" s="33" t="n">
        <f aca="false">E163-E164</f>
        <v>123.6</v>
      </c>
      <c r="G164" s="33" t="n">
        <v>4.1</v>
      </c>
      <c r="H164" s="33" t="n">
        <f aca="false">G164-G163</f>
        <v>-1.91</v>
      </c>
      <c r="I164" s="33" t="n">
        <v>55</v>
      </c>
      <c r="J164" s="33" t="n">
        <f aca="false">I163-I164</f>
        <v>34</v>
      </c>
      <c r="K164" s="1" t="s">
        <v>24</v>
      </c>
      <c r="L164" s="1" t="n">
        <f aca="false">MAX($C$153:$C$182)-MIN($C$153:$C$182)</f>
        <v>35859</v>
      </c>
      <c r="M164" s="1" t="n">
        <f aca="false">MAX($E$153:$E$182)-MIN($E$153:$E$182)</f>
        <v>1494.7</v>
      </c>
      <c r="N164" s="1" t="n">
        <f aca="false">MAX($G$153:$G$182)-MIN($G$153:$G$182)</f>
        <v>25.82</v>
      </c>
      <c r="O164" s="1" t="n">
        <f aca="false">MAX($I$153:$I$182)-MIN($I$153:$I$182)</f>
        <v>366</v>
      </c>
    </row>
    <row r="165" customFormat="false" ht="13.8" hidden="false" customHeight="false" outlineLevel="0" collapsed="false">
      <c r="A165" s="33" t="n">
        <v>164</v>
      </c>
      <c r="B165" s="32" t="n">
        <v>44360</v>
      </c>
      <c r="C165" s="33" t="n">
        <v>40807</v>
      </c>
      <c r="D165" s="33" t="n">
        <f aca="false">C164-C165</f>
        <v>-35115</v>
      </c>
      <c r="E165" s="33" t="n">
        <v>1707</v>
      </c>
      <c r="F165" s="33" t="n">
        <f aca="false">E164-E165</f>
        <v>-1472.1</v>
      </c>
      <c r="G165" s="33" t="n">
        <v>29.38</v>
      </c>
      <c r="H165" s="33" t="n">
        <f aca="false">G165-G164</f>
        <v>25.28</v>
      </c>
      <c r="I165" s="33" t="n">
        <v>415</v>
      </c>
      <c r="J165" s="33" t="n">
        <f aca="false">I164-I165</f>
        <v>-360</v>
      </c>
      <c r="K165" s="1" t="s">
        <v>26</v>
      </c>
      <c r="L165" s="1" t="n">
        <f aca="false">MIN($C$153:$C$182)</f>
        <v>4948</v>
      </c>
      <c r="M165" s="1" t="n">
        <f aca="false">MIN($E$153:$E$182)</f>
        <v>212.3</v>
      </c>
      <c r="N165" s="1" t="n">
        <f aca="false">MIN($G$153:$G$182)</f>
        <v>3.56</v>
      </c>
      <c r="O165" s="1" t="n">
        <f aca="false">MIN($I$153:$I$182)</f>
        <v>49</v>
      </c>
    </row>
    <row r="166" customFormat="false" ht="13.8" hidden="false" customHeight="false" outlineLevel="0" collapsed="false">
      <c r="A166" s="33" t="n">
        <v>165</v>
      </c>
      <c r="B166" s="32" t="n">
        <v>44361</v>
      </c>
      <c r="C166" s="33" t="n">
        <v>5401</v>
      </c>
      <c r="D166" s="33" t="n">
        <f aca="false">C165-C166</f>
        <v>35406</v>
      </c>
      <c r="E166" s="33" t="n">
        <v>222.7</v>
      </c>
      <c r="F166" s="33" t="n">
        <f aca="false">E165-E166</f>
        <v>1484.3</v>
      </c>
      <c r="G166" s="33" t="n">
        <v>3.89</v>
      </c>
      <c r="H166" s="33" t="n">
        <f aca="false">G166-G165</f>
        <v>-25.49</v>
      </c>
      <c r="I166" s="33" t="n">
        <v>52</v>
      </c>
      <c r="J166" s="33" t="n">
        <f aca="false">I165-I166</f>
        <v>363</v>
      </c>
      <c r="K166" s="1" t="s">
        <v>28</v>
      </c>
      <c r="L166" s="1" t="n">
        <f aca="false">MAX($C$153:$C$182)</f>
        <v>40807</v>
      </c>
      <c r="M166" s="1" t="n">
        <f aca="false">MAX($E$153:$E$182)</f>
        <v>1707</v>
      </c>
      <c r="N166" s="1" t="n">
        <f aca="false">MAX($G$153:$G$182)</f>
        <v>29.38</v>
      </c>
      <c r="O166" s="1" t="n">
        <f aca="false">MAX($I$153:$I$182)</f>
        <v>415</v>
      </c>
    </row>
    <row r="167" customFormat="false" ht="13.8" hidden="false" customHeight="false" outlineLevel="0" collapsed="false">
      <c r="A167" s="33" t="n">
        <v>166</v>
      </c>
      <c r="B167" s="32" t="n">
        <v>44362</v>
      </c>
      <c r="C167" s="33" t="n">
        <v>8876</v>
      </c>
      <c r="D167" s="33" t="n">
        <f aca="false">C166-C167</f>
        <v>-3475</v>
      </c>
      <c r="E167" s="33" t="n">
        <v>380.1</v>
      </c>
      <c r="F167" s="33" t="n">
        <f aca="false">E166-E167</f>
        <v>-157.4</v>
      </c>
      <c r="G167" s="33" t="n">
        <v>6.39</v>
      </c>
      <c r="H167" s="33" t="n">
        <f aca="false">G167-G166</f>
        <v>2.5</v>
      </c>
      <c r="I167" s="33" t="n">
        <v>94</v>
      </c>
      <c r="J167" s="33" t="n">
        <f aca="false">I166-I167</f>
        <v>-42</v>
      </c>
      <c r="K167" s="1" t="s">
        <v>30</v>
      </c>
      <c r="L167" s="1" t="n">
        <f aca="false">SUM($C$153:$C$182)</f>
        <v>288897</v>
      </c>
      <c r="M167" s="1" t="n">
        <f aca="false">SUM($E$153:$E$182)</f>
        <v>12136.1</v>
      </c>
      <c r="N167" s="1" t="n">
        <f aca="false">SUM($G$153:$G$182)</f>
        <v>208</v>
      </c>
      <c r="O167" s="1" t="n">
        <f aca="false">SUM($I$153:$I$182)</f>
        <v>2935</v>
      </c>
    </row>
    <row r="168" customFormat="false" ht="13.8" hidden="false" customHeight="false" outlineLevel="0" collapsed="false">
      <c r="A168" s="33" t="n">
        <v>167</v>
      </c>
      <c r="B168" s="32" t="n">
        <v>44363</v>
      </c>
      <c r="C168" s="33" t="n">
        <v>7409</v>
      </c>
      <c r="D168" s="33" t="n">
        <f aca="false">C167-C168</f>
        <v>1467</v>
      </c>
      <c r="E168" s="33" t="n">
        <v>303.1</v>
      </c>
      <c r="F168" s="33" t="n">
        <f aca="false">E167-E168</f>
        <v>77</v>
      </c>
      <c r="G168" s="33" t="n">
        <v>5.33</v>
      </c>
      <c r="H168" s="33" t="n">
        <f aca="false">G168-G167</f>
        <v>-1.06</v>
      </c>
      <c r="I168" s="33" t="n">
        <v>70</v>
      </c>
      <c r="J168" s="33" t="n">
        <f aca="false">I167-I168</f>
        <v>24</v>
      </c>
      <c r="K168" s="1" t="s">
        <v>32</v>
      </c>
      <c r="L168" s="1" t="n">
        <f aca="false">COUNT($C$153:$C$182)</f>
        <v>30</v>
      </c>
      <c r="M168" s="1" t="n">
        <f aca="false">COUNT($E$153:$E$182)</f>
        <v>30</v>
      </c>
      <c r="N168" s="1" t="n">
        <f aca="false">COUNT($G$153:$G$182)</f>
        <v>30</v>
      </c>
      <c r="O168" s="1" t="n">
        <f aca="false">COUNT($I$153:$I$182)</f>
        <v>30</v>
      </c>
    </row>
    <row r="169" customFormat="false" ht="13.8" hidden="false" customHeight="false" outlineLevel="0" collapsed="false">
      <c r="A169" s="33" t="n">
        <v>168</v>
      </c>
      <c r="B169" s="32" t="n">
        <v>44364</v>
      </c>
      <c r="C169" s="33" t="n">
        <v>7474</v>
      </c>
      <c r="D169" s="33" t="n">
        <f aca="false">C168-C169</f>
        <v>-65</v>
      </c>
      <c r="E169" s="33" t="n">
        <v>303.3</v>
      </c>
      <c r="F169" s="33" t="n">
        <f aca="false">E168-E169</f>
        <v>-0.199999999999989</v>
      </c>
      <c r="G169" s="33" t="n">
        <v>5.38</v>
      </c>
      <c r="H169" s="33" t="n">
        <f aca="false">G169-G168</f>
        <v>0.0499999999999998</v>
      </c>
      <c r="I169" s="33" t="n">
        <v>69</v>
      </c>
      <c r="J169" s="33" t="n">
        <f aca="false">I168-I169</f>
        <v>1</v>
      </c>
    </row>
    <row r="170" customFormat="false" ht="13.8" hidden="false" customHeight="false" outlineLevel="0" collapsed="false">
      <c r="A170" s="33" t="n">
        <v>169</v>
      </c>
      <c r="B170" s="32" t="n">
        <v>44365</v>
      </c>
      <c r="C170" s="33" t="n">
        <v>6975</v>
      </c>
      <c r="D170" s="33" t="n">
        <f aca="false">C169-C170</f>
        <v>499</v>
      </c>
      <c r="E170" s="33" t="n">
        <v>290.7</v>
      </c>
      <c r="F170" s="33" t="n">
        <f aca="false">E169-E170</f>
        <v>12.6</v>
      </c>
      <c r="G170" s="33" t="n">
        <v>5.02</v>
      </c>
      <c r="H170" s="33" t="n">
        <f aca="false">G170-G169</f>
        <v>-0.36</v>
      </c>
      <c r="I170" s="33" t="n">
        <v>70</v>
      </c>
      <c r="J170" s="33" t="n">
        <f aca="false">I169-I170</f>
        <v>-1</v>
      </c>
    </row>
    <row r="171" customFormat="false" ht="13.8" hidden="false" customHeight="false" outlineLevel="0" collapsed="false">
      <c r="A171" s="33" t="n">
        <v>170</v>
      </c>
      <c r="B171" s="32" t="n">
        <v>44366</v>
      </c>
      <c r="C171" s="33" t="n">
        <v>6209</v>
      </c>
      <c r="D171" s="33" t="n">
        <f aca="false">C170-C171</f>
        <v>766</v>
      </c>
      <c r="E171" s="33" t="n">
        <v>265.7</v>
      </c>
      <c r="F171" s="33" t="n">
        <f aca="false">E170-E171</f>
        <v>25</v>
      </c>
      <c r="G171" s="33" t="n">
        <v>4.47</v>
      </c>
      <c r="H171" s="33" t="n">
        <f aca="false">G171-G170</f>
        <v>-0.55</v>
      </c>
      <c r="I171" s="33" t="n">
        <v>66</v>
      </c>
      <c r="J171" s="33" t="n">
        <f aca="false">I170-I171</f>
        <v>4</v>
      </c>
    </row>
    <row r="172" customFormat="false" ht="13.8" hidden="false" customHeight="false" outlineLevel="0" collapsed="false">
      <c r="A172" s="33" t="n">
        <v>171</v>
      </c>
      <c r="B172" s="32" t="n">
        <v>44367</v>
      </c>
      <c r="C172" s="33" t="n">
        <v>23111</v>
      </c>
      <c r="D172" s="33" t="n">
        <f aca="false">C171-C172</f>
        <v>-16902</v>
      </c>
      <c r="E172" s="33" t="n">
        <v>956.4</v>
      </c>
      <c r="F172" s="33" t="n">
        <f aca="false">E171-E172</f>
        <v>-690.7</v>
      </c>
      <c r="G172" s="33" t="n">
        <v>16.64</v>
      </c>
      <c r="H172" s="33" t="n">
        <f aca="false">G172-G171</f>
        <v>12.17</v>
      </c>
      <c r="I172" s="33" t="n">
        <v>226</v>
      </c>
      <c r="J172" s="33" t="n">
        <f aca="false">I171-I172</f>
        <v>-160</v>
      </c>
    </row>
    <row r="173" customFormat="false" ht="13.8" hidden="false" customHeight="false" outlineLevel="0" collapsed="false">
      <c r="A173" s="33" t="n">
        <v>172</v>
      </c>
      <c r="B173" s="32" t="n">
        <v>44368</v>
      </c>
      <c r="C173" s="33" t="n">
        <v>7237</v>
      </c>
      <c r="D173" s="33" t="n">
        <f aca="false">C172-C173</f>
        <v>15874</v>
      </c>
      <c r="E173" s="33" t="n">
        <v>302.8</v>
      </c>
      <c r="F173" s="33" t="n">
        <f aca="false">E172-E173</f>
        <v>653.6</v>
      </c>
      <c r="G173" s="33" t="n">
        <v>5.21</v>
      </c>
      <c r="H173" s="33" t="n">
        <f aca="false">G173-G172</f>
        <v>-11.43</v>
      </c>
      <c r="I173" s="33" t="n">
        <v>73</v>
      </c>
      <c r="J173" s="33" t="n">
        <f aca="false">I172-I173</f>
        <v>153</v>
      </c>
    </row>
    <row r="174" customFormat="false" ht="13.8" hidden="false" customHeight="false" outlineLevel="0" collapsed="false">
      <c r="A174" s="33" t="n">
        <v>173</v>
      </c>
      <c r="B174" s="32" t="n">
        <v>44369</v>
      </c>
      <c r="C174" s="33" t="n">
        <v>6051</v>
      </c>
      <c r="D174" s="33" t="n">
        <f aca="false">C173-C174</f>
        <v>1186</v>
      </c>
      <c r="E174" s="33" t="n">
        <v>246.7</v>
      </c>
      <c r="F174" s="33" t="n">
        <f aca="false">E173-E174</f>
        <v>56.1</v>
      </c>
      <c r="G174" s="33" t="n">
        <v>4.36</v>
      </c>
      <c r="H174" s="33" t="n">
        <f aca="false">G174-G173</f>
        <v>-0.85</v>
      </c>
      <c r="I174" s="33" t="n">
        <v>56</v>
      </c>
      <c r="J174" s="33" t="n">
        <f aca="false">I173-I174</f>
        <v>17</v>
      </c>
    </row>
    <row r="175" customFormat="false" ht="13.8" hidden="false" customHeight="false" outlineLevel="0" collapsed="false">
      <c r="A175" s="33" t="n">
        <v>174</v>
      </c>
      <c r="B175" s="32" t="n">
        <v>44370</v>
      </c>
      <c r="C175" s="33" t="n">
        <v>7636</v>
      </c>
      <c r="D175" s="33" t="n">
        <f aca="false">C174-C175</f>
        <v>-1585</v>
      </c>
      <c r="E175" s="33" t="n">
        <v>317.3</v>
      </c>
      <c r="F175" s="33" t="n">
        <f aca="false">E174-E175</f>
        <v>-70.6</v>
      </c>
      <c r="G175" s="33" t="n">
        <v>5.5</v>
      </c>
      <c r="H175" s="33" t="n">
        <f aca="false">G175-G174</f>
        <v>1.14</v>
      </c>
      <c r="I175" s="33" t="n">
        <v>76</v>
      </c>
      <c r="J175" s="33" t="n">
        <f aca="false">I174-I175</f>
        <v>-20</v>
      </c>
    </row>
    <row r="176" customFormat="false" ht="13.8" hidden="false" customHeight="false" outlineLevel="0" collapsed="false">
      <c r="A176" s="33" t="n">
        <v>175</v>
      </c>
      <c r="B176" s="32" t="n">
        <v>44371</v>
      </c>
      <c r="C176" s="33" t="n">
        <v>7378</v>
      </c>
      <c r="D176" s="33" t="n">
        <f aca="false">C175-C176</f>
        <v>258</v>
      </c>
      <c r="E176" s="33" t="n">
        <v>306.7</v>
      </c>
      <c r="F176" s="33" t="n">
        <f aca="false">E175-E176</f>
        <v>10.6</v>
      </c>
      <c r="G176" s="33" t="n">
        <v>5.31</v>
      </c>
      <c r="H176" s="33" t="n">
        <f aca="false">G176-G175</f>
        <v>-0.19</v>
      </c>
      <c r="I176" s="33" t="n">
        <v>73</v>
      </c>
      <c r="J176" s="33" t="n">
        <f aca="false">I175-I176</f>
        <v>3</v>
      </c>
    </row>
    <row r="177" customFormat="false" ht="13.8" hidden="false" customHeight="false" outlineLevel="0" collapsed="false">
      <c r="A177" s="33" t="n">
        <v>176</v>
      </c>
      <c r="B177" s="32" t="n">
        <v>44372</v>
      </c>
      <c r="C177" s="33" t="n">
        <v>6487</v>
      </c>
      <c r="D177" s="33" t="n">
        <f aca="false">C176-C177</f>
        <v>891</v>
      </c>
      <c r="E177" s="33" t="n">
        <v>268.3</v>
      </c>
      <c r="F177" s="33" t="n">
        <f aca="false">E176-E177</f>
        <v>38.4</v>
      </c>
      <c r="G177" s="33" t="n">
        <v>4.67</v>
      </c>
      <c r="H177" s="33" t="n">
        <f aca="false">G177-G176</f>
        <v>-0.64</v>
      </c>
      <c r="I177" s="33" t="n">
        <v>63</v>
      </c>
      <c r="J177" s="33" t="n">
        <f aca="false">I176-I177</f>
        <v>10</v>
      </c>
    </row>
    <row r="178" customFormat="false" ht="13.8" hidden="false" customHeight="false" outlineLevel="0" collapsed="false">
      <c r="A178" s="33" t="n">
        <v>177</v>
      </c>
      <c r="B178" s="32" t="n">
        <v>44373</v>
      </c>
      <c r="C178" s="33" t="n">
        <v>4948</v>
      </c>
      <c r="D178" s="33" t="n">
        <f aca="false">C177-C178</f>
        <v>1539</v>
      </c>
      <c r="E178" s="33" t="n">
        <v>223.4</v>
      </c>
      <c r="F178" s="33" t="n">
        <f aca="false">E177-E178</f>
        <v>44.9</v>
      </c>
      <c r="G178" s="33" t="n">
        <v>3.56</v>
      </c>
      <c r="H178" s="33" t="n">
        <f aca="false">G178-G177</f>
        <v>-1.11</v>
      </c>
      <c r="I178" s="33" t="n">
        <v>59</v>
      </c>
      <c r="J178" s="33" t="n">
        <f aca="false">I177-I178</f>
        <v>4</v>
      </c>
    </row>
    <row r="179" customFormat="false" ht="13.8" hidden="false" customHeight="false" outlineLevel="0" collapsed="false">
      <c r="A179" s="33" t="n">
        <v>178</v>
      </c>
      <c r="B179" s="32" t="n">
        <v>44374</v>
      </c>
      <c r="C179" s="33" t="n">
        <v>7399</v>
      </c>
      <c r="D179" s="33" t="n">
        <f aca="false">C178-C179</f>
        <v>-2451</v>
      </c>
      <c r="E179" s="33" t="n">
        <v>309.3</v>
      </c>
      <c r="F179" s="33" t="n">
        <f aca="false">E178-E179</f>
        <v>-85.9</v>
      </c>
      <c r="G179" s="33" t="n">
        <v>5.33</v>
      </c>
      <c r="H179" s="33" t="n">
        <f aca="false">G179-G178</f>
        <v>1.77</v>
      </c>
      <c r="I179" s="33" t="n">
        <v>74</v>
      </c>
      <c r="J179" s="33" t="n">
        <f aca="false">I178-I179</f>
        <v>-15</v>
      </c>
    </row>
    <row r="180" customFormat="false" ht="13.8" hidden="false" customHeight="false" outlineLevel="0" collapsed="false">
      <c r="A180" s="33" t="n">
        <v>179</v>
      </c>
      <c r="B180" s="32" t="n">
        <v>44375</v>
      </c>
      <c r="C180" s="33" t="n">
        <v>8410</v>
      </c>
      <c r="D180" s="33" t="n">
        <f aca="false">C179-C180</f>
        <v>-1011</v>
      </c>
      <c r="E180" s="33" t="n">
        <v>350.2</v>
      </c>
      <c r="F180" s="33" t="n">
        <f aca="false">E179-E180</f>
        <v>-40.9</v>
      </c>
      <c r="G180" s="33" t="n">
        <v>6.06</v>
      </c>
      <c r="H180" s="33" t="n">
        <f aca="false">G180-G179</f>
        <v>0.73</v>
      </c>
      <c r="I180" s="33" t="n">
        <v>84</v>
      </c>
      <c r="J180" s="33" t="n">
        <f aca="false">I179-I180</f>
        <v>-10</v>
      </c>
    </row>
    <row r="181" customFormat="false" ht="13.8" hidden="false" customHeight="false" outlineLevel="0" collapsed="false">
      <c r="A181" s="33" t="n">
        <v>180</v>
      </c>
      <c r="B181" s="32" t="n">
        <v>44376</v>
      </c>
      <c r="C181" s="33" t="n">
        <v>8750</v>
      </c>
      <c r="D181" s="33" t="n">
        <f aca="false">C180-C181</f>
        <v>-340</v>
      </c>
      <c r="E181" s="33" t="n">
        <v>360.4</v>
      </c>
      <c r="F181" s="33" t="n">
        <f aca="false">E180-E181</f>
        <v>-10.2</v>
      </c>
      <c r="G181" s="33" t="n">
        <v>6.3</v>
      </c>
      <c r="H181" s="33" t="n">
        <f aca="false">G181-G180</f>
        <v>0.24</v>
      </c>
      <c r="I181" s="33" t="n">
        <v>85</v>
      </c>
      <c r="J181" s="33" t="n">
        <f aca="false">I180-I181</f>
        <v>-1</v>
      </c>
    </row>
    <row r="182" customFormat="false" ht="13.8" hidden="false" customHeight="false" outlineLevel="0" collapsed="false">
      <c r="A182" s="33" t="n">
        <v>181</v>
      </c>
      <c r="B182" s="32" t="n">
        <v>44377</v>
      </c>
      <c r="C182" s="33" t="n">
        <v>7296</v>
      </c>
      <c r="D182" s="33" t="n">
        <f aca="false">C181-C182</f>
        <v>1454</v>
      </c>
      <c r="E182" s="33" t="n">
        <v>299.9</v>
      </c>
      <c r="F182" s="33" t="n">
        <f aca="false">E181-E182</f>
        <v>60.5</v>
      </c>
      <c r="G182" s="33" t="n">
        <v>5.25</v>
      </c>
      <c r="H182" s="33" t="n">
        <f aca="false">G182-G181</f>
        <v>-1.05</v>
      </c>
      <c r="I182" s="33" t="n">
        <v>69</v>
      </c>
      <c r="J182" s="33" t="n">
        <f aca="false">I181-I182</f>
        <v>16</v>
      </c>
    </row>
    <row r="183" customFormat="false" ht="13.8" hidden="false" customHeight="false" outlineLevel="0" collapsed="false">
      <c r="A183" s="33" t="n">
        <v>182</v>
      </c>
      <c r="B183" s="32" t="n">
        <v>44378</v>
      </c>
      <c r="C183" s="33"/>
      <c r="D183" s="33" t="n">
        <f aca="false">C182-C183</f>
        <v>7296</v>
      </c>
      <c r="E183" s="33"/>
      <c r="F183" s="33" t="n">
        <f aca="false">E182-E183</f>
        <v>299.9</v>
      </c>
      <c r="G183" s="33"/>
      <c r="H183" s="33" t="n">
        <f aca="false">G183-G182</f>
        <v>-5.25</v>
      </c>
      <c r="I183" s="33"/>
      <c r="J183" s="33" t="n">
        <f aca="false">I182-I183</f>
        <v>69</v>
      </c>
      <c r="L183" s="1" t="s">
        <v>2</v>
      </c>
      <c r="M183" s="1" t="s">
        <v>179</v>
      </c>
      <c r="N183" s="1" t="s">
        <v>175</v>
      </c>
      <c r="O183" s="1" t="s">
        <v>177</v>
      </c>
    </row>
    <row r="184" customFormat="false" ht="13.8" hidden="false" customHeight="false" outlineLevel="0" collapsed="false">
      <c r="A184" s="33" t="n">
        <v>183</v>
      </c>
      <c r="B184" s="32" t="n">
        <v>44379</v>
      </c>
      <c r="C184" s="33"/>
      <c r="D184" s="33" t="n">
        <f aca="false">C183-C184</f>
        <v>0</v>
      </c>
      <c r="E184" s="33"/>
      <c r="F184" s="33" t="n">
        <f aca="false">E183-E184</f>
        <v>0</v>
      </c>
      <c r="G184" s="33"/>
      <c r="H184" s="33" t="n">
        <f aca="false">G184-G183</f>
        <v>0</v>
      </c>
      <c r="I184" s="33"/>
      <c r="J184" s="33" t="n">
        <f aca="false">I183-I184</f>
        <v>0</v>
      </c>
      <c r="K184" s="1" t="s">
        <v>8</v>
      </c>
      <c r="L184" s="1" t="n">
        <f aca="false">AVERAGE($C$183:$C$213)</f>
        <v>8890.26923076923</v>
      </c>
      <c r="M184" s="1" t="n">
        <f aca="false">AVERAGE($E$183:$E$213)</f>
        <v>384.796153846154</v>
      </c>
      <c r="N184" s="1" t="n">
        <f aca="false">AVERAGE($G$183:$G$213)</f>
        <v>6.40076923076923</v>
      </c>
      <c r="O184" s="1" t="n">
        <f aca="false">AVERAGE($I$183:$I$213)</f>
        <v>83.5</v>
      </c>
    </row>
    <row r="185" customFormat="false" ht="13.8" hidden="false" customHeight="false" outlineLevel="0" collapsed="false">
      <c r="A185" s="33" t="n">
        <v>184</v>
      </c>
      <c r="B185" s="32" t="n">
        <v>44380</v>
      </c>
      <c r="C185" s="33"/>
      <c r="D185" s="33" t="n">
        <f aca="false">C184-C185</f>
        <v>0</v>
      </c>
      <c r="E185" s="33"/>
      <c r="F185" s="33" t="n">
        <f aca="false">E184-E185</f>
        <v>0</v>
      </c>
      <c r="G185" s="33"/>
      <c r="H185" s="33" t="n">
        <f aca="false">G185-G184</f>
        <v>0</v>
      </c>
      <c r="I185" s="33"/>
      <c r="J185" s="33" t="n">
        <f aca="false">I184-I185</f>
        <v>0</v>
      </c>
      <c r="K185" s="1" t="s">
        <v>10</v>
      </c>
      <c r="L185" s="1" t="n">
        <f aca="false">SQRT(VAR($C$183:$C$213)/COUNT($C$183:$C$213))</f>
        <v>1276.7699986326</v>
      </c>
      <c r="M185" s="1" t="n">
        <f aca="false">SQRT(VAR($E$183:$E$213)/COUNT($E$183:$E$213))</f>
        <v>55.8453439917969</v>
      </c>
      <c r="N185" s="1" t="n">
        <f aca="false">SQRT(VAR($G$183:$G$213)/COUNT($G$183:$G$213))</f>
        <v>0.918972657679286</v>
      </c>
      <c r="O185" s="1" t="n">
        <f aca="false">SQRT(VAR($I$183:$I$213)/COUNT($I$183:$I$213))</f>
        <v>12.5875701816086</v>
      </c>
    </row>
    <row r="186" customFormat="false" ht="13.8" hidden="false" customHeight="false" outlineLevel="0" collapsed="false">
      <c r="A186" s="33" t="n">
        <v>185</v>
      </c>
      <c r="B186" s="32" t="n">
        <v>44381</v>
      </c>
      <c r="C186" s="33"/>
      <c r="D186" s="33" t="n">
        <f aca="false">C185-C186</f>
        <v>0</v>
      </c>
      <c r="E186" s="33"/>
      <c r="F186" s="33" t="n">
        <f aca="false">E185-E186</f>
        <v>0</v>
      </c>
      <c r="G186" s="33"/>
      <c r="H186" s="33" t="n">
        <f aca="false">G186-G185</f>
        <v>0</v>
      </c>
      <c r="I186" s="33"/>
      <c r="J186" s="33" t="n">
        <f aca="false">I185-I186</f>
        <v>0</v>
      </c>
      <c r="K186" s="1" t="s">
        <v>14</v>
      </c>
      <c r="L186" s="1" t="e">
        <f aca="false">MODE($C$183:$C$213)</f>
        <v>#VALUE!</v>
      </c>
      <c r="M186" s="1" t="e">
        <f aca="false">MODE($E$183:$E$213)</f>
        <v>#VALUE!</v>
      </c>
      <c r="N186" s="1" t="e">
        <f aca="false">MODE($G$183:$G$213)</f>
        <v>#VALUE!</v>
      </c>
      <c r="O186" s="1" t="n">
        <f aca="false">MODE($I$183:$I$213)</f>
        <v>44</v>
      </c>
    </row>
    <row r="187" customFormat="false" ht="13.8" hidden="false" customHeight="false" outlineLevel="0" collapsed="false">
      <c r="A187" s="33" t="n">
        <v>186</v>
      </c>
      <c r="B187" s="32" t="n">
        <v>44382</v>
      </c>
      <c r="C187" s="33"/>
      <c r="D187" s="33" t="n">
        <f aca="false">C186-C187</f>
        <v>0</v>
      </c>
      <c r="E187" s="33"/>
      <c r="F187" s="33" t="n">
        <f aca="false">E186-E187</f>
        <v>0</v>
      </c>
      <c r="G187" s="33"/>
      <c r="H187" s="33" t="n">
        <f aca="false">G187-G186</f>
        <v>0</v>
      </c>
      <c r="I187" s="33"/>
      <c r="J187" s="33" t="n">
        <f aca="false">I186-I187</f>
        <v>0</v>
      </c>
      <c r="K187" s="1" t="s">
        <v>12</v>
      </c>
      <c r="L187" s="1" t="n">
        <f aca="false">MEDIAN($C$183:$C$213)</f>
        <v>7873</v>
      </c>
      <c r="M187" s="1" t="n">
        <f aca="false">MEDIAN($E$183:$E$213)</f>
        <v>343.6</v>
      </c>
      <c r="N187" s="1" t="n">
        <f aca="false">MEDIAN($G$183:$G$213)</f>
        <v>5.67</v>
      </c>
      <c r="O187" s="1" t="n">
        <f aca="false">MEDIAN($I$183:$I$213)</f>
        <v>74</v>
      </c>
    </row>
    <row r="188" customFormat="false" ht="13.8" hidden="false" customHeight="false" outlineLevel="0" collapsed="false">
      <c r="A188" s="33" t="n">
        <v>187</v>
      </c>
      <c r="B188" s="32" t="n">
        <v>44383</v>
      </c>
      <c r="C188" s="33" t="n">
        <v>49</v>
      </c>
      <c r="D188" s="33" t="n">
        <f aca="false">C187-C188</f>
        <v>-49</v>
      </c>
      <c r="E188" s="33" t="n">
        <v>2.2</v>
      </c>
      <c r="F188" s="33" t="n">
        <f aca="false">E187-E188</f>
        <v>-2.2</v>
      </c>
      <c r="G188" s="33" t="n">
        <v>0.04</v>
      </c>
      <c r="H188" s="33" t="n">
        <f aca="false">G188-G187</f>
        <v>0.04</v>
      </c>
      <c r="I188" s="33" t="n">
        <v>0</v>
      </c>
      <c r="J188" s="33" t="n">
        <f aca="false">I187-I188</f>
        <v>0</v>
      </c>
      <c r="K188" s="1" t="s">
        <v>195</v>
      </c>
      <c r="L188" s="1" t="n">
        <f aca="false">QUARTILE($C$183:$C$213, 1)</f>
        <v>4998.75</v>
      </c>
      <c r="M188" s="1" t="n">
        <f aca="false">QUARTILE($E$183:$E$213, 1)</f>
        <v>215.575</v>
      </c>
      <c r="N188" s="1" t="n">
        <f aca="false">QUARTILE($G$183:$G$213, 1)</f>
        <v>3.6025</v>
      </c>
      <c r="O188" s="1" t="n">
        <f aca="false">QUARTILE($I$183:$I$213, 1)</f>
        <v>47.25</v>
      </c>
    </row>
    <row r="189" customFormat="false" ht="13.8" hidden="false" customHeight="false" outlineLevel="0" collapsed="false">
      <c r="A189" s="33" t="n">
        <v>188</v>
      </c>
      <c r="B189" s="32" t="n">
        <v>44384</v>
      </c>
      <c r="C189" s="33" t="n">
        <v>15145</v>
      </c>
      <c r="D189" s="33" t="n">
        <f aca="false">C188-C189</f>
        <v>-15096</v>
      </c>
      <c r="E189" s="33" t="n">
        <v>653.4</v>
      </c>
      <c r="F189" s="33" t="n">
        <f aca="false">E188-E189</f>
        <v>-651.2</v>
      </c>
      <c r="G189" s="33" t="n">
        <v>10.9</v>
      </c>
      <c r="H189" s="33" t="n">
        <f aca="false">G189-G188</f>
        <v>10.86</v>
      </c>
      <c r="I189" s="33" t="n">
        <v>142</v>
      </c>
      <c r="J189" s="33" t="n">
        <f aca="false">I188-I189</f>
        <v>-142</v>
      </c>
      <c r="K189" s="1" t="s">
        <v>181</v>
      </c>
      <c r="L189" s="1" t="n">
        <f aca="false">QUARTILE($C$183:$C$213, 3)</f>
        <v>9727.25</v>
      </c>
      <c r="M189" s="1" t="n">
        <f aca="false">QUARTILE($E$183:$E$213, 3)</f>
        <v>417.15</v>
      </c>
      <c r="N189" s="1" t="n">
        <f aca="false">QUARTILE($G$183:$G$213, 3)</f>
        <v>7.005</v>
      </c>
      <c r="O189" s="1" t="n">
        <f aca="false">QUARTILE($I$183:$I$213, 3)</f>
        <v>89.5</v>
      </c>
    </row>
    <row r="190" customFormat="false" ht="13.8" hidden="false" customHeight="false" outlineLevel="0" collapsed="false">
      <c r="A190" s="33" t="n">
        <v>189</v>
      </c>
      <c r="B190" s="32" t="n">
        <v>44385</v>
      </c>
      <c r="C190" s="33" t="n">
        <v>11491</v>
      </c>
      <c r="D190" s="33" t="n">
        <f aca="false">C189-C190</f>
        <v>3654</v>
      </c>
      <c r="E190" s="33" t="n">
        <v>491.6</v>
      </c>
      <c r="F190" s="33" t="n">
        <f aca="false">E189-E190</f>
        <v>161.8</v>
      </c>
      <c r="G190" s="33" t="n">
        <v>8.27</v>
      </c>
      <c r="H190" s="33" t="n">
        <f aca="false">G190-G189</f>
        <v>-2.63</v>
      </c>
      <c r="I190" s="33" t="n">
        <v>104</v>
      </c>
      <c r="J190" s="33" t="n">
        <f aca="false">I189-I190</f>
        <v>38</v>
      </c>
      <c r="K190" s="1" t="s">
        <v>182</v>
      </c>
      <c r="L190" s="1" t="n">
        <f aca="false">VAR($C$183:$C$213)</f>
        <v>42383682.3646154</v>
      </c>
      <c r="M190" s="1" t="n">
        <f aca="false">VAR($E$183:$E$213)</f>
        <v>81086.2635846154</v>
      </c>
      <c r="N190" s="1" t="n">
        <f aca="false">VAR($G$183:$G$213)</f>
        <v>21.9572793846154</v>
      </c>
      <c r="O190" s="1" t="n">
        <f aca="false">VAR($I$183:$I$213)</f>
        <v>4119.62</v>
      </c>
    </row>
    <row r="191" customFormat="false" ht="13.8" hidden="false" customHeight="false" outlineLevel="0" collapsed="false">
      <c r="A191" s="33" t="n">
        <v>190</v>
      </c>
      <c r="B191" s="32" t="n">
        <v>44386</v>
      </c>
      <c r="C191" s="33" t="n">
        <v>7589</v>
      </c>
      <c r="D191" s="33" t="n">
        <f aca="false">C190-C191</f>
        <v>3902</v>
      </c>
      <c r="E191" s="33" t="n">
        <v>328.4</v>
      </c>
      <c r="F191" s="33" t="n">
        <f aca="false">E190-E191</f>
        <v>163.2</v>
      </c>
      <c r="G191" s="33" t="n">
        <v>5.46</v>
      </c>
      <c r="H191" s="33" t="n">
        <f aca="false">G191-G190</f>
        <v>-2.81</v>
      </c>
      <c r="I191" s="33" t="n">
        <v>71</v>
      </c>
      <c r="J191" s="33" t="n">
        <f aca="false">I190-I191</f>
        <v>33</v>
      </c>
      <c r="K191" s="1" t="s">
        <v>16</v>
      </c>
      <c r="L191" s="1" t="n">
        <f aca="false">STDEV($C$183:$C$213)</f>
        <v>6510.27513739745</v>
      </c>
      <c r="M191" s="1" t="n">
        <f aca="false">STDEV($E$183:$E$213)</f>
        <v>284.756498757474</v>
      </c>
      <c r="N191" s="1" t="n">
        <f aca="false">STDEV($G$183:$G$213)</f>
        <v>4.6858595139649</v>
      </c>
      <c r="O191" s="1" t="n">
        <f aca="false">STDEV($I$183:$I$213)</f>
        <v>64.1842659847412</v>
      </c>
    </row>
    <row r="192" customFormat="false" ht="13.8" hidden="false" customHeight="false" outlineLevel="0" collapsed="false">
      <c r="A192" s="33" t="n">
        <v>191</v>
      </c>
      <c r="B192" s="32" t="n">
        <v>44387</v>
      </c>
      <c r="C192" s="33" t="n">
        <v>2464</v>
      </c>
      <c r="D192" s="33" t="n">
        <f aca="false">C191-C192</f>
        <v>5125</v>
      </c>
      <c r="E192" s="33" t="n">
        <v>109.5</v>
      </c>
      <c r="F192" s="33" t="n">
        <f aca="false">E191-E192</f>
        <v>218.9</v>
      </c>
      <c r="G192" s="33" t="n">
        <v>1.77</v>
      </c>
      <c r="H192" s="33" t="n">
        <f aca="false">G192-G191</f>
        <v>-3.69</v>
      </c>
      <c r="I192" s="33" t="n">
        <v>25</v>
      </c>
      <c r="J192" s="33" t="n">
        <f aca="false">I191-I192</f>
        <v>46</v>
      </c>
      <c r="K192" s="1" t="s">
        <v>20</v>
      </c>
      <c r="L192" s="1" t="n">
        <f aca="false">KURT($C$183:$C$213)</f>
        <v>7.32083553643412</v>
      </c>
      <c r="M192" s="1" t="n">
        <f aca="false">KURT($E$183:$E$213)</f>
        <v>7.53448430361192</v>
      </c>
      <c r="N192" s="1" t="n">
        <f aca="false">KURT($G$183:$G$213)</f>
        <v>7.32303279797066</v>
      </c>
      <c r="O192" s="1" t="n">
        <f aca="false">KURT($I$183:$I$213)</f>
        <v>7.99032210383229</v>
      </c>
    </row>
    <row r="193" customFormat="false" ht="13.8" hidden="false" customHeight="false" outlineLevel="0" collapsed="false">
      <c r="A193" s="33" t="n">
        <v>192</v>
      </c>
      <c r="B193" s="32" t="n">
        <v>44388</v>
      </c>
      <c r="C193" s="33" t="n">
        <v>4473</v>
      </c>
      <c r="D193" s="33" t="n">
        <f aca="false">C192-C193</f>
        <v>-2009</v>
      </c>
      <c r="E193" s="33" t="n">
        <v>195.6</v>
      </c>
      <c r="F193" s="33" t="n">
        <f aca="false">E192-E193</f>
        <v>-86.1</v>
      </c>
      <c r="G193" s="33" t="n">
        <v>3.22</v>
      </c>
      <c r="H193" s="33" t="n">
        <f aca="false">G193-G192</f>
        <v>1.45</v>
      </c>
      <c r="I193" s="33" t="n">
        <v>44</v>
      </c>
      <c r="J193" s="33" t="n">
        <f aca="false">I192-I193</f>
        <v>-19</v>
      </c>
      <c r="K193" s="1" t="s">
        <v>22</v>
      </c>
      <c r="L193" s="1" t="n">
        <f aca="false">SKEW($C$183:$C$213)</f>
        <v>2.29031802102154</v>
      </c>
      <c r="M193" s="1" t="n">
        <f aca="false">SKEW($E$183:$E$213)</f>
        <v>2.34110835642807</v>
      </c>
      <c r="N193" s="1" t="n">
        <f aca="false">SKEW($G$183:$G$213)</f>
        <v>2.29076235515281</v>
      </c>
      <c r="O193" s="1" t="n">
        <f aca="false">SKEW($I$183:$I$213)</f>
        <v>2.45947819424595</v>
      </c>
    </row>
    <row r="194" customFormat="false" ht="13.8" hidden="false" customHeight="false" outlineLevel="0" collapsed="false">
      <c r="A194" s="33" t="n">
        <v>193</v>
      </c>
      <c r="B194" s="32" t="n">
        <v>44389</v>
      </c>
      <c r="C194" s="33" t="n">
        <v>9665</v>
      </c>
      <c r="D194" s="33" t="n">
        <f aca="false">C193-C194</f>
        <v>-5192</v>
      </c>
      <c r="E194" s="33" t="n">
        <v>417.2</v>
      </c>
      <c r="F194" s="33" t="n">
        <f aca="false">E193-E194</f>
        <v>-221.6</v>
      </c>
      <c r="G194" s="33" t="n">
        <v>6.96</v>
      </c>
      <c r="H194" s="33" t="n">
        <f aca="false">G194-G193</f>
        <v>3.74</v>
      </c>
      <c r="I194" s="33" t="n">
        <v>90</v>
      </c>
      <c r="J194" s="33" t="n">
        <f aca="false">I193-I194</f>
        <v>-46</v>
      </c>
      <c r="K194" s="1" t="s">
        <v>24</v>
      </c>
      <c r="L194" s="1" t="n">
        <f aca="false">MAX($C$183:$C$213)-MIN($C$183:$C$213)</f>
        <v>33166</v>
      </c>
      <c r="M194" s="1" t="n">
        <f aca="false">MAX($E$183:$E$213)-MIN($E$183:$E$213)</f>
        <v>1452</v>
      </c>
      <c r="N194" s="1" t="n">
        <f aca="false">MAX($G$183:$G$213)-MIN($G$183:$G$213)</f>
        <v>23.87</v>
      </c>
      <c r="O194" s="1" t="n">
        <f aca="false">MAX($I$183:$I$213)-MIN($I$183:$I$213)</f>
        <v>327</v>
      </c>
    </row>
    <row r="195" customFormat="false" ht="13.8" hidden="false" customHeight="false" outlineLevel="0" collapsed="false">
      <c r="A195" s="33" t="n">
        <v>194</v>
      </c>
      <c r="B195" s="32" t="n">
        <v>44390</v>
      </c>
      <c r="C195" s="33" t="n">
        <v>14666</v>
      </c>
      <c r="D195" s="33" t="n">
        <f aca="false">C194-C195</f>
        <v>-5001</v>
      </c>
      <c r="E195" s="33" t="n">
        <v>632.3</v>
      </c>
      <c r="F195" s="33" t="n">
        <f aca="false">E194-E195</f>
        <v>-215.1</v>
      </c>
      <c r="G195" s="33" t="n">
        <v>10.56</v>
      </c>
      <c r="H195" s="33" t="n">
        <f aca="false">G195-G194</f>
        <v>3.6</v>
      </c>
      <c r="I195" s="33" t="n">
        <v>137</v>
      </c>
      <c r="J195" s="33" t="n">
        <f aca="false">I194-I195</f>
        <v>-47</v>
      </c>
      <c r="K195" s="1" t="s">
        <v>26</v>
      </c>
      <c r="L195" s="1" t="n">
        <f aca="false">MIN($C$183:$C$213)</f>
        <v>49</v>
      </c>
      <c r="M195" s="1" t="n">
        <f aca="false">MIN($E$183:$E$213)</f>
        <v>2.2</v>
      </c>
      <c r="N195" s="1" t="n">
        <f aca="false">MIN($G$183:$G$213)</f>
        <v>0.04</v>
      </c>
      <c r="O195" s="1" t="n">
        <f aca="false">MIN($I$183:$I$213)</f>
        <v>0</v>
      </c>
    </row>
    <row r="196" customFormat="false" ht="13.8" hidden="false" customHeight="false" outlineLevel="0" collapsed="false">
      <c r="A196" s="33" t="n">
        <v>195</v>
      </c>
      <c r="B196" s="32" t="n">
        <v>44391</v>
      </c>
      <c r="C196" s="33" t="n">
        <v>9748</v>
      </c>
      <c r="D196" s="33" t="n">
        <f aca="false">C195-C196</f>
        <v>4918</v>
      </c>
      <c r="E196" s="33" t="n">
        <v>417</v>
      </c>
      <c r="F196" s="33" t="n">
        <f aca="false">E195-E196</f>
        <v>215.3</v>
      </c>
      <c r="G196" s="33" t="n">
        <v>7.02</v>
      </c>
      <c r="H196" s="33" t="n">
        <f aca="false">G196-G195</f>
        <v>-3.54</v>
      </c>
      <c r="I196" s="33" t="n">
        <v>88</v>
      </c>
      <c r="J196" s="33" t="n">
        <f aca="false">I195-I196</f>
        <v>49</v>
      </c>
      <c r="K196" s="1" t="s">
        <v>28</v>
      </c>
      <c r="L196" s="1" t="n">
        <f aca="false">MAX($C$183:$C$213)</f>
        <v>33215</v>
      </c>
      <c r="M196" s="1" t="n">
        <f aca="false">MAX($E$183:$E$213)</f>
        <v>1454.2</v>
      </c>
      <c r="N196" s="1" t="n">
        <f aca="false">MAX($G$183:$G$213)</f>
        <v>23.91</v>
      </c>
      <c r="O196" s="1" t="n">
        <f aca="false">MAX($I$183:$I$213)</f>
        <v>327</v>
      </c>
    </row>
    <row r="197" customFormat="false" ht="13.8" hidden="false" customHeight="false" outlineLevel="0" collapsed="false">
      <c r="A197" s="33" t="n">
        <v>196</v>
      </c>
      <c r="B197" s="32" t="n">
        <v>44392</v>
      </c>
      <c r="C197" s="33" t="n">
        <v>6303</v>
      </c>
      <c r="D197" s="33" t="n">
        <f aca="false">C196-C197</f>
        <v>3445</v>
      </c>
      <c r="E197" s="33" t="n">
        <v>270.4</v>
      </c>
      <c r="F197" s="33" t="n">
        <f aca="false">E196-E197</f>
        <v>146.6</v>
      </c>
      <c r="G197" s="33" t="n">
        <v>4.54</v>
      </c>
      <c r="H197" s="33" t="n">
        <f aca="false">G197-G196</f>
        <v>-2.48</v>
      </c>
      <c r="I197" s="33" t="n">
        <v>57</v>
      </c>
      <c r="J197" s="33" t="n">
        <f aca="false">I196-I197</f>
        <v>31</v>
      </c>
      <c r="K197" s="1" t="s">
        <v>30</v>
      </c>
      <c r="L197" s="1" t="n">
        <f aca="false">SUM($C$183:$C$213)</f>
        <v>231147</v>
      </c>
      <c r="M197" s="1" t="n">
        <f aca="false">SUM($E$183:$E$213)</f>
        <v>10004.7</v>
      </c>
      <c r="N197" s="1" t="n">
        <f aca="false">SUM($G$183:$G$213)</f>
        <v>166.42</v>
      </c>
      <c r="O197" s="1" t="n">
        <f aca="false">SUM($I$183:$I$213)</f>
        <v>2171</v>
      </c>
    </row>
    <row r="198" customFormat="false" ht="13.8" hidden="false" customHeight="false" outlineLevel="0" collapsed="false">
      <c r="A198" s="33" t="n">
        <v>197</v>
      </c>
      <c r="B198" s="32" t="n">
        <v>44393</v>
      </c>
      <c r="C198" s="33" t="n">
        <v>8367</v>
      </c>
      <c r="D198" s="33" t="n">
        <f aca="false">C197-C198</f>
        <v>-2064</v>
      </c>
      <c r="E198" s="33" t="n">
        <v>360</v>
      </c>
      <c r="F198" s="33" t="n">
        <f aca="false">E197-E198</f>
        <v>-89.6</v>
      </c>
      <c r="G198" s="33" t="n">
        <v>6.02</v>
      </c>
      <c r="H198" s="33" t="n">
        <f aca="false">G198-G197</f>
        <v>1.48</v>
      </c>
      <c r="I198" s="33" t="n">
        <v>77</v>
      </c>
      <c r="J198" s="33" t="n">
        <f aca="false">I197-I198</f>
        <v>-20</v>
      </c>
      <c r="K198" s="1" t="s">
        <v>32</v>
      </c>
      <c r="L198" s="1" t="n">
        <f aca="false">COUNT($C$183:$C$213)</f>
        <v>26</v>
      </c>
      <c r="M198" s="1" t="n">
        <f aca="false">COUNT($E$183:$E$213)</f>
        <v>26</v>
      </c>
      <c r="N198" s="1" t="n">
        <f aca="false">COUNT($G$183:$G$213)</f>
        <v>26</v>
      </c>
      <c r="O198" s="1" t="n">
        <f aca="false">COUNT($I$183:$I$213)</f>
        <v>26</v>
      </c>
    </row>
    <row r="199" customFormat="false" ht="13.8" hidden="false" customHeight="false" outlineLevel="0" collapsed="false">
      <c r="A199" s="33" t="n">
        <v>198</v>
      </c>
      <c r="B199" s="32" t="n">
        <v>44394</v>
      </c>
      <c r="C199" s="33" t="n">
        <v>33215</v>
      </c>
      <c r="D199" s="33" t="n">
        <f aca="false">C198-C199</f>
        <v>-24848</v>
      </c>
      <c r="E199" s="33" t="n">
        <v>1454.2</v>
      </c>
      <c r="F199" s="33" t="n">
        <f aca="false">E198-E199</f>
        <v>-1094.2</v>
      </c>
      <c r="G199" s="33" t="n">
        <v>23.91</v>
      </c>
      <c r="H199" s="33" t="n">
        <f aca="false">G199-G198</f>
        <v>17.89</v>
      </c>
      <c r="I199" s="33" t="n">
        <v>327</v>
      </c>
      <c r="J199" s="33" t="n">
        <f aca="false">I198-I199</f>
        <v>-250</v>
      </c>
    </row>
    <row r="200" customFormat="false" ht="13.8" hidden="false" customHeight="false" outlineLevel="0" collapsed="false">
      <c r="A200" s="33" t="n">
        <v>199</v>
      </c>
      <c r="B200" s="32" t="n">
        <v>44395</v>
      </c>
      <c r="C200" s="33" t="n">
        <v>4503</v>
      </c>
      <c r="D200" s="33" t="n">
        <f aca="false">C199-C200</f>
        <v>28712</v>
      </c>
      <c r="E200" s="33" t="n">
        <v>197.3</v>
      </c>
      <c r="F200" s="33" t="n">
        <f aca="false">E199-E200</f>
        <v>1256.9</v>
      </c>
      <c r="G200" s="33" t="n">
        <v>3.24</v>
      </c>
      <c r="H200" s="33" t="n">
        <f aca="false">G200-G199</f>
        <v>-20.67</v>
      </c>
      <c r="I200" s="33" t="n">
        <v>44</v>
      </c>
      <c r="J200" s="33" t="n">
        <f aca="false">I199-I200</f>
        <v>283</v>
      </c>
    </row>
    <row r="201" customFormat="false" ht="13.8" hidden="false" customHeight="false" outlineLevel="0" collapsed="false">
      <c r="A201" s="33" t="n">
        <v>200</v>
      </c>
      <c r="B201" s="32" t="n">
        <v>44396</v>
      </c>
      <c r="C201" s="33" t="n">
        <v>4564</v>
      </c>
      <c r="D201" s="33" t="n">
        <f aca="false">C200-C201</f>
        <v>-61</v>
      </c>
      <c r="E201" s="33" t="n">
        <v>196</v>
      </c>
      <c r="F201" s="33" t="n">
        <f aca="false">E200-E201</f>
        <v>1.30000000000001</v>
      </c>
      <c r="G201" s="33" t="n">
        <v>3.29</v>
      </c>
      <c r="H201" s="33" t="n">
        <f aca="false">G201-G200</f>
        <v>0.0499999999999998</v>
      </c>
      <c r="I201" s="33" t="n">
        <v>42</v>
      </c>
      <c r="J201" s="33" t="n">
        <f aca="false">I200-I201</f>
        <v>2</v>
      </c>
    </row>
    <row r="202" customFormat="false" ht="13.8" hidden="false" customHeight="false" outlineLevel="0" collapsed="false">
      <c r="A202" s="33" t="n">
        <v>201</v>
      </c>
      <c r="B202" s="32" t="n">
        <v>44397</v>
      </c>
      <c r="C202" s="33" t="n">
        <v>3369</v>
      </c>
      <c r="D202" s="33" t="n">
        <f aca="false">C201-C202</f>
        <v>1195</v>
      </c>
      <c r="E202" s="33" t="n">
        <v>147.5</v>
      </c>
      <c r="F202" s="33" t="n">
        <f aca="false">E201-E202</f>
        <v>48.5</v>
      </c>
      <c r="G202" s="33" t="n">
        <v>2.43</v>
      </c>
      <c r="H202" s="33" t="n">
        <f aca="false">G202-G201</f>
        <v>-0.86</v>
      </c>
      <c r="I202" s="33" t="n">
        <v>32</v>
      </c>
      <c r="J202" s="33" t="n">
        <f aca="false">I201-I202</f>
        <v>10</v>
      </c>
    </row>
    <row r="203" customFormat="false" ht="13.8" hidden="false" customHeight="false" outlineLevel="0" collapsed="false">
      <c r="A203" s="33" t="n">
        <v>202</v>
      </c>
      <c r="B203" s="32" t="n">
        <v>44398</v>
      </c>
      <c r="C203" s="33" t="n">
        <v>8572</v>
      </c>
      <c r="D203" s="33" t="n">
        <f aca="false">C202-C203</f>
        <v>-5203</v>
      </c>
      <c r="E203" s="33" t="n">
        <v>373.9</v>
      </c>
      <c r="F203" s="33" t="n">
        <f aca="false">E202-E203</f>
        <v>-226.4</v>
      </c>
      <c r="G203" s="33" t="n">
        <v>6.17</v>
      </c>
      <c r="H203" s="33" t="n">
        <f aca="false">G203-G202</f>
        <v>3.74</v>
      </c>
      <c r="I203" s="33" t="n">
        <v>82</v>
      </c>
      <c r="J203" s="33" t="n">
        <f aca="false">I202-I203</f>
        <v>-50</v>
      </c>
    </row>
    <row r="204" customFormat="false" ht="13.8" hidden="false" customHeight="false" outlineLevel="0" collapsed="false">
      <c r="A204" s="33" t="n">
        <v>203</v>
      </c>
      <c r="B204" s="32" t="n">
        <v>44399</v>
      </c>
      <c r="C204" s="33" t="n">
        <v>10249</v>
      </c>
      <c r="D204" s="33" t="n">
        <f aca="false">C203-C204</f>
        <v>-1677</v>
      </c>
      <c r="E204" s="33" t="n">
        <v>437</v>
      </c>
      <c r="F204" s="33" t="n">
        <f aca="false">E203-E204</f>
        <v>-63.1</v>
      </c>
      <c r="G204" s="33" t="n">
        <v>7.38</v>
      </c>
      <c r="H204" s="33" t="n">
        <f aca="false">G204-G203</f>
        <v>1.21</v>
      </c>
      <c r="I204" s="33" t="n">
        <v>91</v>
      </c>
      <c r="J204" s="33" t="n">
        <f aca="false">I203-I204</f>
        <v>-9</v>
      </c>
    </row>
    <row r="205" customFormat="false" ht="13.8" hidden="false" customHeight="false" outlineLevel="0" collapsed="false">
      <c r="A205" s="33" t="n">
        <v>204</v>
      </c>
      <c r="B205" s="32" t="n">
        <v>44400</v>
      </c>
      <c r="C205" s="33" t="n">
        <v>8132</v>
      </c>
      <c r="D205" s="33" t="n">
        <f aca="false">C204-C205</f>
        <v>2117</v>
      </c>
      <c r="E205" s="33" t="n">
        <v>348.1</v>
      </c>
      <c r="F205" s="33" t="n">
        <f aca="false">E204-E205</f>
        <v>88.9</v>
      </c>
      <c r="G205" s="33" t="n">
        <v>5.86</v>
      </c>
      <c r="H205" s="33" t="n">
        <f aca="false">G205-G204</f>
        <v>-1.52</v>
      </c>
      <c r="I205" s="33" t="n">
        <v>73</v>
      </c>
      <c r="J205" s="33" t="n">
        <f aca="false">I204-I205</f>
        <v>18</v>
      </c>
    </row>
    <row r="206" customFormat="false" ht="13.8" hidden="false" customHeight="false" outlineLevel="0" collapsed="false">
      <c r="A206" s="33" t="n">
        <v>205</v>
      </c>
      <c r="B206" s="32" t="n">
        <v>44401</v>
      </c>
      <c r="C206" s="33" t="n">
        <v>7614</v>
      </c>
      <c r="D206" s="33" t="n">
        <f aca="false">C205-C206</f>
        <v>518</v>
      </c>
      <c r="E206" s="33" t="n">
        <v>339.1</v>
      </c>
      <c r="F206" s="33" t="n">
        <f aca="false">E205-E206</f>
        <v>9</v>
      </c>
      <c r="G206" s="33" t="n">
        <v>5.48</v>
      </c>
      <c r="H206" s="33" t="n">
        <f aca="false">G206-G205</f>
        <v>-0.38</v>
      </c>
      <c r="I206" s="33" t="n">
        <v>76</v>
      </c>
      <c r="J206" s="33" t="n">
        <f aca="false">I205-I206</f>
        <v>-3</v>
      </c>
    </row>
    <row r="207" customFormat="false" ht="13.8" hidden="false" customHeight="false" outlineLevel="0" collapsed="false">
      <c r="A207" s="33" t="n">
        <v>206</v>
      </c>
      <c r="B207" s="32" t="n">
        <v>44402</v>
      </c>
      <c r="C207" s="33" t="n">
        <v>3301</v>
      </c>
      <c r="D207" s="33" t="n">
        <f aca="false">C206-C207</f>
        <v>4313</v>
      </c>
      <c r="E207" s="33" t="n">
        <v>141.2</v>
      </c>
      <c r="F207" s="33" t="n">
        <f aca="false">E206-E207</f>
        <v>197.9</v>
      </c>
      <c r="G207" s="33" t="n">
        <v>2.38</v>
      </c>
      <c r="H207" s="33" t="n">
        <f aca="false">G207-G206</f>
        <v>-3.1</v>
      </c>
      <c r="I207" s="33" t="n">
        <v>29</v>
      </c>
      <c r="J207" s="33" t="n">
        <f aca="false">I206-I207</f>
        <v>47</v>
      </c>
    </row>
    <row r="208" customFormat="false" ht="13.8" hidden="false" customHeight="false" outlineLevel="0" collapsed="false">
      <c r="A208" s="33" t="n">
        <v>207</v>
      </c>
      <c r="B208" s="32" t="n">
        <v>44403</v>
      </c>
      <c r="C208" s="33" t="n">
        <v>6857</v>
      </c>
      <c r="D208" s="33" t="n">
        <f aca="false">C207-C208</f>
        <v>-3556</v>
      </c>
      <c r="E208" s="33" t="n">
        <v>294.7</v>
      </c>
      <c r="F208" s="33" t="n">
        <f aca="false">E207-E208</f>
        <v>-153.5</v>
      </c>
      <c r="G208" s="33" t="n">
        <v>4.94</v>
      </c>
      <c r="H208" s="33" t="n">
        <f aca="false">G208-G207</f>
        <v>2.56</v>
      </c>
      <c r="I208" s="33" t="n">
        <v>63</v>
      </c>
      <c r="J208" s="33" t="n">
        <f aca="false">I207-I208</f>
        <v>-34</v>
      </c>
    </row>
    <row r="209" customFormat="false" ht="13.8" hidden="false" customHeight="false" outlineLevel="0" collapsed="false">
      <c r="A209" s="33" t="n">
        <v>208</v>
      </c>
      <c r="B209" s="32" t="n">
        <v>44404</v>
      </c>
      <c r="C209" s="33" t="n">
        <v>8448</v>
      </c>
      <c r="D209" s="33" t="n">
        <f aca="false">C208-C209</f>
        <v>-1591</v>
      </c>
      <c r="E209" s="33" t="n">
        <v>360.4</v>
      </c>
      <c r="F209" s="33" t="n">
        <f aca="false">E208-E209</f>
        <v>-65.7</v>
      </c>
      <c r="G209" s="33" t="n">
        <v>6.08</v>
      </c>
      <c r="H209" s="33" t="n">
        <f aca="false">G209-G208</f>
        <v>1.14</v>
      </c>
      <c r="I209" s="33" t="n">
        <v>75</v>
      </c>
      <c r="J209" s="33" t="n">
        <f aca="false">I208-I209</f>
        <v>-12</v>
      </c>
    </row>
    <row r="210" customFormat="false" ht="13.8" hidden="false" customHeight="false" outlineLevel="0" collapsed="false">
      <c r="A210" s="33" t="n">
        <v>209</v>
      </c>
      <c r="B210" s="32" t="n">
        <v>44405</v>
      </c>
      <c r="C210" s="33" t="n">
        <v>9119</v>
      </c>
      <c r="D210" s="33" t="n">
        <f aca="false">C209-C210</f>
        <v>-671</v>
      </c>
      <c r="E210" s="33" t="n">
        <v>391.1</v>
      </c>
      <c r="F210" s="33" t="n">
        <f aca="false">E209-E210</f>
        <v>-30.7</v>
      </c>
      <c r="G210" s="33" t="n">
        <v>6.57</v>
      </c>
      <c r="H210" s="33" t="n">
        <f aca="false">G210-G209</f>
        <v>0.49</v>
      </c>
      <c r="I210" s="33" t="n">
        <v>83</v>
      </c>
      <c r="J210" s="33" t="n">
        <f aca="false">I209-I210</f>
        <v>-8</v>
      </c>
    </row>
    <row r="211" customFormat="false" ht="13.8" hidden="false" customHeight="false" outlineLevel="0" collapsed="false">
      <c r="A211" s="33" t="n">
        <v>210</v>
      </c>
      <c r="B211" s="32" t="n">
        <v>44406</v>
      </c>
      <c r="C211" s="33" t="n">
        <v>6977</v>
      </c>
      <c r="D211" s="33" t="n">
        <f aca="false">C210-C211</f>
        <v>2142</v>
      </c>
      <c r="E211" s="33" t="n">
        <v>297.8</v>
      </c>
      <c r="F211" s="33" t="n">
        <f aca="false">E210-E211</f>
        <v>93.3</v>
      </c>
      <c r="G211" s="33" t="n">
        <v>5.02</v>
      </c>
      <c r="H211" s="33" t="n">
        <f aca="false">G211-G210</f>
        <v>-1.55</v>
      </c>
      <c r="I211" s="33" t="n">
        <v>62</v>
      </c>
      <c r="J211" s="33" t="n">
        <f aca="false">I210-I211</f>
        <v>21</v>
      </c>
    </row>
    <row r="212" customFormat="false" ht="13.8" hidden="false" customHeight="false" outlineLevel="0" collapsed="false">
      <c r="A212" s="33" t="n">
        <v>211</v>
      </c>
      <c r="B212" s="32" t="n">
        <v>44407</v>
      </c>
      <c r="C212" s="33" t="n">
        <v>6359</v>
      </c>
      <c r="D212" s="33" t="n">
        <f aca="false">C211-C212</f>
        <v>618</v>
      </c>
      <c r="E212" s="33" t="n">
        <v>273.7</v>
      </c>
      <c r="F212" s="33" t="n">
        <f aca="false">E211-E212</f>
        <v>24.1</v>
      </c>
      <c r="G212" s="33" t="n">
        <v>4.58</v>
      </c>
      <c r="H212" s="33" t="n">
        <f aca="false">G212-G211</f>
        <v>-0.44</v>
      </c>
      <c r="I212" s="33" t="n">
        <v>58</v>
      </c>
      <c r="J212" s="33" t="n">
        <f aca="false">I211-I212</f>
        <v>4</v>
      </c>
    </row>
    <row r="213" customFormat="false" ht="13.8" hidden="false" customHeight="false" outlineLevel="0" collapsed="false">
      <c r="A213" s="33" t="n">
        <v>212</v>
      </c>
      <c r="B213" s="32" t="n">
        <v>44408</v>
      </c>
      <c r="C213" s="33" t="n">
        <v>19908</v>
      </c>
      <c r="D213" s="33" t="n">
        <f aca="false">C212-C213</f>
        <v>-13549</v>
      </c>
      <c r="E213" s="33" t="n">
        <v>875.1</v>
      </c>
      <c r="F213" s="33" t="n">
        <f aca="false">E212-E213</f>
        <v>-601.4</v>
      </c>
      <c r="G213" s="33" t="n">
        <v>14.33</v>
      </c>
      <c r="H213" s="33" t="n">
        <f aca="false">G213-G212</f>
        <v>9.75</v>
      </c>
      <c r="I213" s="33" t="n">
        <v>199</v>
      </c>
      <c r="J213" s="33" t="n">
        <f aca="false">I212-I213</f>
        <v>-141</v>
      </c>
    </row>
    <row r="214" customFormat="false" ht="13.8" hidden="false" customHeight="false" outlineLevel="0" collapsed="false">
      <c r="A214" s="33" t="n">
        <v>213</v>
      </c>
      <c r="B214" s="32" t="n">
        <v>44409</v>
      </c>
      <c r="C214" s="33" t="n">
        <v>33883</v>
      </c>
      <c r="D214" s="33" t="n">
        <f aca="false">C213-C214</f>
        <v>-13975</v>
      </c>
      <c r="E214" s="33" t="n">
        <v>1493.3</v>
      </c>
      <c r="F214" s="33" t="n">
        <f aca="false">E213-E214</f>
        <v>-618.2</v>
      </c>
      <c r="G214" s="33" t="n">
        <v>24.4</v>
      </c>
      <c r="H214" s="33" t="n">
        <f aca="false">G214-G213</f>
        <v>10.07</v>
      </c>
      <c r="I214" s="33" t="n">
        <v>339</v>
      </c>
      <c r="J214" s="33" t="n">
        <f aca="false">I213-I214</f>
        <v>-140</v>
      </c>
      <c r="L214" s="1" t="s">
        <v>2</v>
      </c>
      <c r="M214" s="1" t="s">
        <v>179</v>
      </c>
      <c r="N214" s="1" t="s">
        <v>175</v>
      </c>
      <c r="O214" s="1" t="s">
        <v>177</v>
      </c>
    </row>
    <row r="215" customFormat="false" ht="13.8" hidden="false" customHeight="false" outlineLevel="0" collapsed="false">
      <c r="A215" s="33" t="n">
        <v>214</v>
      </c>
      <c r="B215" s="32" t="n">
        <v>44410</v>
      </c>
      <c r="C215" s="33" t="n">
        <v>6036</v>
      </c>
      <c r="D215" s="33" t="n">
        <f aca="false">C214-C215</f>
        <v>27847</v>
      </c>
      <c r="E215" s="33" t="n">
        <v>258.5</v>
      </c>
      <c r="F215" s="33" t="n">
        <f aca="false">E214-E215</f>
        <v>1234.8</v>
      </c>
      <c r="G215" s="33" t="n">
        <v>4.35</v>
      </c>
      <c r="H215" s="33" t="n">
        <f aca="false">G215-G214</f>
        <v>-20.05</v>
      </c>
      <c r="I215" s="33" t="n">
        <v>55</v>
      </c>
      <c r="J215" s="33" t="n">
        <f aca="false">I214-I215</f>
        <v>284</v>
      </c>
      <c r="K215" s="1" t="s">
        <v>8</v>
      </c>
      <c r="L215" s="1" t="n">
        <f aca="false">AVERAGE($C$214:$C$244)</f>
        <v>11344.2258064516</v>
      </c>
      <c r="M215" s="1" t="n">
        <f aca="false">AVERAGE($E$214:$E$244)</f>
        <v>493.174193548387</v>
      </c>
      <c r="N215" s="1" t="n">
        <f aca="false">AVERAGE($G$214:$G$244)</f>
        <v>8.16677419354839</v>
      </c>
      <c r="O215" s="1" t="n">
        <f aca="false">AVERAGE($I$214:$I$244)</f>
        <v>108.193548387097</v>
      </c>
    </row>
    <row r="216" customFormat="false" ht="13.8" hidden="false" customHeight="false" outlineLevel="0" collapsed="false">
      <c r="A216" s="33" t="n">
        <v>215</v>
      </c>
      <c r="B216" s="32" t="n">
        <v>44411</v>
      </c>
      <c r="C216" s="33" t="n">
        <v>9794</v>
      </c>
      <c r="D216" s="33" t="n">
        <f aca="false">C215-C216</f>
        <v>-3758</v>
      </c>
      <c r="E216" s="33" t="n">
        <v>418.3</v>
      </c>
      <c r="F216" s="33" t="n">
        <f aca="false">E215-E216</f>
        <v>-159.8</v>
      </c>
      <c r="G216" s="33" t="n">
        <v>7.05</v>
      </c>
      <c r="H216" s="33" t="n">
        <f aca="false">G216-G215</f>
        <v>2.7</v>
      </c>
      <c r="I216" s="33" t="n">
        <v>88</v>
      </c>
      <c r="J216" s="33" t="n">
        <f aca="false">I215-I216</f>
        <v>-33</v>
      </c>
      <c r="K216" s="1" t="s">
        <v>10</v>
      </c>
      <c r="L216" s="1" t="n">
        <f aca="false">SQRT(VAR($C$214:$C$244)/COUNT($C$214:$C$244))</f>
        <v>1294.26426952754</v>
      </c>
      <c r="M216" s="1" t="n">
        <f aca="false">SQRT(VAR($E$214:$E$244)/COUNT($E$214:$E$244))</f>
        <v>57.4258085113065</v>
      </c>
      <c r="N216" s="1" t="n">
        <f aca="false">SQRT(VAR($G$214:$G$244)/COUNT($G$214:$G$244))</f>
        <v>0.93148573507299</v>
      </c>
      <c r="O216" s="1" t="n">
        <f aca="false">SQRT(VAR($I$214:$I$244)/COUNT($I$214:$I$244))</f>
        <v>13.2834620564051</v>
      </c>
    </row>
    <row r="217" customFormat="false" ht="13.8" hidden="false" customHeight="false" outlineLevel="0" collapsed="false">
      <c r="A217" s="33" t="n">
        <v>216</v>
      </c>
      <c r="B217" s="32" t="n">
        <v>44412</v>
      </c>
      <c r="C217" s="33" t="n">
        <v>15305</v>
      </c>
      <c r="D217" s="33" t="n">
        <f aca="false">C216-C217</f>
        <v>-5511</v>
      </c>
      <c r="E217" s="33" t="n">
        <v>660.1</v>
      </c>
      <c r="F217" s="33" t="n">
        <f aca="false">E216-E217</f>
        <v>-241.8</v>
      </c>
      <c r="G217" s="33" t="n">
        <v>11.02</v>
      </c>
      <c r="H217" s="33" t="n">
        <f aca="false">G217-G216</f>
        <v>3.97</v>
      </c>
      <c r="I217" s="33" t="n">
        <v>143</v>
      </c>
      <c r="J217" s="33" t="n">
        <f aca="false">I216-I217</f>
        <v>-55</v>
      </c>
      <c r="K217" s="1" t="s">
        <v>14</v>
      </c>
      <c r="L217" s="1" t="e">
        <f aca="false">MODE($C$214:$C$244)</f>
        <v>#VALUE!</v>
      </c>
      <c r="M217" s="1" t="e">
        <f aca="false">MODE($E$214:$E$244)</f>
        <v>#VALUE!</v>
      </c>
      <c r="N217" s="1" t="e">
        <f aca="false">MODE($G$214:$G$244)</f>
        <v>#VALUE!</v>
      </c>
      <c r="O217" s="1" t="n">
        <f aca="false">MODE($I$214:$I$244)</f>
        <v>83</v>
      </c>
    </row>
    <row r="218" customFormat="false" ht="13.8" hidden="false" customHeight="false" outlineLevel="0" collapsed="false">
      <c r="A218" s="33" t="n">
        <v>217</v>
      </c>
      <c r="B218" s="32" t="n">
        <v>44413</v>
      </c>
      <c r="C218" s="33" t="n">
        <v>9012</v>
      </c>
      <c r="D218" s="33" t="n">
        <f aca="false">C217-C218</f>
        <v>6293</v>
      </c>
      <c r="E218" s="33" t="n">
        <v>384.9</v>
      </c>
      <c r="F218" s="33" t="n">
        <f aca="false">E217-E218</f>
        <v>275.2</v>
      </c>
      <c r="G218" s="33" t="n">
        <v>6.49</v>
      </c>
      <c r="H218" s="33" t="n">
        <f aca="false">G218-G217</f>
        <v>-4.53</v>
      </c>
      <c r="I218" s="33" t="n">
        <v>81</v>
      </c>
      <c r="J218" s="33" t="n">
        <f aca="false">I217-I218</f>
        <v>62</v>
      </c>
      <c r="K218" s="1" t="s">
        <v>12</v>
      </c>
      <c r="L218" s="1" t="n">
        <f aca="false">MEDIAN($C$214:$C$244)</f>
        <v>8963</v>
      </c>
      <c r="M218" s="1" t="n">
        <f aca="false">MEDIAN($E$214:$E$244)</f>
        <v>384.9</v>
      </c>
      <c r="N218" s="1" t="n">
        <f aca="false">MEDIAN($G$214:$G$244)</f>
        <v>6.45</v>
      </c>
      <c r="O218" s="1" t="n">
        <f aca="false">MEDIAN($I$214:$I$244)</f>
        <v>83</v>
      </c>
    </row>
    <row r="219" customFormat="false" ht="13.8" hidden="false" customHeight="false" outlineLevel="0" collapsed="false">
      <c r="A219" s="33" t="n">
        <v>218</v>
      </c>
      <c r="B219" s="32" t="n">
        <v>44414</v>
      </c>
      <c r="C219" s="33" t="n">
        <v>6253</v>
      </c>
      <c r="D219" s="33" t="n">
        <f aca="false">C218-C219</f>
        <v>2759</v>
      </c>
      <c r="E219" s="33" t="n">
        <v>271.5</v>
      </c>
      <c r="F219" s="33" t="n">
        <f aca="false">E218-E219</f>
        <v>113.4</v>
      </c>
      <c r="G219" s="33" t="n">
        <v>4.5</v>
      </c>
      <c r="H219" s="33" t="n">
        <f aca="false">G219-G218</f>
        <v>-1.99</v>
      </c>
      <c r="I219" s="33" t="n">
        <v>59</v>
      </c>
      <c r="J219" s="33" t="n">
        <f aca="false">I218-I219</f>
        <v>22</v>
      </c>
      <c r="K219" s="1" t="s">
        <v>195</v>
      </c>
      <c r="L219" s="1" t="n">
        <f aca="false">QUARTILE($C$214:$C$244, 1)</f>
        <v>6420</v>
      </c>
      <c r="M219" s="1" t="n">
        <f aca="false">QUARTILE($E$214:$E$244, 1)</f>
        <v>277.95</v>
      </c>
      <c r="N219" s="1" t="n">
        <f aca="false">QUARTILE($G$214:$G$244, 1)</f>
        <v>4.62</v>
      </c>
      <c r="O219" s="1" t="n">
        <f aca="false">QUARTILE($I$214:$I$244, 1)</f>
        <v>60</v>
      </c>
    </row>
    <row r="220" customFormat="false" ht="13.8" hidden="false" customHeight="false" outlineLevel="0" collapsed="false">
      <c r="A220" s="33" t="n">
        <v>219</v>
      </c>
      <c r="B220" s="32" t="n">
        <v>44415</v>
      </c>
      <c r="C220" s="33" t="n">
        <v>4614</v>
      </c>
      <c r="D220" s="33" t="n">
        <f aca="false">C219-C220</f>
        <v>1639</v>
      </c>
      <c r="E220" s="33" t="n">
        <v>200.1</v>
      </c>
      <c r="F220" s="33" t="n">
        <f aca="false">E219-E220</f>
        <v>71.4</v>
      </c>
      <c r="G220" s="33" t="n">
        <v>3.32</v>
      </c>
      <c r="H220" s="33" t="n">
        <f aca="false">G220-G219</f>
        <v>-1.18</v>
      </c>
      <c r="I220" s="33" t="n">
        <v>44</v>
      </c>
      <c r="J220" s="33" t="n">
        <f aca="false">I219-I220</f>
        <v>15</v>
      </c>
      <c r="K220" s="1" t="s">
        <v>181</v>
      </c>
      <c r="L220" s="1" t="n">
        <f aca="false">QUARTILE($C$214:$C$244, 3)</f>
        <v>12535.5</v>
      </c>
      <c r="M220" s="1" t="n">
        <f aca="false">QUARTILE($E$214:$E$244, 3)</f>
        <v>542.85</v>
      </c>
      <c r="N220" s="1" t="n">
        <f aca="false">QUARTILE($G$214:$G$244, 3)</f>
        <v>9.025</v>
      </c>
      <c r="O220" s="1" t="n">
        <f aca="false">QUARTILE($I$214:$I$244, 3)</f>
        <v>118.5</v>
      </c>
    </row>
    <row r="221" customFormat="false" ht="13.8" hidden="false" customHeight="false" outlineLevel="0" collapsed="false">
      <c r="A221" s="33" t="n">
        <v>220</v>
      </c>
      <c r="B221" s="32" t="n">
        <v>44416</v>
      </c>
      <c r="C221" s="33" t="n">
        <v>26305</v>
      </c>
      <c r="D221" s="33" t="n">
        <f aca="false">C220-C221</f>
        <v>-21691</v>
      </c>
      <c r="E221" s="33" t="n">
        <v>1159</v>
      </c>
      <c r="F221" s="33" t="n">
        <f aca="false">E220-E221</f>
        <v>-958.9</v>
      </c>
      <c r="G221" s="33" t="n">
        <v>18.94</v>
      </c>
      <c r="H221" s="33" t="n">
        <f aca="false">G221-G220</f>
        <v>15.62</v>
      </c>
      <c r="I221" s="33" t="n">
        <v>264</v>
      </c>
      <c r="J221" s="33" t="n">
        <f aca="false">I220-I221</f>
        <v>-220</v>
      </c>
      <c r="K221" s="1" t="s">
        <v>182</v>
      </c>
      <c r="L221" s="1" t="n">
        <f aca="false">VAR($C$214:$C$244)</f>
        <v>51928719.9806452</v>
      </c>
      <c r="M221" s="1" t="n">
        <f aca="false">VAR($E$214:$E$244)</f>
        <v>102229.427978495</v>
      </c>
      <c r="N221" s="1" t="n">
        <f aca="false">VAR($G$214:$G$244)</f>
        <v>26.8976359139785</v>
      </c>
      <c r="O221" s="1" t="n">
        <f aca="false">VAR($I$214:$I$244)</f>
        <v>5469.96129032258</v>
      </c>
    </row>
    <row r="222" customFormat="false" ht="13.8" hidden="false" customHeight="false" outlineLevel="0" collapsed="false">
      <c r="A222" s="33" t="n">
        <v>221</v>
      </c>
      <c r="B222" s="32" t="n">
        <v>44417</v>
      </c>
      <c r="C222" s="33" t="n">
        <v>8668</v>
      </c>
      <c r="D222" s="33" t="n">
        <f aca="false">C221-C222</f>
        <v>17637</v>
      </c>
      <c r="E222" s="33" t="n">
        <v>378.9</v>
      </c>
      <c r="F222" s="33" t="n">
        <f aca="false">E221-E222</f>
        <v>780.1</v>
      </c>
      <c r="G222" s="33" t="n">
        <v>6.24</v>
      </c>
      <c r="H222" s="33" t="n">
        <f aca="false">G222-G221</f>
        <v>-12.7</v>
      </c>
      <c r="I222" s="33" t="n">
        <v>83</v>
      </c>
      <c r="J222" s="33" t="n">
        <f aca="false">I221-I222</f>
        <v>181</v>
      </c>
      <c r="K222" s="1" t="s">
        <v>16</v>
      </c>
      <c r="L222" s="1" t="n">
        <f aca="false">STDEV($C$214:$C$244)</f>
        <v>7206.15847595965</v>
      </c>
      <c r="M222" s="1" t="n">
        <f aca="false">STDEV($E$214:$E$244)</f>
        <v>319.733370135953</v>
      </c>
      <c r="N222" s="1" t="n">
        <f aca="false">STDEV($G$214:$G$244)</f>
        <v>5.18629308022392</v>
      </c>
      <c r="O222" s="1" t="n">
        <f aca="false">STDEV($I$214:$I$244)</f>
        <v>73.9591866526572</v>
      </c>
    </row>
    <row r="223" customFormat="false" ht="13.8" hidden="false" customHeight="false" outlineLevel="0" collapsed="false">
      <c r="A223" s="33" t="n">
        <v>222</v>
      </c>
      <c r="B223" s="32" t="n">
        <v>44418</v>
      </c>
      <c r="C223" s="33" t="n">
        <v>13062</v>
      </c>
      <c r="D223" s="33" t="n">
        <f aca="false">C222-C223</f>
        <v>-4394</v>
      </c>
      <c r="E223" s="33" t="n">
        <v>563.9</v>
      </c>
      <c r="F223" s="33" t="n">
        <f aca="false">E222-E223</f>
        <v>-185</v>
      </c>
      <c r="G223" s="33" t="n">
        <v>9.4</v>
      </c>
      <c r="H223" s="33" t="n">
        <f aca="false">G223-G222</f>
        <v>3.16</v>
      </c>
      <c r="I223" s="33" t="n">
        <v>122</v>
      </c>
      <c r="J223" s="33" t="n">
        <f aca="false">I222-I223</f>
        <v>-39</v>
      </c>
      <c r="K223" s="1" t="s">
        <v>20</v>
      </c>
      <c r="L223" s="1" t="n">
        <f aca="false">KURT($C$214:$C$244)</f>
        <v>2.49441831509933</v>
      </c>
      <c r="M223" s="1" t="n">
        <f aca="false">KURT($E$214:$E$244)</f>
        <v>2.57578962232868</v>
      </c>
      <c r="N223" s="1" t="n">
        <f aca="false">KURT($G$214:$G$244)</f>
        <v>2.50078513167413</v>
      </c>
      <c r="O223" s="1" t="n">
        <f aca="false">KURT($I$214:$I$244)</f>
        <v>2.74223895509436</v>
      </c>
    </row>
    <row r="224" customFormat="false" ht="13.8" hidden="false" customHeight="false" outlineLevel="0" collapsed="false">
      <c r="A224" s="33" t="n">
        <v>223</v>
      </c>
      <c r="B224" s="32" t="n">
        <v>44419</v>
      </c>
      <c r="C224" s="33" t="n">
        <v>9861</v>
      </c>
      <c r="D224" s="33" t="n">
        <f aca="false">C223-C224</f>
        <v>3201</v>
      </c>
      <c r="E224" s="33" t="n">
        <v>423</v>
      </c>
      <c r="F224" s="33" t="n">
        <f aca="false">E223-E224</f>
        <v>140.9</v>
      </c>
      <c r="G224" s="33" t="n">
        <v>7.1</v>
      </c>
      <c r="H224" s="33" t="n">
        <f aca="false">G224-G223</f>
        <v>-2.3</v>
      </c>
      <c r="I224" s="33" t="n">
        <v>90</v>
      </c>
      <c r="J224" s="33" t="n">
        <f aca="false">I223-I224</f>
        <v>32</v>
      </c>
      <c r="K224" s="1" t="s">
        <v>22</v>
      </c>
      <c r="L224" s="1" t="n">
        <f aca="false">SKEW($C$214:$C$244)</f>
        <v>1.72055171355421</v>
      </c>
      <c r="M224" s="1" t="n">
        <f aca="false">SKEW($E$214:$E$244)</f>
        <v>1.75238599655688</v>
      </c>
      <c r="N224" s="1" t="n">
        <f aca="false">SKEW($G$214:$G$244)</f>
        <v>1.72122242698306</v>
      </c>
      <c r="O224" s="1" t="n">
        <f aca="false">SKEW($I$214:$I$244)</f>
        <v>1.82109251487202</v>
      </c>
    </row>
    <row r="225" customFormat="false" ht="13.8" hidden="false" customHeight="false" outlineLevel="0" collapsed="false">
      <c r="A225" s="33" t="n">
        <v>224</v>
      </c>
      <c r="B225" s="32" t="n">
        <v>44420</v>
      </c>
      <c r="C225" s="33" t="n">
        <v>8316</v>
      </c>
      <c r="D225" s="33" t="n">
        <f aca="false">C224-C225</f>
        <v>1545</v>
      </c>
      <c r="E225" s="33" t="n">
        <v>356.5</v>
      </c>
      <c r="F225" s="33" t="n">
        <f aca="false">E224-E225</f>
        <v>66.5</v>
      </c>
      <c r="G225" s="33" t="n">
        <v>5.99</v>
      </c>
      <c r="H225" s="33" t="n">
        <f aca="false">G225-G224</f>
        <v>-1.11</v>
      </c>
      <c r="I225" s="33" t="n">
        <v>76</v>
      </c>
      <c r="J225" s="33" t="n">
        <f aca="false">I224-I225</f>
        <v>14</v>
      </c>
      <c r="K225" s="1" t="s">
        <v>24</v>
      </c>
      <c r="L225" s="1" t="n">
        <f aca="false">MAX($C$214:$C$244)-MIN($C$214:$C$244)</f>
        <v>29269</v>
      </c>
      <c r="M225" s="1" t="n">
        <f aca="false">MAX($E$214:$E$244)-MIN($E$214:$E$244)</f>
        <v>1293.2</v>
      </c>
      <c r="N225" s="1" t="n">
        <f aca="false">MAX($G$214:$G$244)-MIN($G$214:$G$244)</f>
        <v>21.08</v>
      </c>
      <c r="O225" s="1" t="n">
        <f aca="false">MAX($I$214:$I$244)-MIN($I$214:$I$244)</f>
        <v>295</v>
      </c>
    </row>
    <row r="226" customFormat="false" ht="13.8" hidden="false" customHeight="false" outlineLevel="0" collapsed="false">
      <c r="A226" s="33" t="n">
        <v>225</v>
      </c>
      <c r="B226" s="32" t="n">
        <v>44421</v>
      </c>
      <c r="C226" s="33" t="n">
        <v>7501</v>
      </c>
      <c r="D226" s="33" t="n">
        <f aca="false">C225-C226</f>
        <v>815</v>
      </c>
      <c r="E226" s="33" t="n">
        <v>326.3</v>
      </c>
      <c r="F226" s="33" t="n">
        <f aca="false">E225-E226</f>
        <v>30.2</v>
      </c>
      <c r="G226" s="33" t="n">
        <v>5.4</v>
      </c>
      <c r="H226" s="33" t="n">
        <f aca="false">G226-G225</f>
        <v>-0.59</v>
      </c>
      <c r="I226" s="33" t="n">
        <v>71</v>
      </c>
      <c r="J226" s="33" t="n">
        <f aca="false">I225-I226</f>
        <v>5</v>
      </c>
      <c r="K226" s="1" t="s">
        <v>26</v>
      </c>
      <c r="L226" s="1" t="n">
        <f aca="false">MIN($C$214:$C$244)</f>
        <v>4614</v>
      </c>
      <c r="M226" s="1" t="n">
        <f aca="false">MIN($E$214:$E$244)</f>
        <v>200.1</v>
      </c>
      <c r="N226" s="1" t="n">
        <f aca="false">MIN($G$214:$G$244)</f>
        <v>3.32</v>
      </c>
      <c r="O226" s="1" t="n">
        <f aca="false">MIN($I$214:$I$244)</f>
        <v>44</v>
      </c>
    </row>
    <row r="227" customFormat="false" ht="13.8" hidden="false" customHeight="false" outlineLevel="0" collapsed="false">
      <c r="A227" s="33" t="n">
        <v>226</v>
      </c>
      <c r="B227" s="32" t="n">
        <v>44422</v>
      </c>
      <c r="C227" s="33" t="n">
        <v>25772</v>
      </c>
      <c r="D227" s="33" t="n">
        <f aca="false">C226-C227</f>
        <v>-18271</v>
      </c>
      <c r="E227" s="33" t="n">
        <v>1153.6</v>
      </c>
      <c r="F227" s="33" t="n">
        <f aca="false">E226-E227</f>
        <v>-827.3</v>
      </c>
      <c r="G227" s="33" t="n">
        <v>18.52</v>
      </c>
      <c r="H227" s="33" t="n">
        <f aca="false">G227-G226</f>
        <v>13.12</v>
      </c>
      <c r="I227" s="33" t="n">
        <v>270</v>
      </c>
      <c r="J227" s="33" t="n">
        <f aca="false">I226-I227</f>
        <v>-199</v>
      </c>
      <c r="K227" s="1" t="s">
        <v>28</v>
      </c>
      <c r="L227" s="1" t="n">
        <f aca="false">MAX($C$214:$C$244)</f>
        <v>33883</v>
      </c>
      <c r="M227" s="1" t="n">
        <f aca="false">MAX($E$214:$E$244)</f>
        <v>1493.3</v>
      </c>
      <c r="N227" s="1" t="n">
        <f aca="false">MAX($G$214:$G$244)</f>
        <v>24.4</v>
      </c>
      <c r="O227" s="1" t="n">
        <f aca="false">MAX($I$214:$I$244)</f>
        <v>339</v>
      </c>
    </row>
    <row r="228" customFormat="false" ht="13.8" hidden="false" customHeight="false" outlineLevel="0" collapsed="false">
      <c r="A228" s="33" t="n">
        <v>227</v>
      </c>
      <c r="B228" s="32" t="n">
        <v>44423</v>
      </c>
      <c r="C228" s="33" t="n">
        <v>15809</v>
      </c>
      <c r="D228" s="33" t="n">
        <f aca="false">C227-C228</f>
        <v>9963</v>
      </c>
      <c r="E228" s="33" t="n">
        <v>672.3</v>
      </c>
      <c r="F228" s="33" t="n">
        <f aca="false">E227-E228</f>
        <v>481.3</v>
      </c>
      <c r="G228" s="33" t="n">
        <v>11.38</v>
      </c>
      <c r="H228" s="33" t="n">
        <f aca="false">G228-G227</f>
        <v>-7.14</v>
      </c>
      <c r="I228" s="33" t="n">
        <v>135</v>
      </c>
      <c r="J228" s="33" t="n">
        <f aca="false">I227-I228</f>
        <v>135</v>
      </c>
      <c r="K228" s="1" t="s">
        <v>30</v>
      </c>
      <c r="L228" s="1" t="n">
        <f aca="false">SUM($C$214:$C$244)</f>
        <v>351671</v>
      </c>
      <c r="M228" s="1" t="n">
        <f aca="false">SUM($E$214:$E$244)</f>
        <v>15288.4</v>
      </c>
      <c r="N228" s="1" t="n">
        <f aca="false">SUM($G$214:$G$244)</f>
        <v>253.17</v>
      </c>
      <c r="O228" s="1" t="n">
        <f aca="false">SUM($I$214:$I$244)</f>
        <v>3354</v>
      </c>
    </row>
    <row r="229" customFormat="false" ht="13.8" hidden="false" customHeight="false" outlineLevel="0" collapsed="false">
      <c r="A229" s="33" t="n">
        <v>228</v>
      </c>
      <c r="B229" s="32" t="n">
        <v>44424</v>
      </c>
      <c r="C229" s="33" t="n">
        <v>7892</v>
      </c>
      <c r="D229" s="33" t="n">
        <f aca="false">C228-C229</f>
        <v>7917</v>
      </c>
      <c r="E229" s="33" t="n">
        <v>341.3</v>
      </c>
      <c r="F229" s="33" t="n">
        <f aca="false">E228-E229</f>
        <v>331</v>
      </c>
      <c r="G229" s="33" t="n">
        <v>5.68</v>
      </c>
      <c r="H229" s="33" t="n">
        <f aca="false">G229-G228</f>
        <v>-5.7</v>
      </c>
      <c r="I229" s="33" t="n">
        <v>74</v>
      </c>
      <c r="J229" s="33" t="n">
        <f aca="false">I228-I229</f>
        <v>61</v>
      </c>
      <c r="K229" s="1" t="s">
        <v>32</v>
      </c>
      <c r="L229" s="1" t="n">
        <f aca="false">COUNT($C$214:$C$244)</f>
        <v>31</v>
      </c>
      <c r="M229" s="1" t="n">
        <f aca="false">COUNT($E$214:$E$244)</f>
        <v>31</v>
      </c>
      <c r="N229" s="1" t="n">
        <f aca="false">COUNT($G$214:$G$244)</f>
        <v>31</v>
      </c>
      <c r="O229" s="1" t="n">
        <f aca="false">COUNT($I$214:$I$244)</f>
        <v>31</v>
      </c>
    </row>
    <row r="230" customFormat="false" ht="13.8" hidden="false" customHeight="false" outlineLevel="0" collapsed="false">
      <c r="A230" s="33" t="n">
        <v>229</v>
      </c>
      <c r="B230" s="32" t="n">
        <v>44425</v>
      </c>
      <c r="C230" s="33" t="n">
        <v>5716</v>
      </c>
      <c r="D230" s="33" t="n">
        <f aca="false">C229-C230</f>
        <v>2176</v>
      </c>
      <c r="E230" s="33" t="n">
        <v>244.1</v>
      </c>
      <c r="F230" s="33" t="n">
        <f aca="false">E229-E230</f>
        <v>97.2</v>
      </c>
      <c r="G230" s="33" t="n">
        <v>4.12</v>
      </c>
      <c r="H230" s="33" t="n">
        <f aca="false">G230-G229</f>
        <v>-1.56</v>
      </c>
      <c r="I230" s="33" t="n">
        <v>51</v>
      </c>
      <c r="J230" s="33" t="n">
        <f aca="false">I229-I230</f>
        <v>23</v>
      </c>
    </row>
    <row r="231" customFormat="false" ht="13.8" hidden="false" customHeight="false" outlineLevel="0" collapsed="false">
      <c r="A231" s="33" t="n">
        <v>230</v>
      </c>
      <c r="B231" s="32" t="n">
        <v>44426</v>
      </c>
      <c r="C231" s="33" t="n">
        <v>8154</v>
      </c>
      <c r="D231" s="33" t="n">
        <f aca="false">C230-C231</f>
        <v>-2438</v>
      </c>
      <c r="E231" s="33" t="n">
        <v>351.9</v>
      </c>
      <c r="F231" s="33" t="n">
        <f aca="false">E230-E231</f>
        <v>-107.8</v>
      </c>
      <c r="G231" s="33" t="n">
        <v>5.87</v>
      </c>
      <c r="H231" s="33" t="n">
        <f aca="false">G231-G230</f>
        <v>1.75</v>
      </c>
      <c r="I231" s="33" t="n">
        <v>75</v>
      </c>
      <c r="J231" s="33" t="n">
        <f aca="false">I230-I231</f>
        <v>-24</v>
      </c>
    </row>
    <row r="232" customFormat="false" ht="13.8" hidden="false" customHeight="false" outlineLevel="0" collapsed="false">
      <c r="A232" s="33" t="n">
        <v>231</v>
      </c>
      <c r="B232" s="32" t="n">
        <v>44427</v>
      </c>
      <c r="C232" s="33" t="n">
        <v>8963</v>
      </c>
      <c r="D232" s="33" t="n">
        <f aca="false">C231-C232</f>
        <v>-809</v>
      </c>
      <c r="E232" s="33" t="n">
        <v>385.7</v>
      </c>
      <c r="F232" s="33" t="n">
        <f aca="false">E231-E232</f>
        <v>-33.8</v>
      </c>
      <c r="G232" s="33" t="n">
        <v>6.45</v>
      </c>
      <c r="H232" s="33" t="n">
        <f aca="false">G232-G231</f>
        <v>0.58</v>
      </c>
      <c r="I232" s="33" t="n">
        <v>83</v>
      </c>
      <c r="J232" s="33" t="n">
        <f aca="false">I231-I232</f>
        <v>-8</v>
      </c>
    </row>
    <row r="233" customFormat="false" ht="13.8" hidden="false" customHeight="false" outlineLevel="0" collapsed="false">
      <c r="A233" s="33" t="n">
        <v>232</v>
      </c>
      <c r="B233" s="32" t="n">
        <v>44428</v>
      </c>
      <c r="C233" s="33" t="n">
        <v>12009</v>
      </c>
      <c r="D233" s="33" t="n">
        <f aca="false">C232-C233</f>
        <v>-3046</v>
      </c>
      <c r="E233" s="33" t="n">
        <v>521.8</v>
      </c>
      <c r="F233" s="33" t="n">
        <f aca="false">E232-E233</f>
        <v>-136.1</v>
      </c>
      <c r="G233" s="33" t="n">
        <v>8.65</v>
      </c>
      <c r="H233" s="33" t="n">
        <f aca="false">G233-G232</f>
        <v>2.2</v>
      </c>
      <c r="I233" s="33" t="n">
        <v>115</v>
      </c>
      <c r="J233" s="33" t="n">
        <f aca="false">I232-I233</f>
        <v>-32</v>
      </c>
    </row>
    <row r="234" customFormat="false" ht="13.8" hidden="false" customHeight="false" outlineLevel="0" collapsed="false">
      <c r="A234" s="33" t="n">
        <v>233</v>
      </c>
      <c r="B234" s="32" t="n">
        <v>44429</v>
      </c>
      <c r="C234" s="33" t="n">
        <v>9023</v>
      </c>
      <c r="D234" s="33" t="n">
        <f aca="false">C233-C234</f>
        <v>2986</v>
      </c>
      <c r="E234" s="33" t="n">
        <v>391.3</v>
      </c>
      <c r="F234" s="33" t="n">
        <f aca="false">E233-E234</f>
        <v>130.5</v>
      </c>
      <c r="G234" s="33" t="n">
        <v>6.5</v>
      </c>
      <c r="H234" s="33" t="n">
        <f aca="false">G234-G233</f>
        <v>-2.15</v>
      </c>
      <c r="I234" s="33" t="n">
        <v>86</v>
      </c>
      <c r="J234" s="33" t="n">
        <f aca="false">I233-I234</f>
        <v>29</v>
      </c>
    </row>
    <row r="235" customFormat="false" ht="13.8" hidden="false" customHeight="false" outlineLevel="0" collapsed="false">
      <c r="A235" s="33" t="n">
        <v>234</v>
      </c>
      <c r="B235" s="32" t="n">
        <v>44430</v>
      </c>
      <c r="C235" s="33" t="n">
        <v>5322</v>
      </c>
      <c r="D235" s="33" t="n">
        <f aca="false">C234-C235</f>
        <v>3701</v>
      </c>
      <c r="E235" s="33" t="n">
        <v>230.5</v>
      </c>
      <c r="F235" s="33" t="n">
        <f aca="false">E234-E235</f>
        <v>160.8</v>
      </c>
      <c r="G235" s="33" t="n">
        <v>3.83</v>
      </c>
      <c r="H235" s="33" t="n">
        <f aca="false">G235-G234</f>
        <v>-2.67</v>
      </c>
      <c r="I235" s="33" t="n">
        <v>50</v>
      </c>
      <c r="J235" s="33" t="n">
        <f aca="false">I234-I235</f>
        <v>36</v>
      </c>
    </row>
    <row r="236" customFormat="false" ht="13.8" hidden="false" customHeight="false" outlineLevel="0" collapsed="false">
      <c r="A236" s="33" t="n">
        <v>235</v>
      </c>
      <c r="B236" s="32" t="n">
        <v>44431</v>
      </c>
      <c r="C236" s="33" t="n">
        <v>6587</v>
      </c>
      <c r="D236" s="33" t="n">
        <f aca="false">C235-C236</f>
        <v>-1265</v>
      </c>
      <c r="E236" s="33" t="n">
        <v>284.4</v>
      </c>
      <c r="F236" s="33" t="n">
        <f aca="false">E235-E236</f>
        <v>-53.9</v>
      </c>
      <c r="G236" s="33" t="n">
        <v>4.74</v>
      </c>
      <c r="H236" s="33" t="n">
        <f aca="false">G236-G235</f>
        <v>0.91</v>
      </c>
      <c r="I236" s="33" t="n">
        <v>61</v>
      </c>
      <c r="J236" s="33" t="n">
        <f aca="false">I235-I236</f>
        <v>-11</v>
      </c>
    </row>
    <row r="237" customFormat="false" ht="13.8" hidden="false" customHeight="false" outlineLevel="0" collapsed="false">
      <c r="A237" s="33" t="n">
        <v>236</v>
      </c>
      <c r="B237" s="32" t="n">
        <v>44432</v>
      </c>
      <c r="C237" s="33" t="n">
        <v>5941</v>
      </c>
      <c r="D237" s="33" t="n">
        <f aca="false">C236-C237</f>
        <v>646</v>
      </c>
      <c r="E237" s="33" t="n">
        <v>254.9</v>
      </c>
      <c r="F237" s="33" t="n">
        <f aca="false">E236-E237</f>
        <v>29.5</v>
      </c>
      <c r="G237" s="33" t="n">
        <v>4.28</v>
      </c>
      <c r="H237" s="33" t="n">
        <f aca="false">G237-G236</f>
        <v>-0.46</v>
      </c>
      <c r="I237" s="33" t="n">
        <v>54</v>
      </c>
      <c r="J237" s="33" t="n">
        <f aca="false">I236-I237</f>
        <v>7</v>
      </c>
    </row>
    <row r="238" customFormat="false" ht="13.8" hidden="false" customHeight="false" outlineLevel="0" collapsed="false">
      <c r="A238" s="33" t="n">
        <v>237</v>
      </c>
      <c r="B238" s="32" t="n">
        <v>44433</v>
      </c>
      <c r="C238" s="33" t="n">
        <v>7230</v>
      </c>
      <c r="D238" s="33" t="n">
        <f aca="false">C237-C238</f>
        <v>-1289</v>
      </c>
      <c r="E238" s="33" t="n">
        <v>310.6</v>
      </c>
      <c r="F238" s="33" t="n">
        <f aca="false">E237-E238</f>
        <v>-55.7</v>
      </c>
      <c r="G238" s="33" t="n">
        <v>5.21</v>
      </c>
      <c r="H238" s="33" t="n">
        <f aca="false">G238-G237</f>
        <v>0.93</v>
      </c>
      <c r="I238" s="33" t="n">
        <v>66</v>
      </c>
      <c r="J238" s="33" t="n">
        <f aca="false">I237-I238</f>
        <v>-12</v>
      </c>
    </row>
    <row r="239" customFormat="false" ht="13.8" hidden="false" customHeight="false" outlineLevel="0" collapsed="false">
      <c r="A239" s="33" t="n">
        <v>238</v>
      </c>
      <c r="B239" s="32" t="n">
        <v>44434</v>
      </c>
      <c r="C239" s="33" t="n">
        <v>9926</v>
      </c>
      <c r="D239" s="33" t="n">
        <f aca="false">C238-C239</f>
        <v>-2696</v>
      </c>
      <c r="E239" s="33" t="n">
        <v>431.4</v>
      </c>
      <c r="F239" s="33" t="n">
        <f aca="false">E238-E239</f>
        <v>-120.8</v>
      </c>
      <c r="G239" s="33" t="n">
        <v>7.15</v>
      </c>
      <c r="H239" s="33" t="n">
        <f aca="false">G239-G238</f>
        <v>1.94</v>
      </c>
      <c r="I239" s="33" t="n">
        <v>95</v>
      </c>
      <c r="J239" s="33" t="n">
        <f aca="false">I238-I239</f>
        <v>-29</v>
      </c>
    </row>
    <row r="240" customFormat="false" ht="13.8" hidden="false" customHeight="false" outlineLevel="0" collapsed="false">
      <c r="A240" s="33" t="n">
        <v>239</v>
      </c>
      <c r="B240" s="32" t="n">
        <v>44435</v>
      </c>
      <c r="C240" s="33" t="n">
        <v>11736</v>
      </c>
      <c r="D240" s="33" t="n">
        <f aca="false">C239-C240</f>
        <v>-1810</v>
      </c>
      <c r="E240" s="33" t="n">
        <v>504.9</v>
      </c>
      <c r="F240" s="33" t="n">
        <f aca="false">E239-E240</f>
        <v>-73.5</v>
      </c>
      <c r="G240" s="33" t="n">
        <v>8.45</v>
      </c>
      <c r="H240" s="33" t="n">
        <f aca="false">G240-G239</f>
        <v>1.3</v>
      </c>
      <c r="I240" s="33" t="n">
        <v>109</v>
      </c>
      <c r="J240" s="33" t="n">
        <f aca="false">I239-I240</f>
        <v>-14</v>
      </c>
    </row>
    <row r="241" customFormat="false" ht="13.8" hidden="false" customHeight="false" outlineLevel="0" collapsed="false">
      <c r="A241" s="33" t="n">
        <v>240</v>
      </c>
      <c r="B241" s="32" t="n">
        <v>44436</v>
      </c>
      <c r="C241" s="33" t="n">
        <v>18964</v>
      </c>
      <c r="D241" s="33" t="n">
        <f aca="false">C240-C241</f>
        <v>-7228</v>
      </c>
      <c r="E241" s="33" t="n">
        <v>828.8</v>
      </c>
      <c r="F241" s="33" t="n">
        <f aca="false">E240-E241</f>
        <v>-323.9</v>
      </c>
      <c r="G241" s="33" t="n">
        <v>13.65</v>
      </c>
      <c r="H241" s="33" t="n">
        <f aca="false">G241-G240</f>
        <v>5.2</v>
      </c>
      <c r="I241" s="33" t="n">
        <v>186</v>
      </c>
      <c r="J241" s="33" t="n">
        <f aca="false">I240-I241</f>
        <v>-77</v>
      </c>
    </row>
    <row r="242" customFormat="false" ht="13.8" hidden="false" customHeight="false" outlineLevel="0" collapsed="false">
      <c r="A242" s="33" t="n">
        <v>241</v>
      </c>
      <c r="B242" s="32" t="n">
        <v>44437</v>
      </c>
      <c r="C242" s="33" t="n">
        <v>23110</v>
      </c>
      <c r="D242" s="33" t="n">
        <f aca="false">C241-C242</f>
        <v>-4146</v>
      </c>
      <c r="E242" s="33" t="n">
        <v>1013.3</v>
      </c>
      <c r="F242" s="33" t="n">
        <f aca="false">E241-E242</f>
        <v>-184.5</v>
      </c>
      <c r="G242" s="33" t="n">
        <v>16.64</v>
      </c>
      <c r="H242" s="33" t="n">
        <f aca="false">G242-G241</f>
        <v>2.99</v>
      </c>
      <c r="I242" s="33" t="n">
        <v>228</v>
      </c>
      <c r="J242" s="33" t="n">
        <f aca="false">I241-I242</f>
        <v>-42</v>
      </c>
    </row>
    <row r="243" customFormat="false" ht="13.8" hidden="false" customHeight="false" outlineLevel="0" collapsed="false">
      <c r="A243" s="33" t="n">
        <v>242</v>
      </c>
      <c r="B243" s="32" t="n">
        <v>44438</v>
      </c>
      <c r="C243" s="33" t="n">
        <v>5909</v>
      </c>
      <c r="D243" s="33" t="n">
        <f aca="false">C242-C243</f>
        <v>17201</v>
      </c>
      <c r="E243" s="33" t="n">
        <v>259.1</v>
      </c>
      <c r="F243" s="33" t="n">
        <f aca="false">E242-E243</f>
        <v>754.2</v>
      </c>
      <c r="G243" s="33" t="n">
        <v>4.25</v>
      </c>
      <c r="H243" s="33" t="n">
        <f aca="false">G243-G242</f>
        <v>-12.39</v>
      </c>
      <c r="I243" s="33" t="n">
        <v>56</v>
      </c>
      <c r="J243" s="33" t="n">
        <f aca="false">I242-I243</f>
        <v>172</v>
      </c>
    </row>
    <row r="244" customFormat="false" ht="13.8" hidden="false" customHeight="false" outlineLevel="0" collapsed="false">
      <c r="A244" s="33" t="n">
        <v>243</v>
      </c>
      <c r="B244" s="32" t="n">
        <v>44439</v>
      </c>
      <c r="C244" s="33" t="n">
        <v>4998</v>
      </c>
      <c r="D244" s="33" t="n">
        <f aca="false">C243-C244</f>
        <v>911</v>
      </c>
      <c r="E244" s="33" t="n">
        <v>214.2</v>
      </c>
      <c r="F244" s="33" t="n">
        <f aca="false">E243-E244</f>
        <v>44.9</v>
      </c>
      <c r="G244" s="33" t="n">
        <v>3.6</v>
      </c>
      <c r="H244" s="33" t="n">
        <f aca="false">G244-G243</f>
        <v>-0.65</v>
      </c>
      <c r="I244" s="33" t="n">
        <v>45</v>
      </c>
      <c r="J244" s="33" t="n">
        <f aca="false">I243-I244</f>
        <v>11</v>
      </c>
    </row>
    <row r="245" customFormat="false" ht="13.8" hidden="false" customHeight="false" outlineLevel="0" collapsed="false">
      <c r="A245" s="33" t="n">
        <v>244</v>
      </c>
      <c r="B245" s="32" t="n">
        <v>44440</v>
      </c>
      <c r="C245" s="33" t="n">
        <v>7201</v>
      </c>
      <c r="D245" s="33" t="n">
        <f aca="false">C244-C245</f>
        <v>-2203</v>
      </c>
      <c r="E245" s="33" t="n">
        <v>309.2</v>
      </c>
      <c r="F245" s="33" t="n">
        <f aca="false">E244-E245</f>
        <v>-95</v>
      </c>
      <c r="G245" s="33" t="n">
        <v>5.18</v>
      </c>
      <c r="H245" s="33" t="n">
        <f aca="false">G245-G244</f>
        <v>1.58</v>
      </c>
      <c r="I245" s="33" t="n">
        <v>66</v>
      </c>
      <c r="J245" s="33" t="n">
        <f aca="false">I244-I245</f>
        <v>-21</v>
      </c>
      <c r="L245" s="1" t="s">
        <v>2</v>
      </c>
      <c r="M245" s="1" t="s">
        <v>179</v>
      </c>
      <c r="N245" s="1" t="s">
        <v>175</v>
      </c>
      <c r="O245" s="1" t="s">
        <v>177</v>
      </c>
    </row>
    <row r="246" customFormat="false" ht="13.8" hidden="false" customHeight="false" outlineLevel="0" collapsed="false">
      <c r="A246" s="33" t="n">
        <v>245</v>
      </c>
      <c r="B246" s="32" t="n">
        <v>44441</v>
      </c>
      <c r="C246" s="33" t="n">
        <v>7979</v>
      </c>
      <c r="D246" s="33" t="n">
        <f aca="false">C245-C246</f>
        <v>-778</v>
      </c>
      <c r="E246" s="33" t="n">
        <v>341.1</v>
      </c>
      <c r="F246" s="33" t="n">
        <f aca="false">E245-E246</f>
        <v>-31.9</v>
      </c>
      <c r="G246" s="33" t="n">
        <v>5.74</v>
      </c>
      <c r="H246" s="33" t="n">
        <f aca="false">G246-G245</f>
        <v>0.560000000000001</v>
      </c>
      <c r="I246" s="33" t="n">
        <v>71</v>
      </c>
      <c r="J246" s="33" t="n">
        <f aca="false">I245-I246</f>
        <v>-5</v>
      </c>
      <c r="K246" s="1" t="s">
        <v>8</v>
      </c>
      <c r="L246" s="1" t="n">
        <f aca="false">AVERAGE($C$245:$C$274)</f>
        <v>9304.9</v>
      </c>
      <c r="M246" s="1" t="n">
        <f aca="false">AVERAGE($E$245:$E$274)</f>
        <v>403.266666666667</v>
      </c>
      <c r="N246" s="1" t="n">
        <f aca="false">AVERAGE($G$245:$G$274)</f>
        <v>6.699</v>
      </c>
      <c r="O246" s="1" t="n">
        <f aca="false">AVERAGE($I$245:$I$274)</f>
        <v>87.9333333333333</v>
      </c>
    </row>
    <row r="247" customFormat="false" ht="13.8" hidden="false" customHeight="false" outlineLevel="0" collapsed="false">
      <c r="A247" s="33" t="n">
        <v>246</v>
      </c>
      <c r="B247" s="32" t="n">
        <v>44442</v>
      </c>
      <c r="C247" s="33" t="n">
        <v>6771</v>
      </c>
      <c r="D247" s="33" t="n">
        <f aca="false">C246-C247</f>
        <v>1208</v>
      </c>
      <c r="E247" s="33" t="n">
        <v>291.1</v>
      </c>
      <c r="F247" s="33" t="n">
        <f aca="false">E246-E247</f>
        <v>50</v>
      </c>
      <c r="G247" s="33" t="n">
        <v>4.88</v>
      </c>
      <c r="H247" s="33" t="n">
        <f aca="false">G247-G246</f>
        <v>-0.86</v>
      </c>
      <c r="I247" s="33" t="n">
        <v>62</v>
      </c>
      <c r="J247" s="33" t="n">
        <f aca="false">I246-I247</f>
        <v>9</v>
      </c>
      <c r="K247" s="1" t="s">
        <v>10</v>
      </c>
      <c r="L247" s="1" t="n">
        <f aca="false">SQRT(VAR($C$245:$C$274)/COUNT($C$245:$C$274))</f>
        <v>1087.1694708167</v>
      </c>
      <c r="M247" s="1" t="n">
        <f aca="false">SQRT(VAR($E$245:$E$274)/COUNT($E$245:$E$274))</f>
        <v>47.2643262556282</v>
      </c>
      <c r="N247" s="1" t="n">
        <f aca="false">SQRT(VAR($G$245:$G$274)/COUNT($G$245:$G$274))</f>
        <v>0.782888748867582</v>
      </c>
      <c r="O247" s="1" t="n">
        <f aca="false">SQRT(VAR($I$245:$I$274)/COUNT($I$245:$I$274))</f>
        <v>10.486108307325</v>
      </c>
    </row>
    <row r="248" customFormat="false" ht="13.8" hidden="false" customHeight="false" outlineLevel="0" collapsed="false">
      <c r="A248" s="33" t="n">
        <v>247</v>
      </c>
      <c r="B248" s="32" t="n">
        <v>44443</v>
      </c>
      <c r="C248" s="33" t="n">
        <v>15528</v>
      </c>
      <c r="D248" s="33" t="n">
        <f aca="false">C247-C248</f>
        <v>-8757</v>
      </c>
      <c r="E248" s="33" t="n">
        <v>676.1</v>
      </c>
      <c r="F248" s="33" t="n">
        <f aca="false">E247-E248</f>
        <v>-385</v>
      </c>
      <c r="G248" s="33" t="n">
        <v>11.18</v>
      </c>
      <c r="H248" s="33" t="n">
        <f aca="false">G248-G247</f>
        <v>6.3</v>
      </c>
      <c r="I248" s="33" t="n">
        <v>150</v>
      </c>
      <c r="J248" s="33" t="n">
        <f aca="false">I247-I248</f>
        <v>-88</v>
      </c>
      <c r="K248" s="1" t="s">
        <v>14</v>
      </c>
      <c r="L248" s="1" t="e">
        <f aca="false">MODE($C$245:$C$274)</f>
        <v>#VALUE!</v>
      </c>
      <c r="M248" s="1" t="e">
        <f aca="false">MODE($E$245:$E$274)</f>
        <v>#VALUE!</v>
      </c>
      <c r="N248" s="1" t="e">
        <f aca="false">MODE($G$245:$G$274)</f>
        <v>#VALUE!</v>
      </c>
      <c r="O248" s="1" t="n">
        <f aca="false">MODE($I$245:$I$274)</f>
        <v>3</v>
      </c>
    </row>
    <row r="249" customFormat="false" ht="13.8" hidden="false" customHeight="false" outlineLevel="0" collapsed="false">
      <c r="A249" s="33" t="n">
        <v>248</v>
      </c>
      <c r="B249" s="32" t="n">
        <v>44444</v>
      </c>
      <c r="C249" s="33" t="n">
        <v>25453</v>
      </c>
      <c r="D249" s="33" t="n">
        <f aca="false">C248-C249</f>
        <v>-9925</v>
      </c>
      <c r="E249" s="33" t="n">
        <v>1118</v>
      </c>
      <c r="F249" s="33" t="n">
        <f aca="false">E248-E249</f>
        <v>-441.9</v>
      </c>
      <c r="G249" s="33" t="n">
        <v>18.33</v>
      </c>
      <c r="H249" s="33" t="n">
        <f aca="false">G249-G248</f>
        <v>7.15</v>
      </c>
      <c r="I249" s="33" t="n">
        <v>252</v>
      </c>
      <c r="J249" s="33" t="n">
        <f aca="false">I248-I249</f>
        <v>-102</v>
      </c>
      <c r="K249" s="1" t="s">
        <v>12</v>
      </c>
      <c r="L249" s="1" t="n">
        <f aca="false">MEDIAN($C$245:$C$274)</f>
        <v>8513.5</v>
      </c>
      <c r="M249" s="1" t="n">
        <f aca="false">MEDIAN($E$245:$E$274)</f>
        <v>368.7</v>
      </c>
      <c r="N249" s="1" t="n">
        <f aca="false">MEDIAN($G$245:$G$274)</f>
        <v>6.13</v>
      </c>
      <c r="O249" s="1" t="n">
        <f aca="false">MEDIAN($I$245:$I$274)</f>
        <v>80</v>
      </c>
    </row>
    <row r="250" customFormat="false" ht="13.8" hidden="false" customHeight="false" outlineLevel="0" collapsed="false">
      <c r="A250" s="33" t="n">
        <v>249</v>
      </c>
      <c r="B250" s="32" t="n">
        <v>44445</v>
      </c>
      <c r="C250" s="33" t="n">
        <v>6912</v>
      </c>
      <c r="D250" s="33" t="n">
        <f aca="false">C249-C250</f>
        <v>18541</v>
      </c>
      <c r="E250" s="33" t="n">
        <v>298.1</v>
      </c>
      <c r="F250" s="33" t="n">
        <f aca="false">E249-E250</f>
        <v>819.9</v>
      </c>
      <c r="G250" s="33" t="n">
        <v>4.98</v>
      </c>
      <c r="H250" s="33" t="n">
        <f aca="false">G250-G249</f>
        <v>-13.35</v>
      </c>
      <c r="I250" s="33" t="n">
        <v>64</v>
      </c>
      <c r="J250" s="33" t="n">
        <f aca="false">I249-I250</f>
        <v>188</v>
      </c>
      <c r="K250" s="1" t="s">
        <v>195</v>
      </c>
      <c r="L250" s="1" t="n">
        <f aca="false">QUARTILE($C$245:$C$274, 1)</f>
        <v>6806.25</v>
      </c>
      <c r="M250" s="1" t="n">
        <f aca="false">QUARTILE($E$245:$E$274, 1)</f>
        <v>292.85</v>
      </c>
      <c r="N250" s="1" t="n">
        <f aca="false">QUARTILE($G$245:$G$274, 1)</f>
        <v>4.905</v>
      </c>
      <c r="O250" s="1" t="n">
        <f aca="false">QUARTILE($I$245:$I$274, 1)</f>
        <v>62.5</v>
      </c>
    </row>
    <row r="251" customFormat="false" ht="13.8" hidden="false" customHeight="false" outlineLevel="0" collapsed="false">
      <c r="A251" s="33" t="n">
        <v>250</v>
      </c>
      <c r="B251" s="32" t="n">
        <v>44446</v>
      </c>
      <c r="C251" s="33" t="n">
        <v>7800</v>
      </c>
      <c r="D251" s="33" t="n">
        <f aca="false">C250-C251</f>
        <v>-888</v>
      </c>
      <c r="E251" s="33" t="n">
        <v>341.5</v>
      </c>
      <c r="F251" s="33" t="n">
        <f aca="false">E250-E251</f>
        <v>-43.4</v>
      </c>
      <c r="G251" s="33" t="n">
        <v>5.62</v>
      </c>
      <c r="H251" s="33" t="n">
        <f aca="false">G251-G250</f>
        <v>0.64</v>
      </c>
      <c r="I251" s="33" t="n">
        <v>76</v>
      </c>
      <c r="J251" s="33" t="n">
        <f aca="false">I250-I251</f>
        <v>-12</v>
      </c>
      <c r="K251" s="1" t="s">
        <v>181</v>
      </c>
      <c r="L251" s="1" t="n">
        <f aca="false">QUARTILE($C$245:$C$274, 3)</f>
        <v>12700</v>
      </c>
      <c r="M251" s="1" t="n">
        <f aca="false">QUARTILE($E$245:$E$274, 3)</f>
        <v>546.175</v>
      </c>
      <c r="N251" s="1" t="n">
        <f aca="false">QUARTILE($G$245:$G$274, 3)</f>
        <v>9.1475</v>
      </c>
      <c r="O251" s="1" t="n">
        <f aca="false">QUARTILE($I$245:$I$274, 3)</f>
        <v>117</v>
      </c>
    </row>
    <row r="252" customFormat="false" ht="13.8" hidden="false" customHeight="false" outlineLevel="0" collapsed="false">
      <c r="A252" s="33" t="n">
        <v>251</v>
      </c>
      <c r="B252" s="32" t="n">
        <v>44447</v>
      </c>
      <c r="C252" s="33" t="n">
        <v>12814</v>
      </c>
      <c r="D252" s="33" t="n">
        <f aca="false">C251-C252</f>
        <v>-5014</v>
      </c>
      <c r="E252" s="33" t="n">
        <v>551.6</v>
      </c>
      <c r="F252" s="33" t="n">
        <f aca="false">E251-E252</f>
        <v>-210.1</v>
      </c>
      <c r="G252" s="33" t="n">
        <v>9.23</v>
      </c>
      <c r="H252" s="33" t="n">
        <f aca="false">G252-G251</f>
        <v>3.61</v>
      </c>
      <c r="I252" s="33" t="n">
        <v>119</v>
      </c>
      <c r="J252" s="33" t="n">
        <f aca="false">I251-I252</f>
        <v>-43</v>
      </c>
      <c r="K252" s="1" t="s">
        <v>182</v>
      </c>
      <c r="L252" s="1" t="n">
        <f aca="false">VAR($C$245:$C$274)</f>
        <v>35458123.7482759</v>
      </c>
      <c r="M252" s="1" t="n">
        <f aca="false">VAR($E$245:$E$274)</f>
        <v>67017.496091954</v>
      </c>
      <c r="N252" s="1" t="n">
        <f aca="false">VAR($G$245:$G$274)</f>
        <v>18.3874437931035</v>
      </c>
      <c r="O252" s="1" t="n">
        <f aca="false">VAR($I$245:$I$274)</f>
        <v>3298.75402298851</v>
      </c>
    </row>
    <row r="253" customFormat="false" ht="13.8" hidden="false" customHeight="false" outlineLevel="0" collapsed="false">
      <c r="A253" s="33" t="n">
        <v>252</v>
      </c>
      <c r="B253" s="32" t="n">
        <v>44448</v>
      </c>
      <c r="C253" s="33" t="n">
        <v>10915</v>
      </c>
      <c r="D253" s="33" t="n">
        <f aca="false">C252-C253</f>
        <v>1899</v>
      </c>
      <c r="E253" s="33" t="n">
        <v>469.4</v>
      </c>
      <c r="F253" s="33" t="n">
        <f aca="false">E252-E253</f>
        <v>82.2000000000001</v>
      </c>
      <c r="G253" s="33" t="n">
        <v>7.86</v>
      </c>
      <c r="H253" s="33" t="n">
        <f aca="false">G253-G252</f>
        <v>-1.37</v>
      </c>
      <c r="I253" s="33" t="n">
        <v>101</v>
      </c>
      <c r="J253" s="33" t="n">
        <f aca="false">I252-I253</f>
        <v>18</v>
      </c>
      <c r="K253" s="1" t="s">
        <v>16</v>
      </c>
      <c r="L253" s="1" t="n">
        <f aca="false">STDEV($C$245:$C$274)</f>
        <v>5954.67242997261</v>
      </c>
      <c r="M253" s="1" t="n">
        <f aca="false">STDEV($E$245:$E$274)</f>
        <v>258.877376554913</v>
      </c>
      <c r="N253" s="1" t="n">
        <f aca="false">STDEV($G$245:$G$274)</f>
        <v>4.28805827771772</v>
      </c>
      <c r="O253" s="1" t="n">
        <f aca="false">STDEV($I$245:$I$274)</f>
        <v>57.4347806036421</v>
      </c>
    </row>
    <row r="254" customFormat="false" ht="13.8" hidden="false" customHeight="false" outlineLevel="0" collapsed="false">
      <c r="A254" s="33" t="n">
        <v>253</v>
      </c>
      <c r="B254" s="32" t="n">
        <v>44449</v>
      </c>
      <c r="C254" s="33" t="n">
        <v>17442</v>
      </c>
      <c r="D254" s="33" t="n">
        <f aca="false">C253-C254</f>
        <v>-6527</v>
      </c>
      <c r="E254" s="33" t="n">
        <v>752.4</v>
      </c>
      <c r="F254" s="33" t="n">
        <f aca="false">E253-E254</f>
        <v>-283</v>
      </c>
      <c r="G254" s="33" t="n">
        <v>12.56</v>
      </c>
      <c r="H254" s="33" t="n">
        <f aca="false">G254-G253</f>
        <v>4.7</v>
      </c>
      <c r="I254" s="33" t="n">
        <v>164</v>
      </c>
      <c r="J254" s="33" t="n">
        <f aca="false">I253-I254</f>
        <v>-63</v>
      </c>
      <c r="K254" s="1" t="s">
        <v>20</v>
      </c>
      <c r="L254" s="1" t="n">
        <f aca="false">KURT($C$245:$C$274)</f>
        <v>0.409527096677836</v>
      </c>
      <c r="M254" s="1" t="n">
        <f aca="false">KURT($E$245:$E$274)</f>
        <v>0.547230611241666</v>
      </c>
      <c r="N254" s="1" t="n">
        <f aca="false">KURT($G$245:$G$274)</f>
        <v>0.411558612270071</v>
      </c>
      <c r="O254" s="1" t="n">
        <f aca="false">KURT($I$245:$I$274)</f>
        <v>0.844175780975617</v>
      </c>
    </row>
    <row r="255" customFormat="false" ht="13.8" hidden="false" customHeight="false" outlineLevel="0" collapsed="false">
      <c r="A255" s="33" t="n">
        <v>254</v>
      </c>
      <c r="B255" s="32" t="n">
        <v>44450</v>
      </c>
      <c r="C255" s="33" t="n">
        <v>9995</v>
      </c>
      <c r="D255" s="33" t="n">
        <f aca="false">C254-C255</f>
        <v>7447</v>
      </c>
      <c r="E255" s="33" t="n">
        <v>438.6</v>
      </c>
      <c r="F255" s="33" t="n">
        <f aca="false">E254-E255</f>
        <v>313.8</v>
      </c>
      <c r="G255" s="33" t="n">
        <v>7.2</v>
      </c>
      <c r="H255" s="33" t="n">
        <f aca="false">G255-G254</f>
        <v>-5.36</v>
      </c>
      <c r="I255" s="33" t="n">
        <v>99</v>
      </c>
      <c r="J255" s="33" t="n">
        <f aca="false">I254-I255</f>
        <v>65</v>
      </c>
      <c r="K255" s="1" t="s">
        <v>22</v>
      </c>
      <c r="L255" s="1" t="n">
        <f aca="false">SKEW($C$245:$C$274)</f>
        <v>0.508089602603161</v>
      </c>
      <c r="M255" s="1" t="n">
        <f aca="false">SKEW($E$245:$E$274)</f>
        <v>0.549556496113956</v>
      </c>
      <c r="N255" s="1" t="n">
        <f aca="false">SKEW($G$245:$G$274)</f>
        <v>0.508672780324679</v>
      </c>
      <c r="O255" s="1" t="n">
        <f aca="false">SKEW($I$245:$I$274)</f>
        <v>0.646466809226723</v>
      </c>
    </row>
    <row r="256" customFormat="false" ht="13.8" hidden="false" customHeight="false" outlineLevel="0" collapsed="false">
      <c r="A256" s="33" t="n">
        <v>255</v>
      </c>
      <c r="B256" s="32" t="n">
        <v>44451</v>
      </c>
      <c r="C256" s="33" t="n">
        <v>16377</v>
      </c>
      <c r="D256" s="33" t="n">
        <f aca="false">C255-C256</f>
        <v>-6382</v>
      </c>
      <c r="E256" s="33" t="n">
        <v>715.8</v>
      </c>
      <c r="F256" s="33" t="n">
        <f aca="false">E255-E256</f>
        <v>-277.2</v>
      </c>
      <c r="G256" s="33" t="n">
        <v>11.79</v>
      </c>
      <c r="H256" s="33" t="n">
        <f aca="false">G256-G255</f>
        <v>4.59</v>
      </c>
      <c r="I256" s="33" t="n">
        <v>161</v>
      </c>
      <c r="J256" s="33" t="n">
        <f aca="false">I255-I256</f>
        <v>-62</v>
      </c>
      <c r="K256" s="1" t="s">
        <v>24</v>
      </c>
      <c r="L256" s="1" t="n">
        <f aca="false">MAX($C$245:$C$274)-MIN($C$245:$C$274)</f>
        <v>25284</v>
      </c>
      <c r="M256" s="1" t="n">
        <f aca="false">MAX($E$245:$E$274)-MIN($E$245:$E$274)</f>
        <v>1110.1</v>
      </c>
      <c r="N256" s="1" t="n">
        <f aca="false">MAX($G$245:$G$274)-MIN($G$245:$G$274)</f>
        <v>18.21</v>
      </c>
      <c r="O256" s="1" t="n">
        <f aca="false">MAX($I$245:$I$274)-MIN($I$245:$I$274)</f>
        <v>251</v>
      </c>
    </row>
    <row r="257" customFormat="false" ht="13.8" hidden="false" customHeight="false" outlineLevel="0" collapsed="false">
      <c r="A257" s="33" t="n">
        <v>256</v>
      </c>
      <c r="B257" s="32" t="n">
        <v>44452</v>
      </c>
      <c r="C257" s="33" t="n">
        <v>2011</v>
      </c>
      <c r="D257" s="33" t="n">
        <f aca="false">C256-C257</f>
        <v>14366</v>
      </c>
      <c r="E257" s="33" t="n">
        <v>91.5</v>
      </c>
      <c r="F257" s="33" t="n">
        <f aca="false">E256-E257</f>
        <v>624.3</v>
      </c>
      <c r="G257" s="33" t="n">
        <v>1.45</v>
      </c>
      <c r="H257" s="33" t="n">
        <f aca="false">G257-G256</f>
        <v>-10.34</v>
      </c>
      <c r="I257" s="33" t="n">
        <v>21</v>
      </c>
      <c r="J257" s="33" t="n">
        <f aca="false">I256-I257</f>
        <v>140</v>
      </c>
      <c r="K257" s="1" t="s">
        <v>26</v>
      </c>
      <c r="L257" s="1" t="n">
        <f aca="false">MIN($C$245:$C$274)</f>
        <v>169</v>
      </c>
      <c r="M257" s="1" t="n">
        <f aca="false">MIN($E$245:$E$274)</f>
        <v>7.9</v>
      </c>
      <c r="N257" s="1" t="n">
        <f aca="false">MIN($G$245:$G$274)</f>
        <v>0.12</v>
      </c>
      <c r="O257" s="1" t="n">
        <f aca="false">MIN($I$245:$I$274)</f>
        <v>1</v>
      </c>
    </row>
    <row r="258" customFormat="false" ht="13.8" hidden="false" customHeight="false" outlineLevel="0" collapsed="false">
      <c r="A258" s="33" t="n">
        <v>257</v>
      </c>
      <c r="B258" s="32" t="n">
        <v>44453</v>
      </c>
      <c r="C258" s="33" t="n">
        <v>16250</v>
      </c>
      <c r="D258" s="33" t="n">
        <f aca="false">C257-C258</f>
        <v>-14239</v>
      </c>
      <c r="E258" s="33" t="n">
        <v>705.6</v>
      </c>
      <c r="F258" s="33" t="n">
        <f aca="false">E257-E258</f>
        <v>-614.1</v>
      </c>
      <c r="G258" s="33" t="n">
        <v>11.7</v>
      </c>
      <c r="H258" s="33" t="n">
        <f aca="false">G258-G257</f>
        <v>10.25</v>
      </c>
      <c r="I258" s="33" t="n">
        <v>155</v>
      </c>
      <c r="J258" s="33" t="n">
        <f aca="false">I257-I258</f>
        <v>-134</v>
      </c>
      <c r="K258" s="1" t="s">
        <v>28</v>
      </c>
      <c r="L258" s="1" t="n">
        <f aca="false">MAX($C$245:$C$274)</f>
        <v>25453</v>
      </c>
      <c r="M258" s="1" t="n">
        <f aca="false">MAX($E$245:$E$274)</f>
        <v>1118</v>
      </c>
      <c r="N258" s="1" t="n">
        <f aca="false">MAX($G$245:$G$274)</f>
        <v>18.33</v>
      </c>
      <c r="O258" s="1" t="n">
        <f aca="false">MAX($I$245:$I$274)</f>
        <v>252</v>
      </c>
    </row>
    <row r="259" customFormat="false" ht="13.8" hidden="false" customHeight="false" outlineLevel="0" collapsed="false">
      <c r="A259" s="33" t="n">
        <v>258</v>
      </c>
      <c r="B259" s="32" t="n">
        <v>44454</v>
      </c>
      <c r="C259" s="33" t="n">
        <v>16147</v>
      </c>
      <c r="D259" s="33" t="n">
        <f aca="false">C258-C259</f>
        <v>103</v>
      </c>
      <c r="E259" s="33" t="n">
        <v>695.9</v>
      </c>
      <c r="F259" s="33" t="n">
        <f aca="false">E258-E259</f>
        <v>9.70000000000005</v>
      </c>
      <c r="G259" s="33" t="n">
        <v>11.63</v>
      </c>
      <c r="H259" s="33" t="n">
        <f aca="false">G259-G258</f>
        <v>-0.0699999999999985</v>
      </c>
      <c r="I259" s="33" t="n">
        <v>151</v>
      </c>
      <c r="J259" s="33" t="n">
        <f aca="false">I258-I259</f>
        <v>4</v>
      </c>
      <c r="K259" s="1" t="s">
        <v>30</v>
      </c>
      <c r="L259" s="1" t="n">
        <f aca="false">SUM($C$245:$C$274)</f>
        <v>279147</v>
      </c>
      <c r="M259" s="1" t="n">
        <f aca="false">SUM($E$245:$E$274)</f>
        <v>12098</v>
      </c>
      <c r="N259" s="1" t="n">
        <f aca="false">SUM($G$245:$G$274)</f>
        <v>200.97</v>
      </c>
      <c r="O259" s="1" t="n">
        <f aca="false">SUM($I$245:$I$274)</f>
        <v>2638</v>
      </c>
    </row>
    <row r="260" customFormat="false" ht="13.8" hidden="false" customHeight="false" outlineLevel="0" collapsed="false">
      <c r="A260" s="33" t="n">
        <v>259</v>
      </c>
      <c r="B260" s="32" t="n">
        <v>44455</v>
      </c>
      <c r="C260" s="33" t="n">
        <v>10419</v>
      </c>
      <c r="D260" s="33" t="n">
        <f aca="false">C259-C260</f>
        <v>5728</v>
      </c>
      <c r="E260" s="33" t="n">
        <v>451.3</v>
      </c>
      <c r="F260" s="33" t="n">
        <f aca="false">E259-E260</f>
        <v>244.6</v>
      </c>
      <c r="G260" s="33" t="n">
        <v>7.5</v>
      </c>
      <c r="H260" s="33" t="n">
        <f aca="false">G260-G259</f>
        <v>-4.13</v>
      </c>
      <c r="I260" s="33" t="n">
        <v>99</v>
      </c>
      <c r="J260" s="33" t="n">
        <f aca="false">I259-I260</f>
        <v>52</v>
      </c>
      <c r="K260" s="1" t="s">
        <v>32</v>
      </c>
      <c r="L260" s="1" t="n">
        <f aca="false">COUNT($C$245:$C$274)</f>
        <v>30</v>
      </c>
      <c r="M260" s="1" t="n">
        <f aca="false">COUNT($E$245:$E$274)</f>
        <v>30</v>
      </c>
      <c r="N260" s="1" t="n">
        <f aca="false">COUNT($G$245:$G$274)</f>
        <v>30</v>
      </c>
      <c r="O260" s="1" t="n">
        <f aca="false">COUNT($I$245:$I$274)</f>
        <v>30</v>
      </c>
    </row>
    <row r="261" customFormat="false" ht="13.8" hidden="false" customHeight="false" outlineLevel="0" collapsed="false">
      <c r="A261" s="33" t="n">
        <v>260</v>
      </c>
      <c r="B261" s="32" t="n">
        <v>44456</v>
      </c>
      <c r="C261" s="33" t="n">
        <v>7602</v>
      </c>
      <c r="D261" s="33" t="n">
        <f aca="false">C260-C261</f>
        <v>2817</v>
      </c>
      <c r="E261" s="33" t="n">
        <v>328.5</v>
      </c>
      <c r="F261" s="33" t="n">
        <f aca="false">E260-E261</f>
        <v>122.8</v>
      </c>
      <c r="G261" s="33" t="n">
        <v>5.47</v>
      </c>
      <c r="H261" s="33" t="n">
        <f aca="false">G261-G260</f>
        <v>-2.03</v>
      </c>
      <c r="I261" s="33" t="n">
        <v>71</v>
      </c>
      <c r="J261" s="33" t="n">
        <f aca="false">I260-I261</f>
        <v>28</v>
      </c>
    </row>
    <row r="262" customFormat="false" ht="13.8" hidden="false" customHeight="false" outlineLevel="0" collapsed="false">
      <c r="A262" s="33" t="n">
        <v>261</v>
      </c>
      <c r="B262" s="32" t="n">
        <v>44457</v>
      </c>
      <c r="C262" s="33" t="n">
        <v>7287</v>
      </c>
      <c r="D262" s="33" t="n">
        <f aca="false">C261-C262</f>
        <v>315</v>
      </c>
      <c r="E262" s="33" t="n">
        <v>322.2</v>
      </c>
      <c r="F262" s="33" t="n">
        <f aca="false">E261-E262</f>
        <v>6.30000000000001</v>
      </c>
      <c r="G262" s="33" t="n">
        <v>5.25</v>
      </c>
      <c r="H262" s="33" t="n">
        <f aca="false">G262-G261</f>
        <v>-0.22</v>
      </c>
      <c r="I262" s="33" t="n">
        <v>73</v>
      </c>
      <c r="J262" s="33" t="n">
        <f aca="false">I261-I262</f>
        <v>-2</v>
      </c>
    </row>
    <row r="263" customFormat="false" ht="13.8" hidden="false" customHeight="false" outlineLevel="0" collapsed="false">
      <c r="A263" s="33" t="n">
        <v>262</v>
      </c>
      <c r="B263" s="32" t="n">
        <v>44458</v>
      </c>
      <c r="C263" s="33" t="n">
        <v>169</v>
      </c>
      <c r="D263" s="33" t="n">
        <f aca="false">C262-C263</f>
        <v>7118</v>
      </c>
      <c r="E263" s="33" t="n">
        <v>7.9</v>
      </c>
      <c r="F263" s="33" t="n">
        <f aca="false">E262-E263</f>
        <v>314.3</v>
      </c>
      <c r="G263" s="33" t="n">
        <v>0.12</v>
      </c>
      <c r="H263" s="33" t="n">
        <f aca="false">G263-G262</f>
        <v>-5.13</v>
      </c>
      <c r="I263" s="33" t="n">
        <v>1</v>
      </c>
      <c r="J263" s="33" t="n">
        <f aca="false">I262-I263</f>
        <v>72</v>
      </c>
    </row>
    <row r="264" customFormat="false" ht="13.8" hidden="false" customHeight="false" outlineLevel="0" collapsed="false">
      <c r="A264" s="33" t="n">
        <v>263</v>
      </c>
      <c r="B264" s="32" t="n">
        <v>44459</v>
      </c>
      <c r="C264" s="33" t="n">
        <v>3855</v>
      </c>
      <c r="D264" s="33" t="n">
        <f aca="false">C263-C264</f>
        <v>-3686</v>
      </c>
      <c r="E264" s="33" t="n">
        <v>167.5</v>
      </c>
      <c r="F264" s="33" t="n">
        <f aca="false">E263-E264</f>
        <v>-159.6</v>
      </c>
      <c r="G264" s="33" t="n">
        <v>2.78</v>
      </c>
      <c r="H264" s="33" t="n">
        <f aca="false">G264-G263</f>
        <v>2.66</v>
      </c>
      <c r="I264" s="33" t="n">
        <v>36</v>
      </c>
      <c r="J264" s="33" t="n">
        <f aca="false">I263-I264</f>
        <v>-35</v>
      </c>
    </row>
    <row r="265" customFormat="false" ht="13.8" hidden="false" customHeight="false" outlineLevel="0" collapsed="false">
      <c r="A265" s="33" t="n">
        <v>264</v>
      </c>
      <c r="B265" s="32" t="n">
        <v>44460</v>
      </c>
      <c r="C265" s="33" t="n">
        <v>12358</v>
      </c>
      <c r="D265" s="33" t="n">
        <f aca="false">C264-C265</f>
        <v>-8503</v>
      </c>
      <c r="E265" s="33" t="n">
        <v>529.9</v>
      </c>
      <c r="F265" s="33" t="n">
        <f aca="false">E264-E265</f>
        <v>-362.4</v>
      </c>
      <c r="G265" s="33" t="n">
        <v>8.9</v>
      </c>
      <c r="H265" s="33" t="n">
        <f aca="false">G265-G264</f>
        <v>6.12</v>
      </c>
      <c r="I265" s="33" t="n">
        <v>111</v>
      </c>
      <c r="J265" s="33" t="n">
        <f aca="false">I264-I265</f>
        <v>-75</v>
      </c>
    </row>
    <row r="266" customFormat="false" ht="13.8" hidden="false" customHeight="false" outlineLevel="0" collapsed="false">
      <c r="A266" s="33" t="n">
        <v>265</v>
      </c>
      <c r="B266" s="32" t="n">
        <v>44461</v>
      </c>
      <c r="C266" s="33" t="n">
        <v>340</v>
      </c>
      <c r="D266" s="33" t="n">
        <f aca="false">C265-C266</f>
        <v>12018</v>
      </c>
      <c r="E266" s="33" t="n">
        <v>15.4</v>
      </c>
      <c r="F266" s="33" t="n">
        <f aca="false">E265-E266</f>
        <v>514.5</v>
      </c>
      <c r="G266" s="33" t="n">
        <v>0.24</v>
      </c>
      <c r="H266" s="33" t="n">
        <f aca="false">G266-G265</f>
        <v>-8.66</v>
      </c>
      <c r="I266" s="33" t="n">
        <v>3</v>
      </c>
      <c r="J266" s="33" t="n">
        <f aca="false">I265-I266</f>
        <v>108</v>
      </c>
    </row>
    <row r="267" customFormat="false" ht="13.8" hidden="false" customHeight="false" outlineLevel="0" collapsed="false">
      <c r="A267" s="33" t="n">
        <v>266</v>
      </c>
      <c r="B267" s="32" t="n">
        <v>44462</v>
      </c>
      <c r="C267" s="33" t="n">
        <v>15811</v>
      </c>
      <c r="D267" s="33" t="n">
        <f aca="false">C266-C267</f>
        <v>-15471</v>
      </c>
      <c r="E267" s="33" t="n">
        <v>676</v>
      </c>
      <c r="F267" s="33" t="n">
        <f aca="false">E266-E267</f>
        <v>-660.6</v>
      </c>
      <c r="G267" s="33" t="n">
        <v>11.38</v>
      </c>
      <c r="H267" s="33" t="n">
        <f aca="false">G267-G266</f>
        <v>11.14</v>
      </c>
      <c r="I267" s="33" t="n">
        <v>142</v>
      </c>
      <c r="J267" s="33" t="n">
        <f aca="false">I266-I267</f>
        <v>-139</v>
      </c>
    </row>
    <row r="268" customFormat="false" ht="13.8" hidden="false" customHeight="false" outlineLevel="0" collapsed="false">
      <c r="A268" s="33" t="n">
        <v>267</v>
      </c>
      <c r="B268" s="32" t="n">
        <v>44463</v>
      </c>
      <c r="C268" s="33" t="n">
        <v>279</v>
      </c>
      <c r="D268" s="33" t="n">
        <f aca="false">C267-C268</f>
        <v>15532</v>
      </c>
      <c r="E268" s="33" t="n">
        <v>12.7</v>
      </c>
      <c r="F268" s="33" t="n">
        <f aca="false">E267-E268</f>
        <v>663.3</v>
      </c>
      <c r="G268" s="33" t="n">
        <v>0.2</v>
      </c>
      <c r="H268" s="33" t="n">
        <f aca="false">G268-G267</f>
        <v>-11.18</v>
      </c>
      <c r="I268" s="33" t="n">
        <v>3</v>
      </c>
      <c r="J268" s="33" t="n">
        <f aca="false">I267-I268</f>
        <v>139</v>
      </c>
    </row>
    <row r="269" customFormat="false" ht="13.8" hidden="false" customHeight="false" outlineLevel="0" collapsed="false">
      <c r="A269" s="33" t="n">
        <v>268</v>
      </c>
      <c r="B269" s="32" t="n">
        <v>44464</v>
      </c>
      <c r="C269" s="33" t="n">
        <v>2486</v>
      </c>
      <c r="D269" s="33" t="n">
        <f aca="false">C268-C269</f>
        <v>-2207</v>
      </c>
      <c r="E269" s="33" t="n">
        <v>106.3</v>
      </c>
      <c r="F269" s="33" t="n">
        <f aca="false">E268-E269</f>
        <v>-93.6</v>
      </c>
      <c r="G269" s="33" t="n">
        <v>1.79</v>
      </c>
      <c r="H269" s="33" t="n">
        <f aca="false">G269-G268</f>
        <v>1.59</v>
      </c>
      <c r="I269" s="33" t="n">
        <v>22</v>
      </c>
      <c r="J269" s="33" t="n">
        <f aca="false">I268-I269</f>
        <v>-19</v>
      </c>
    </row>
    <row r="270" customFormat="false" ht="13.8" hidden="false" customHeight="false" outlineLevel="0" collapsed="false">
      <c r="A270" s="33" t="n">
        <v>269</v>
      </c>
      <c r="B270" s="32" t="n">
        <v>44465</v>
      </c>
      <c r="C270" s="33" t="n">
        <v>2576</v>
      </c>
      <c r="D270" s="33" t="n">
        <f aca="false">C269-C270</f>
        <v>-90</v>
      </c>
      <c r="E270" s="33" t="n">
        <v>111.1</v>
      </c>
      <c r="F270" s="33" t="n">
        <f aca="false">E269-E270</f>
        <v>-4.8</v>
      </c>
      <c r="G270" s="33" t="n">
        <v>1.85</v>
      </c>
      <c r="H270" s="33" t="n">
        <f aca="false">G270-G269</f>
        <v>0.0600000000000001</v>
      </c>
      <c r="I270" s="33" t="n">
        <v>24</v>
      </c>
      <c r="J270" s="33" t="n">
        <f aca="false">I269-I270</f>
        <v>-2</v>
      </c>
    </row>
    <row r="271" customFormat="false" ht="13.8" hidden="false" customHeight="false" outlineLevel="0" collapsed="false">
      <c r="A271" s="33" t="n">
        <v>270</v>
      </c>
      <c r="B271" s="32" t="n">
        <v>44466</v>
      </c>
      <c r="C271" s="33" t="n">
        <v>8521</v>
      </c>
      <c r="D271" s="33" t="n">
        <f aca="false">C270-C271</f>
        <v>-5945</v>
      </c>
      <c r="E271" s="33" t="n">
        <v>374.2</v>
      </c>
      <c r="F271" s="33" t="n">
        <f aca="false">E270-E271</f>
        <v>-263.1</v>
      </c>
      <c r="G271" s="33" t="n">
        <v>6.14</v>
      </c>
      <c r="H271" s="33" t="n">
        <f aca="false">G271-G270</f>
        <v>4.29</v>
      </c>
      <c r="I271" s="33" t="n">
        <v>84</v>
      </c>
      <c r="J271" s="33" t="n">
        <f aca="false">I270-I271</f>
        <v>-60</v>
      </c>
    </row>
    <row r="272" customFormat="false" ht="13.8" hidden="false" customHeight="false" outlineLevel="0" collapsed="false">
      <c r="A272" s="33" t="n">
        <v>271</v>
      </c>
      <c r="B272" s="32" t="n">
        <v>44467</v>
      </c>
      <c r="C272" s="33" t="n">
        <v>9372</v>
      </c>
      <c r="D272" s="33" t="n">
        <f aca="false">C271-C272</f>
        <v>-851</v>
      </c>
      <c r="E272" s="33" t="n">
        <v>403.5</v>
      </c>
      <c r="F272" s="33" t="n">
        <f aca="false">E271-E272</f>
        <v>-29.3</v>
      </c>
      <c r="G272" s="33" t="n">
        <v>6.75</v>
      </c>
      <c r="H272" s="33" t="n">
        <f aca="false">G272-G271</f>
        <v>0.61</v>
      </c>
      <c r="I272" s="33" t="n">
        <v>87</v>
      </c>
      <c r="J272" s="33" t="n">
        <f aca="false">I271-I272</f>
        <v>-3</v>
      </c>
    </row>
    <row r="273" customFormat="false" ht="13.8" hidden="false" customHeight="false" outlineLevel="0" collapsed="false">
      <c r="A273" s="33" t="n">
        <v>272</v>
      </c>
      <c r="B273" s="32" t="n">
        <v>44468</v>
      </c>
      <c r="C273" s="33" t="n">
        <v>9971</v>
      </c>
      <c r="D273" s="33" t="n">
        <f aca="false">C272-C273</f>
        <v>-599</v>
      </c>
      <c r="E273" s="33" t="n">
        <v>432.4</v>
      </c>
      <c r="F273" s="33" t="n">
        <f aca="false">E272-E273</f>
        <v>-28.9</v>
      </c>
      <c r="G273" s="33" t="n">
        <v>7.15</v>
      </c>
      <c r="H273" s="33" t="n">
        <f aca="false">G273-G272</f>
        <v>0.4</v>
      </c>
      <c r="I273" s="33" t="n">
        <v>94</v>
      </c>
      <c r="J273" s="33" t="n">
        <f aca="false">I272-I273</f>
        <v>-7</v>
      </c>
    </row>
    <row r="274" customFormat="false" ht="13.8" hidden="false" customHeight="false" outlineLevel="0" collapsed="false">
      <c r="A274" s="33" t="n">
        <v>273</v>
      </c>
      <c r="B274" s="32" t="n">
        <v>44469</v>
      </c>
      <c r="C274" s="33" t="n">
        <v>8506</v>
      </c>
      <c r="D274" s="33" t="n">
        <f aca="false">C273-C274</f>
        <v>1465</v>
      </c>
      <c r="E274" s="33" t="n">
        <v>363.2</v>
      </c>
      <c r="F274" s="33" t="n">
        <f aca="false">E273-E274</f>
        <v>69.2</v>
      </c>
      <c r="G274" s="33" t="n">
        <v>6.12</v>
      </c>
      <c r="H274" s="33" t="n">
        <f aca="false">G274-G273</f>
        <v>-1.03</v>
      </c>
      <c r="I274" s="33" t="n">
        <v>76</v>
      </c>
      <c r="J274" s="33" t="n">
        <f aca="false">I273-I274</f>
        <v>18</v>
      </c>
    </row>
    <row r="275" customFormat="false" ht="13.8" hidden="false" customHeight="false" outlineLevel="0" collapsed="false">
      <c r="A275" s="33" t="n">
        <v>274</v>
      </c>
      <c r="B275" s="32" t="n">
        <v>44470</v>
      </c>
      <c r="C275" s="33" t="n">
        <v>6716</v>
      </c>
      <c r="D275" s="33" t="n">
        <f aca="false">C274-C275</f>
        <v>1790</v>
      </c>
      <c r="E275" s="33" t="n">
        <v>287.1</v>
      </c>
      <c r="F275" s="33" t="n">
        <f aca="false">E274-E275</f>
        <v>76.1</v>
      </c>
      <c r="G275" s="33" t="n">
        <v>4.84</v>
      </c>
      <c r="H275" s="33" t="n">
        <f aca="false">G275-G274</f>
        <v>-1.28</v>
      </c>
      <c r="I275" s="33" t="n">
        <v>60</v>
      </c>
      <c r="J275" s="33" t="n">
        <f aca="false">I274-I275</f>
        <v>16</v>
      </c>
      <c r="L275" s="1" t="s">
        <v>2</v>
      </c>
      <c r="M275" s="1" t="s">
        <v>179</v>
      </c>
      <c r="N275" s="1" t="s">
        <v>175</v>
      </c>
      <c r="O275" s="1" t="s">
        <v>177</v>
      </c>
    </row>
    <row r="276" customFormat="false" ht="13.8" hidden="false" customHeight="false" outlineLevel="0" collapsed="false">
      <c r="A276" s="33" t="n">
        <v>275</v>
      </c>
      <c r="B276" s="32" t="n">
        <v>44471</v>
      </c>
      <c r="C276" s="33" t="n">
        <v>253</v>
      </c>
      <c r="D276" s="33" t="n">
        <f aca="false">C275-C276</f>
        <v>6463</v>
      </c>
      <c r="E276" s="33" t="n">
        <v>11.1</v>
      </c>
      <c r="F276" s="33" t="n">
        <f aca="false">E275-E276</f>
        <v>276</v>
      </c>
      <c r="G276" s="33" t="n">
        <v>0.18</v>
      </c>
      <c r="H276" s="33" t="n">
        <f aca="false">G276-G275</f>
        <v>-4.66</v>
      </c>
      <c r="I276" s="33" t="n">
        <v>2</v>
      </c>
      <c r="J276" s="33" t="n">
        <f aca="false">I275-I276</f>
        <v>58</v>
      </c>
      <c r="K276" s="1" t="s">
        <v>8</v>
      </c>
      <c r="L276" s="1" t="n">
        <f aca="false">AVERAGE($C$275:$C$305)</f>
        <v>5420.67741935484</v>
      </c>
      <c r="M276" s="1" t="n">
        <f aca="false">AVERAGE($E$275:$E$305)</f>
        <v>233.645161290323</v>
      </c>
      <c r="N276" s="1" t="n">
        <f aca="false">AVERAGE($G$275:$G$305)</f>
        <v>3.90258064516129</v>
      </c>
      <c r="O276" s="1" t="n">
        <f aca="false">AVERAGE($I$275:$I$305)</f>
        <v>50.0645161290323</v>
      </c>
    </row>
    <row r="277" customFormat="false" ht="13.8" hidden="false" customHeight="false" outlineLevel="0" collapsed="false">
      <c r="A277" s="33" t="n">
        <v>276</v>
      </c>
      <c r="B277" s="32" t="n">
        <v>44472</v>
      </c>
      <c r="C277" s="33" t="n">
        <v>223</v>
      </c>
      <c r="D277" s="33" t="n">
        <f aca="false">C276-C277</f>
        <v>30</v>
      </c>
      <c r="E277" s="33" t="n">
        <v>10.2</v>
      </c>
      <c r="F277" s="33" t="n">
        <f aca="false">E276-E277</f>
        <v>0.9</v>
      </c>
      <c r="G277" s="33" t="n">
        <v>0.16</v>
      </c>
      <c r="H277" s="33" t="n">
        <f aca="false">G277-G276</f>
        <v>-0.02</v>
      </c>
      <c r="I277" s="33" t="n">
        <v>2</v>
      </c>
      <c r="J277" s="33" t="n">
        <f aca="false">I276-I277</f>
        <v>0</v>
      </c>
      <c r="K277" s="1" t="s">
        <v>10</v>
      </c>
      <c r="L277" s="1" t="n">
        <f aca="false">SQRT(VAR($C$275:$C$305)/COUNT($C$275:$C$305))</f>
        <v>654.646072624253</v>
      </c>
      <c r="M277" s="1" t="n">
        <f aca="false">SQRT(VAR($E$275:$E$305)/COUNT($E$275:$E$305))</f>
        <v>28.0947574180816</v>
      </c>
      <c r="N277" s="1" t="n">
        <f aca="false">SQRT(VAR($G$275:$G$305)/COUNT($G$275:$G$305))</f>
        <v>0.471392119892972</v>
      </c>
      <c r="O277" s="1" t="n">
        <f aca="false">SQRT(VAR($I$275:$I$305)/COUNT($I$275:$I$305))</f>
        <v>6.00500427222162</v>
      </c>
    </row>
    <row r="278" customFormat="false" ht="13.8" hidden="false" customHeight="false" outlineLevel="0" collapsed="false">
      <c r="A278" s="33" t="n">
        <v>277</v>
      </c>
      <c r="B278" s="32" t="n">
        <v>44473</v>
      </c>
      <c r="C278" s="33" t="n">
        <v>9669</v>
      </c>
      <c r="D278" s="33" t="n">
        <f aca="false">C277-C278</f>
        <v>-9446</v>
      </c>
      <c r="E278" s="33" t="n">
        <v>416.7</v>
      </c>
      <c r="F278" s="33" t="n">
        <f aca="false">E277-E278</f>
        <v>-406.5</v>
      </c>
      <c r="G278" s="33" t="n">
        <v>6.96</v>
      </c>
      <c r="H278" s="33" t="n">
        <f aca="false">G278-G277</f>
        <v>6.8</v>
      </c>
      <c r="I278" s="33" t="n">
        <v>90</v>
      </c>
      <c r="J278" s="33" t="n">
        <f aca="false">I277-I278</f>
        <v>-88</v>
      </c>
      <c r="K278" s="1" t="s">
        <v>14</v>
      </c>
      <c r="L278" s="1" t="e">
        <f aca="false">MODE($C$275:$C$305)</f>
        <v>#VALUE!</v>
      </c>
      <c r="M278" s="1" t="e">
        <f aca="false">MODE($E$275:$E$305)</f>
        <v>#VALUE!</v>
      </c>
      <c r="N278" s="1" t="n">
        <f aca="false">MODE($G$275:$G$305)</f>
        <v>4.72</v>
      </c>
      <c r="O278" s="1" t="n">
        <f aca="false">MODE($I$275:$I$305)</f>
        <v>2</v>
      </c>
    </row>
    <row r="279" customFormat="false" ht="13.8" hidden="false" customHeight="false" outlineLevel="0" collapsed="false">
      <c r="A279" s="33" t="n">
        <v>278</v>
      </c>
      <c r="B279" s="32" t="n">
        <v>44474</v>
      </c>
      <c r="C279" s="33" t="n">
        <v>6561</v>
      </c>
      <c r="D279" s="33" t="n">
        <f aca="false">C278-C279</f>
        <v>3108</v>
      </c>
      <c r="E279" s="33" t="n">
        <v>280.5</v>
      </c>
      <c r="F279" s="33" t="n">
        <f aca="false">E278-E279</f>
        <v>136.2</v>
      </c>
      <c r="G279" s="33" t="n">
        <v>4.72</v>
      </c>
      <c r="H279" s="33" t="n">
        <f aca="false">G279-G278</f>
        <v>-2.24</v>
      </c>
      <c r="I279" s="33" t="n">
        <v>59</v>
      </c>
      <c r="J279" s="33" t="n">
        <f aca="false">I278-I279</f>
        <v>31</v>
      </c>
      <c r="K279" s="1" t="s">
        <v>12</v>
      </c>
      <c r="L279" s="1" t="n">
        <f aca="false">MEDIAN($C$275:$C$305)</f>
        <v>6068</v>
      </c>
      <c r="M279" s="1" t="n">
        <f aca="false">MEDIAN($E$275:$E$305)</f>
        <v>262</v>
      </c>
      <c r="N279" s="1" t="n">
        <f aca="false">MEDIAN($G$275:$G$305)</f>
        <v>4.37</v>
      </c>
      <c r="O279" s="1" t="n">
        <f aca="false">MEDIAN($I$275:$I$305)</f>
        <v>57</v>
      </c>
    </row>
    <row r="280" customFormat="false" ht="13.8" hidden="false" customHeight="false" outlineLevel="0" collapsed="false">
      <c r="A280" s="33" t="n">
        <v>279</v>
      </c>
      <c r="B280" s="32" t="n">
        <v>44475</v>
      </c>
      <c r="C280" s="33" t="n">
        <v>10043</v>
      </c>
      <c r="D280" s="33" t="n">
        <f aca="false">C279-C280</f>
        <v>-3482</v>
      </c>
      <c r="E280" s="33" t="n">
        <v>429.5</v>
      </c>
      <c r="F280" s="33" t="n">
        <f aca="false">E279-E280</f>
        <v>-149</v>
      </c>
      <c r="G280" s="33" t="n">
        <v>7.23</v>
      </c>
      <c r="H280" s="33" t="n">
        <f aca="false">G280-G279</f>
        <v>2.51</v>
      </c>
      <c r="I280" s="33" t="n">
        <v>91</v>
      </c>
      <c r="J280" s="33" t="n">
        <f aca="false">I279-I280</f>
        <v>-32</v>
      </c>
      <c r="K280" s="1" t="s">
        <v>195</v>
      </c>
      <c r="L280" s="1" t="n">
        <f aca="false">QUARTILE($C$275:$C$305, 1)</f>
        <v>2006</v>
      </c>
      <c r="M280" s="1" t="n">
        <f aca="false">QUARTILE($E$275:$E$305, 1)</f>
        <v>86.7</v>
      </c>
      <c r="N280" s="1" t="n">
        <f aca="false">QUARTILE($G$275:$G$305, 1)</f>
        <v>1.445</v>
      </c>
      <c r="O280" s="1" t="n">
        <f aca="false">QUARTILE($I$275:$I$305, 1)</f>
        <v>18.5</v>
      </c>
    </row>
    <row r="281" customFormat="false" ht="13.8" hidden="false" customHeight="false" outlineLevel="0" collapsed="false">
      <c r="A281" s="33" t="n">
        <v>280</v>
      </c>
      <c r="B281" s="32" t="n">
        <v>44476</v>
      </c>
      <c r="C281" s="33" t="n">
        <v>6280</v>
      </c>
      <c r="D281" s="33" t="n">
        <f aca="false">C280-C281</f>
        <v>3763</v>
      </c>
      <c r="E281" s="33" t="n">
        <v>268.9</v>
      </c>
      <c r="F281" s="33" t="n">
        <f aca="false">E280-E281</f>
        <v>160.6</v>
      </c>
      <c r="G281" s="33" t="n">
        <v>4.52</v>
      </c>
      <c r="H281" s="33" t="n">
        <f aca="false">G281-G280</f>
        <v>-2.71</v>
      </c>
      <c r="I281" s="33" t="n">
        <v>57</v>
      </c>
      <c r="J281" s="33" t="n">
        <f aca="false">I280-I281</f>
        <v>34</v>
      </c>
      <c r="K281" s="1" t="s">
        <v>181</v>
      </c>
      <c r="L281" s="1" t="n">
        <f aca="false">QUARTILE($C$275:$C$305, 3)</f>
        <v>8420.5</v>
      </c>
      <c r="M281" s="1" t="n">
        <f aca="false">QUARTILE($E$275:$E$305, 3)</f>
        <v>361.6</v>
      </c>
      <c r="N281" s="1" t="n">
        <f aca="false">QUARTILE($G$275:$G$305, 3)</f>
        <v>6.065</v>
      </c>
      <c r="O281" s="1" t="n">
        <f aca="false">QUARTILE($I$275:$I$305, 3)</f>
        <v>76.5</v>
      </c>
    </row>
    <row r="282" customFormat="false" ht="13.8" hidden="false" customHeight="false" outlineLevel="0" collapsed="false">
      <c r="A282" s="33" t="n">
        <v>281</v>
      </c>
      <c r="B282" s="32" t="n">
        <v>44477</v>
      </c>
      <c r="C282" s="33" t="n">
        <v>6559</v>
      </c>
      <c r="D282" s="33" t="n">
        <f aca="false">C281-C282</f>
        <v>-279</v>
      </c>
      <c r="E282" s="33" t="n">
        <v>281.7</v>
      </c>
      <c r="F282" s="33" t="n">
        <f aca="false">E281-E282</f>
        <v>-12.8</v>
      </c>
      <c r="G282" s="33" t="n">
        <v>4.72</v>
      </c>
      <c r="H282" s="33" t="n">
        <f aca="false">G282-G281</f>
        <v>0.2</v>
      </c>
      <c r="I282" s="33" t="n">
        <v>60</v>
      </c>
      <c r="J282" s="33" t="n">
        <f aca="false">I281-I282</f>
        <v>-3</v>
      </c>
      <c r="K282" s="1" t="s">
        <v>182</v>
      </c>
      <c r="L282" s="1" t="n">
        <f aca="false">VAR($C$275:$C$305)</f>
        <v>13285405.8924731</v>
      </c>
      <c r="M282" s="1" t="n">
        <f aca="false">VAR($E$275:$E$305)</f>
        <v>24468.7772258064</v>
      </c>
      <c r="N282" s="1" t="n">
        <f aca="false">VAR($G$275:$G$305)</f>
        <v>6.8885264516129</v>
      </c>
      <c r="O282" s="1" t="n">
        <f aca="false">VAR($I$275:$I$305)</f>
        <v>1117.8623655914</v>
      </c>
    </row>
    <row r="283" customFormat="false" ht="13.8" hidden="false" customHeight="false" outlineLevel="0" collapsed="false">
      <c r="A283" s="33" t="n">
        <v>282</v>
      </c>
      <c r="B283" s="32" t="n">
        <v>44478</v>
      </c>
      <c r="C283" s="33" t="n">
        <v>11</v>
      </c>
      <c r="D283" s="33" t="n">
        <f aca="false">C282-C283</f>
        <v>6548</v>
      </c>
      <c r="E283" s="33" t="n">
        <v>0.5</v>
      </c>
      <c r="F283" s="33" t="n">
        <f aca="false">E282-E283</f>
        <v>281.2</v>
      </c>
      <c r="G283" s="33" t="n">
        <v>0.01</v>
      </c>
      <c r="H283" s="33" t="n">
        <f aca="false">G283-G282</f>
        <v>-4.71</v>
      </c>
      <c r="I283" s="33" t="n">
        <v>1</v>
      </c>
      <c r="J283" s="33" t="n">
        <f aca="false">I282-I283</f>
        <v>59</v>
      </c>
      <c r="K283" s="1" t="s">
        <v>16</v>
      </c>
      <c r="L283" s="1" t="n">
        <f aca="false">STDEV($C$275:$C$305)</f>
        <v>3644.91507342395</v>
      </c>
      <c r="M283" s="1" t="n">
        <f aca="false">STDEV($E$275:$E$305)</f>
        <v>156.424989134749</v>
      </c>
      <c r="N283" s="1" t="n">
        <f aca="false">STDEV($G$275:$G$305)</f>
        <v>2.62460024605899</v>
      </c>
      <c r="O283" s="1" t="n">
        <f aca="false">STDEV($I$275:$I$305)</f>
        <v>33.4344487855176</v>
      </c>
    </row>
    <row r="284" customFormat="false" ht="13.8" hidden="false" customHeight="false" outlineLevel="0" collapsed="false">
      <c r="A284" s="33" t="n">
        <v>283</v>
      </c>
      <c r="B284" s="32" t="n">
        <v>44479</v>
      </c>
      <c r="C284" s="33" t="n">
        <v>104</v>
      </c>
      <c r="D284" s="33" t="n">
        <f aca="false">C283-C284</f>
        <v>-93</v>
      </c>
      <c r="E284" s="33" t="n">
        <v>4.6</v>
      </c>
      <c r="F284" s="33" t="n">
        <f aca="false">E283-E284</f>
        <v>-4.1</v>
      </c>
      <c r="G284" s="33" t="n">
        <v>0.07</v>
      </c>
      <c r="H284" s="33" t="n">
        <f aca="false">G284-G283</f>
        <v>0.06</v>
      </c>
      <c r="I284" s="33" t="n">
        <v>1</v>
      </c>
      <c r="J284" s="33" t="n">
        <f aca="false">I283-I284</f>
        <v>0</v>
      </c>
      <c r="K284" s="1" t="s">
        <v>20</v>
      </c>
      <c r="L284" s="1" t="n">
        <f aca="false">KURT($C$275:$C$305)</f>
        <v>-1.103742866503</v>
      </c>
      <c r="M284" s="1" t="n">
        <f aca="false">KURT($E$275:$E$305)</f>
        <v>-1.09035240064818</v>
      </c>
      <c r="N284" s="1" t="n">
        <f aca="false">KURT($G$275:$G$305)</f>
        <v>-1.10380331188295</v>
      </c>
      <c r="O284" s="1" t="n">
        <f aca="false">KURT($I$275:$I$305)</f>
        <v>-1.0604229803852</v>
      </c>
    </row>
    <row r="285" customFormat="false" ht="13.8" hidden="false" customHeight="false" outlineLevel="0" collapsed="false">
      <c r="A285" s="33" t="n">
        <v>284</v>
      </c>
      <c r="B285" s="32" t="n">
        <v>44480</v>
      </c>
      <c r="C285" s="33" t="n">
        <v>9675</v>
      </c>
      <c r="D285" s="33" t="n">
        <f aca="false">C284-C285</f>
        <v>-9571</v>
      </c>
      <c r="E285" s="33" t="n">
        <v>416</v>
      </c>
      <c r="F285" s="33" t="n">
        <f aca="false">E284-E285</f>
        <v>-411.4</v>
      </c>
      <c r="G285" s="33" t="n">
        <v>6.97</v>
      </c>
      <c r="H285" s="33" t="n">
        <f aca="false">G285-G284</f>
        <v>6.9</v>
      </c>
      <c r="I285" s="33" t="n">
        <v>90</v>
      </c>
      <c r="J285" s="33" t="n">
        <f aca="false">I284-I285</f>
        <v>-89</v>
      </c>
      <c r="K285" s="1" t="s">
        <v>22</v>
      </c>
      <c r="L285" s="1" t="n">
        <f aca="false">SKEW($C$275:$C$305)</f>
        <v>-0.0780913829282816</v>
      </c>
      <c r="M285" s="1" t="n">
        <f aca="false">SKEW($E$275:$E$305)</f>
        <v>-0.0782394851313166</v>
      </c>
      <c r="N285" s="1" t="n">
        <f aca="false">SKEW($G$275:$G$305)</f>
        <v>-0.0783415694262024</v>
      </c>
      <c r="O285" s="1" t="n">
        <f aca="false">SKEW($I$275:$I$305)</f>
        <v>-0.0647953921363238</v>
      </c>
    </row>
    <row r="286" customFormat="false" ht="13.8" hidden="false" customHeight="false" outlineLevel="0" collapsed="false">
      <c r="A286" s="33" t="n">
        <v>285</v>
      </c>
      <c r="B286" s="32" t="n">
        <v>44481</v>
      </c>
      <c r="C286" s="33" t="n">
        <v>6755</v>
      </c>
      <c r="D286" s="33" t="n">
        <f aca="false">C285-C286</f>
        <v>2920</v>
      </c>
      <c r="E286" s="33" t="n">
        <v>291.7</v>
      </c>
      <c r="F286" s="33" t="n">
        <f aca="false">E285-E286</f>
        <v>124.3</v>
      </c>
      <c r="G286" s="33" t="n">
        <v>4.86</v>
      </c>
      <c r="H286" s="33" t="n">
        <f aca="false">G286-G285</f>
        <v>-2.11</v>
      </c>
      <c r="I286" s="33" t="n">
        <v>63</v>
      </c>
      <c r="J286" s="33" t="n">
        <f aca="false">I285-I286</f>
        <v>27</v>
      </c>
      <c r="K286" s="1" t="s">
        <v>24</v>
      </c>
      <c r="L286" s="1" t="n">
        <f aca="false">MAX($C$275:$C$305)-MIN($C$275:$C$305)</f>
        <v>12088</v>
      </c>
      <c r="M286" s="1" t="n">
        <f aca="false">MAX($E$275:$E$305)-MIN($E$275:$E$305)</f>
        <v>522.2</v>
      </c>
      <c r="N286" s="1" t="n">
        <f aca="false">MAX($G$275:$G$305)-MIN($G$275:$G$305)</f>
        <v>8.7</v>
      </c>
      <c r="O286" s="1" t="n">
        <f aca="false">MAX($I$275:$I$305)-MIN($I$275:$I$305)</f>
        <v>112</v>
      </c>
    </row>
    <row r="287" customFormat="false" ht="13.8" hidden="false" customHeight="false" outlineLevel="0" collapsed="false">
      <c r="A287" s="33" t="n">
        <v>286</v>
      </c>
      <c r="B287" s="32" t="n">
        <v>44482</v>
      </c>
      <c r="C287" s="33" t="n">
        <v>6420</v>
      </c>
      <c r="D287" s="33" t="n">
        <f aca="false">C286-C287</f>
        <v>335</v>
      </c>
      <c r="E287" s="33" t="n">
        <v>277.5</v>
      </c>
      <c r="F287" s="33" t="n">
        <f aca="false">E286-E287</f>
        <v>14.2</v>
      </c>
      <c r="G287" s="33" t="n">
        <v>4.62</v>
      </c>
      <c r="H287" s="33" t="n">
        <f aca="false">G287-G286</f>
        <v>-0.24</v>
      </c>
      <c r="I287" s="33" t="n">
        <v>60</v>
      </c>
      <c r="J287" s="33" t="n">
        <f aca="false">I286-I287</f>
        <v>3</v>
      </c>
      <c r="K287" s="1" t="s">
        <v>26</v>
      </c>
      <c r="L287" s="1" t="n">
        <f aca="false">MIN($C$275:$C$305)</f>
        <v>11</v>
      </c>
      <c r="M287" s="1" t="n">
        <f aca="false">MIN($E$275:$E$305)</f>
        <v>0.5</v>
      </c>
      <c r="N287" s="1" t="n">
        <f aca="false">MIN($G$275:$G$305)</f>
        <v>0.01</v>
      </c>
      <c r="O287" s="1" t="n">
        <f aca="false">MIN($I$275:$I$305)</f>
        <v>1</v>
      </c>
    </row>
    <row r="288" customFormat="false" ht="13.8" hidden="false" customHeight="false" outlineLevel="0" collapsed="false">
      <c r="A288" s="33" t="n">
        <v>287</v>
      </c>
      <c r="B288" s="32" t="n">
        <v>44483</v>
      </c>
      <c r="C288" s="33" t="n">
        <v>9121</v>
      </c>
      <c r="D288" s="33" t="n">
        <f aca="false">C287-C288</f>
        <v>-2701</v>
      </c>
      <c r="E288" s="33" t="n">
        <v>391.7</v>
      </c>
      <c r="F288" s="33" t="n">
        <f aca="false">E287-E288</f>
        <v>-114.2</v>
      </c>
      <c r="G288" s="33" t="n">
        <v>6.57</v>
      </c>
      <c r="H288" s="33" t="n">
        <f aca="false">G288-G287</f>
        <v>1.95</v>
      </c>
      <c r="I288" s="33" t="n">
        <v>83</v>
      </c>
      <c r="J288" s="33" t="n">
        <f aca="false">I287-I288</f>
        <v>-23</v>
      </c>
      <c r="K288" s="1" t="s">
        <v>28</v>
      </c>
      <c r="L288" s="1" t="n">
        <f aca="false">MAX($C$275:$C$305)</f>
        <v>12099</v>
      </c>
      <c r="M288" s="1" t="n">
        <f aca="false">MAX($E$275:$E$305)</f>
        <v>522.7</v>
      </c>
      <c r="N288" s="1" t="n">
        <f aca="false">MAX($G$275:$G$305)</f>
        <v>8.71</v>
      </c>
      <c r="O288" s="1" t="n">
        <f aca="false">MAX($I$275:$I$305)</f>
        <v>113</v>
      </c>
    </row>
    <row r="289" customFormat="false" ht="13.8" hidden="false" customHeight="false" outlineLevel="0" collapsed="false">
      <c r="A289" s="33" t="n">
        <v>288</v>
      </c>
      <c r="B289" s="32" t="n">
        <v>44484</v>
      </c>
      <c r="C289" s="33" t="n">
        <v>10032</v>
      </c>
      <c r="D289" s="33" t="n">
        <f aca="false">C288-C289</f>
        <v>-911</v>
      </c>
      <c r="E289" s="33" t="n">
        <v>436.4</v>
      </c>
      <c r="F289" s="33" t="n">
        <f aca="false">E288-E289</f>
        <v>-44.7</v>
      </c>
      <c r="G289" s="33" t="n">
        <v>7.22</v>
      </c>
      <c r="H289" s="33" t="n">
        <f aca="false">G289-G288</f>
        <v>0.65</v>
      </c>
      <c r="I289" s="33" t="n">
        <v>96</v>
      </c>
      <c r="J289" s="33" t="n">
        <f aca="false">I288-I289</f>
        <v>-13</v>
      </c>
      <c r="K289" s="1" t="s">
        <v>30</v>
      </c>
      <c r="L289" s="1" t="n">
        <f aca="false">SUM($C$275:$C$305)</f>
        <v>168041</v>
      </c>
      <c r="M289" s="1" t="n">
        <f aca="false">SUM($E$275:$E$305)</f>
        <v>7243</v>
      </c>
      <c r="N289" s="1" t="n">
        <f aca="false">SUM($G$275:$G$305)</f>
        <v>120.98</v>
      </c>
      <c r="O289" s="1" t="n">
        <f aca="false">SUM($I$275:$I$305)</f>
        <v>1552</v>
      </c>
    </row>
    <row r="290" customFormat="false" ht="13.8" hidden="false" customHeight="false" outlineLevel="0" collapsed="false">
      <c r="A290" s="33" t="n">
        <v>289</v>
      </c>
      <c r="B290" s="32" t="n">
        <v>44485</v>
      </c>
      <c r="C290" s="33" t="n">
        <v>1362</v>
      </c>
      <c r="D290" s="33" t="n">
        <f aca="false">C289-C290</f>
        <v>8670</v>
      </c>
      <c r="E290" s="33" t="n">
        <v>59.4</v>
      </c>
      <c r="F290" s="33" t="n">
        <f aca="false">E289-E290</f>
        <v>377</v>
      </c>
      <c r="G290" s="33" t="n">
        <v>0.98</v>
      </c>
      <c r="H290" s="33" t="n">
        <f aca="false">G290-G289</f>
        <v>-6.24</v>
      </c>
      <c r="I290" s="33" t="n">
        <v>13</v>
      </c>
      <c r="J290" s="33" t="n">
        <f aca="false">I289-I290</f>
        <v>83</v>
      </c>
      <c r="K290" s="1" t="s">
        <v>32</v>
      </c>
      <c r="L290" s="1" t="n">
        <f aca="false">COUNT($C$275:$C$305)</f>
        <v>31</v>
      </c>
      <c r="M290" s="1" t="n">
        <f aca="false">COUNT($E$275:$E$305)</f>
        <v>31</v>
      </c>
      <c r="N290" s="1" t="n">
        <f aca="false">COUNT($G$275:$G$305)</f>
        <v>31</v>
      </c>
      <c r="O290" s="1" t="n">
        <f aca="false">COUNT($I$275:$I$305)</f>
        <v>31</v>
      </c>
    </row>
    <row r="291" customFormat="false" ht="13.8" hidden="false" customHeight="false" outlineLevel="0" collapsed="false">
      <c r="A291" s="33" t="n">
        <v>290</v>
      </c>
      <c r="B291" s="32" t="n">
        <v>44486</v>
      </c>
      <c r="C291" s="33" t="n">
        <v>2264</v>
      </c>
      <c r="D291" s="33" t="n">
        <f aca="false">C290-C291</f>
        <v>-902</v>
      </c>
      <c r="E291" s="33" t="n">
        <v>97.5</v>
      </c>
      <c r="F291" s="33" t="n">
        <f aca="false">E290-E291</f>
        <v>-38.1</v>
      </c>
      <c r="G291" s="33" t="n">
        <v>1.63</v>
      </c>
      <c r="H291" s="33" t="n">
        <f aca="false">G291-G290</f>
        <v>0.65</v>
      </c>
      <c r="I291" s="33" t="n">
        <v>21</v>
      </c>
      <c r="J291" s="33" t="n">
        <f aca="false">I290-I291</f>
        <v>-8</v>
      </c>
    </row>
    <row r="292" customFormat="false" ht="13.8" hidden="false" customHeight="false" outlineLevel="0" collapsed="false">
      <c r="A292" s="33" t="n">
        <v>291</v>
      </c>
      <c r="B292" s="32" t="n">
        <v>44487</v>
      </c>
      <c r="C292" s="33" t="n">
        <v>4592</v>
      </c>
      <c r="D292" s="33" t="n">
        <f aca="false">C291-C292</f>
        <v>-2328</v>
      </c>
      <c r="E292" s="33" t="n">
        <v>204.2</v>
      </c>
      <c r="F292" s="33" t="n">
        <f aca="false">E291-E292</f>
        <v>-106.7</v>
      </c>
      <c r="G292" s="33" t="n">
        <v>3.31</v>
      </c>
      <c r="H292" s="33" t="n">
        <f aca="false">G292-G291</f>
        <v>1.68</v>
      </c>
      <c r="I292" s="33" t="n">
        <v>45</v>
      </c>
      <c r="J292" s="33" t="n">
        <f aca="false">I291-I292</f>
        <v>-24</v>
      </c>
    </row>
    <row r="293" customFormat="false" ht="13.8" hidden="false" customHeight="false" outlineLevel="0" collapsed="false">
      <c r="A293" s="33" t="n">
        <v>292</v>
      </c>
      <c r="B293" s="32" t="n">
        <v>44488</v>
      </c>
      <c r="C293" s="33" t="n">
        <v>183</v>
      </c>
      <c r="D293" s="33" t="n">
        <f aca="false">C292-C293</f>
        <v>4409</v>
      </c>
      <c r="E293" s="33" t="n">
        <v>8.8</v>
      </c>
      <c r="F293" s="33" t="n">
        <f aca="false">E292-E293</f>
        <v>195.4</v>
      </c>
      <c r="G293" s="33" t="n">
        <v>0.13</v>
      </c>
      <c r="H293" s="33" t="n">
        <f aca="false">G293-G292</f>
        <v>-3.18</v>
      </c>
      <c r="I293" s="33" t="n">
        <v>2</v>
      </c>
      <c r="J293" s="33" t="n">
        <f aca="false">I292-I293</f>
        <v>43</v>
      </c>
    </row>
    <row r="294" customFormat="false" ht="13.8" hidden="false" customHeight="false" outlineLevel="0" collapsed="false">
      <c r="A294" s="33" t="n">
        <v>293</v>
      </c>
      <c r="B294" s="32" t="n">
        <v>44489</v>
      </c>
      <c r="C294" s="33" t="n">
        <v>1748</v>
      </c>
      <c r="D294" s="33" t="n">
        <f aca="false">C293-C294</f>
        <v>-1565</v>
      </c>
      <c r="E294" s="33" t="n">
        <v>75.9</v>
      </c>
      <c r="F294" s="33" t="n">
        <f aca="false">E293-E294</f>
        <v>-67.1</v>
      </c>
      <c r="G294" s="33" t="n">
        <v>1.26</v>
      </c>
      <c r="H294" s="33" t="n">
        <f aca="false">G294-G293</f>
        <v>1.13</v>
      </c>
      <c r="I294" s="33" t="n">
        <v>16</v>
      </c>
      <c r="J294" s="33" t="n">
        <f aca="false">I293-I294</f>
        <v>-14</v>
      </c>
    </row>
    <row r="295" customFormat="false" ht="13.8" hidden="false" customHeight="false" outlineLevel="0" collapsed="false">
      <c r="A295" s="33" t="n">
        <v>294</v>
      </c>
      <c r="B295" s="32" t="n">
        <v>44490</v>
      </c>
      <c r="C295" s="33" t="n">
        <v>4127</v>
      </c>
      <c r="D295" s="33" t="n">
        <f aca="false">C294-C295</f>
        <v>-2379</v>
      </c>
      <c r="E295" s="33" t="n">
        <v>177.8</v>
      </c>
      <c r="F295" s="33" t="n">
        <f aca="false">E294-E295</f>
        <v>-101.9</v>
      </c>
      <c r="G295" s="33" t="n">
        <v>2.97</v>
      </c>
      <c r="H295" s="33" t="n">
        <f aca="false">G295-G294</f>
        <v>1.71</v>
      </c>
      <c r="I295" s="33" t="n">
        <v>38</v>
      </c>
      <c r="J295" s="33" t="n">
        <f aca="false">I294-I295</f>
        <v>-22</v>
      </c>
    </row>
    <row r="296" customFormat="false" ht="13.8" hidden="false" customHeight="false" outlineLevel="0" collapsed="false">
      <c r="A296" s="33" t="n">
        <v>295</v>
      </c>
      <c r="B296" s="32" t="n">
        <v>44491</v>
      </c>
      <c r="C296" s="33" t="n">
        <v>10487</v>
      </c>
      <c r="D296" s="33" t="n">
        <f aca="false">C295-C296</f>
        <v>-6360</v>
      </c>
      <c r="E296" s="33" t="n">
        <v>447.7</v>
      </c>
      <c r="F296" s="33" t="n">
        <f aca="false">E295-E296</f>
        <v>-269.9</v>
      </c>
      <c r="G296" s="33" t="n">
        <v>7.55</v>
      </c>
      <c r="H296" s="33" t="n">
        <f aca="false">G296-G295</f>
        <v>4.58</v>
      </c>
      <c r="I296" s="33" t="n">
        <v>94</v>
      </c>
      <c r="J296" s="33" t="n">
        <f aca="false">I295-I296</f>
        <v>-56</v>
      </c>
    </row>
    <row r="297" customFormat="false" ht="13.8" hidden="false" customHeight="false" outlineLevel="0" collapsed="false">
      <c r="A297" s="33" t="n">
        <v>296</v>
      </c>
      <c r="B297" s="32" t="n">
        <v>44492</v>
      </c>
      <c r="C297" s="33" t="n">
        <v>486</v>
      </c>
      <c r="D297" s="33" t="n">
        <f aca="false">C296-C297</f>
        <v>10001</v>
      </c>
      <c r="E297" s="33" t="n">
        <v>24.2</v>
      </c>
      <c r="F297" s="33" t="n">
        <f aca="false">E296-E297</f>
        <v>423.5</v>
      </c>
      <c r="G297" s="33" t="n">
        <v>0.35</v>
      </c>
      <c r="H297" s="33" t="n">
        <f aca="false">G297-G296</f>
        <v>-7.2</v>
      </c>
      <c r="I297" s="33" t="n">
        <v>6</v>
      </c>
      <c r="J297" s="33" t="n">
        <f aca="false">I296-I297</f>
        <v>88</v>
      </c>
    </row>
    <row r="298" customFormat="false" ht="13.8" hidden="false" customHeight="false" outlineLevel="0" collapsed="false">
      <c r="A298" s="33" t="n">
        <v>297</v>
      </c>
      <c r="B298" s="32" t="n">
        <v>44493</v>
      </c>
      <c r="C298" s="33" t="n">
        <v>5115</v>
      </c>
      <c r="D298" s="33" t="n">
        <f aca="false">C297-C298</f>
        <v>-4629</v>
      </c>
      <c r="E298" s="33" t="n">
        <v>222.4</v>
      </c>
      <c r="F298" s="33" t="n">
        <f aca="false">E297-E298</f>
        <v>-198.2</v>
      </c>
      <c r="G298" s="33" t="n">
        <v>3.68</v>
      </c>
      <c r="H298" s="33" t="n">
        <f aca="false">G298-G297</f>
        <v>3.33</v>
      </c>
      <c r="I298" s="33" t="n">
        <v>49</v>
      </c>
      <c r="J298" s="33" t="n">
        <f aca="false">I297-I298</f>
        <v>-43</v>
      </c>
    </row>
    <row r="299" customFormat="false" ht="13.8" hidden="false" customHeight="false" outlineLevel="0" collapsed="false">
      <c r="A299" s="33" t="n">
        <v>298</v>
      </c>
      <c r="B299" s="32" t="n">
        <v>44494</v>
      </c>
      <c r="C299" s="33" t="n">
        <v>12099</v>
      </c>
      <c r="D299" s="33" t="n">
        <f aca="false">C298-C299</f>
        <v>-6984</v>
      </c>
      <c r="E299" s="33" t="n">
        <v>522.7</v>
      </c>
      <c r="F299" s="33" t="n">
        <f aca="false">E298-E299</f>
        <v>-300.3</v>
      </c>
      <c r="G299" s="33" t="n">
        <v>8.71</v>
      </c>
      <c r="H299" s="33" t="n">
        <f aca="false">G299-G298</f>
        <v>5.03</v>
      </c>
      <c r="I299" s="33" t="n">
        <v>113</v>
      </c>
      <c r="J299" s="33" t="n">
        <f aca="false">I298-I299</f>
        <v>-64</v>
      </c>
    </row>
    <row r="300" customFormat="false" ht="13.8" hidden="false" customHeight="false" outlineLevel="0" collapsed="false">
      <c r="A300" s="33" t="n">
        <v>299</v>
      </c>
      <c r="B300" s="32" t="n">
        <v>44495</v>
      </c>
      <c r="C300" s="33" t="n">
        <v>4871</v>
      </c>
      <c r="D300" s="33" t="n">
        <f aca="false">C299-C300</f>
        <v>7228</v>
      </c>
      <c r="E300" s="33" t="n">
        <v>209.8</v>
      </c>
      <c r="F300" s="33" t="n">
        <f aca="false">E299-E300</f>
        <v>312.9</v>
      </c>
      <c r="G300" s="33" t="n">
        <v>3.51</v>
      </c>
      <c r="H300" s="33" t="n">
        <f aca="false">G300-G299</f>
        <v>-5.2</v>
      </c>
      <c r="I300" s="33" t="n">
        <v>45</v>
      </c>
      <c r="J300" s="33" t="n">
        <f aca="false">I299-I300</f>
        <v>68</v>
      </c>
    </row>
    <row r="301" customFormat="false" ht="13.8" hidden="false" customHeight="false" outlineLevel="0" collapsed="false">
      <c r="A301" s="33" t="n">
        <v>300</v>
      </c>
      <c r="B301" s="32" t="n">
        <v>44496</v>
      </c>
      <c r="C301" s="33" t="n">
        <v>9091</v>
      </c>
      <c r="D301" s="33" t="n">
        <f aca="false">C300-C301</f>
        <v>-4220</v>
      </c>
      <c r="E301" s="33" t="n">
        <v>387.5</v>
      </c>
      <c r="F301" s="33" t="n">
        <f aca="false">E300-E301</f>
        <v>-177.7</v>
      </c>
      <c r="G301" s="33" t="n">
        <v>6.55</v>
      </c>
      <c r="H301" s="33" t="n">
        <f aca="false">G301-G300</f>
        <v>3.04</v>
      </c>
      <c r="I301" s="33" t="n">
        <v>80</v>
      </c>
      <c r="J301" s="33" t="n">
        <f aca="false">I300-I301</f>
        <v>-35</v>
      </c>
    </row>
    <row r="302" customFormat="false" ht="13.8" hidden="false" customHeight="false" outlineLevel="0" collapsed="false">
      <c r="A302" s="33" t="n">
        <v>301</v>
      </c>
      <c r="B302" s="32" t="n">
        <v>44497</v>
      </c>
      <c r="C302" s="33" t="n">
        <v>7750</v>
      </c>
      <c r="D302" s="33" t="n">
        <f aca="false">C301-C302</f>
        <v>1341</v>
      </c>
      <c r="E302" s="33" t="n">
        <v>335.7</v>
      </c>
      <c r="F302" s="33" t="n">
        <f aca="false">E301-E302</f>
        <v>51.8</v>
      </c>
      <c r="G302" s="33" t="n">
        <v>5.58</v>
      </c>
      <c r="H302" s="33" t="n">
        <f aca="false">G302-G301</f>
        <v>-0.97</v>
      </c>
      <c r="I302" s="33" t="n">
        <v>73</v>
      </c>
      <c r="J302" s="33" t="n">
        <f aca="false">I301-I302</f>
        <v>7</v>
      </c>
    </row>
    <row r="303" customFormat="false" ht="13.8" hidden="false" customHeight="false" outlineLevel="0" collapsed="false">
      <c r="A303" s="33" t="n">
        <v>302</v>
      </c>
      <c r="B303" s="32" t="n">
        <v>44498</v>
      </c>
      <c r="C303" s="33" t="n">
        <v>3707</v>
      </c>
      <c r="D303" s="33" t="n">
        <f aca="false">C302-C303</f>
        <v>4043</v>
      </c>
      <c r="E303" s="33" t="n">
        <v>159.9</v>
      </c>
      <c r="F303" s="33" t="n">
        <f aca="false">E302-E303</f>
        <v>175.8</v>
      </c>
      <c r="G303" s="33" t="n">
        <v>2.67</v>
      </c>
      <c r="H303" s="33" t="n">
        <f aca="false">G303-G302</f>
        <v>-2.91</v>
      </c>
      <c r="I303" s="33" t="n">
        <v>34</v>
      </c>
      <c r="J303" s="33" t="n">
        <f aca="false">I302-I303</f>
        <v>39</v>
      </c>
    </row>
    <row r="304" customFormat="false" ht="13.8" hidden="false" customHeight="false" outlineLevel="0" collapsed="false">
      <c r="A304" s="33" t="n">
        <v>303</v>
      </c>
      <c r="B304" s="32" t="n">
        <v>44499</v>
      </c>
      <c r="C304" s="33" t="n">
        <v>6068</v>
      </c>
      <c r="D304" s="33" t="n">
        <f aca="false">C303-C304</f>
        <v>-2361</v>
      </c>
      <c r="E304" s="33" t="n">
        <v>262</v>
      </c>
      <c r="F304" s="33" t="n">
        <f aca="false">E303-E304</f>
        <v>-102.1</v>
      </c>
      <c r="G304" s="33" t="n">
        <v>4.37</v>
      </c>
      <c r="H304" s="33" t="n">
        <f aca="false">G304-G303</f>
        <v>1.7</v>
      </c>
      <c r="I304" s="33" t="n">
        <v>57</v>
      </c>
      <c r="J304" s="33" t="n">
        <f aca="false">I303-I304</f>
        <v>-23</v>
      </c>
    </row>
    <row r="305" customFormat="false" ht="13.8" hidden="false" customHeight="false" outlineLevel="0" collapsed="false">
      <c r="A305" s="33" t="n">
        <v>304</v>
      </c>
      <c r="B305" s="32" t="n">
        <v>44500</v>
      </c>
      <c r="C305" s="33" t="n">
        <v>5669</v>
      </c>
      <c r="D305" s="33" t="n">
        <f aca="false">C304-C305</f>
        <v>399</v>
      </c>
      <c r="E305" s="33" t="n">
        <v>243.4</v>
      </c>
      <c r="F305" s="33" t="n">
        <f aca="false">E304-E305</f>
        <v>18.6</v>
      </c>
      <c r="G305" s="33" t="n">
        <v>4.08</v>
      </c>
      <c r="H305" s="33" t="n">
        <f aca="false">G305-G304</f>
        <v>-0.29</v>
      </c>
      <c r="I305" s="33" t="n">
        <v>51</v>
      </c>
      <c r="J305" s="33" t="n">
        <f aca="false">I304-I305</f>
        <v>6</v>
      </c>
    </row>
    <row r="306" customFormat="false" ht="13.8" hidden="false" customHeight="false" outlineLevel="0" collapsed="false">
      <c r="A306" s="33" t="n">
        <v>305</v>
      </c>
      <c r="B306" s="32" t="n">
        <v>44501</v>
      </c>
      <c r="C306" s="33" t="n">
        <v>6046</v>
      </c>
      <c r="D306" s="33" t="n">
        <f aca="false">C305-C306</f>
        <v>-377</v>
      </c>
      <c r="E306" s="33" t="n">
        <v>259.7</v>
      </c>
      <c r="F306" s="33" t="n">
        <f aca="false">E305-E306</f>
        <v>-16.3</v>
      </c>
      <c r="G306" s="33" t="n">
        <v>4.35</v>
      </c>
      <c r="H306" s="33" t="n">
        <f aca="false">G306-G305</f>
        <v>0.27</v>
      </c>
      <c r="I306" s="33" t="n">
        <v>55</v>
      </c>
      <c r="J306" s="33" t="n">
        <f aca="false">I305-I306</f>
        <v>-4</v>
      </c>
      <c r="L306" s="1" t="s">
        <v>2</v>
      </c>
      <c r="M306" s="1" t="s">
        <v>179</v>
      </c>
      <c r="N306" s="1" t="s">
        <v>175</v>
      </c>
      <c r="O306" s="1" t="s">
        <v>177</v>
      </c>
    </row>
    <row r="307" customFormat="false" ht="13.8" hidden="false" customHeight="false" outlineLevel="0" collapsed="false">
      <c r="A307" s="33" t="n">
        <v>306</v>
      </c>
      <c r="B307" s="32" t="n">
        <v>44502</v>
      </c>
      <c r="C307" s="33" t="n">
        <v>9393</v>
      </c>
      <c r="D307" s="33" t="n">
        <f aca="false">C306-C307</f>
        <v>-3347</v>
      </c>
      <c r="E307" s="33" t="n">
        <v>402.9</v>
      </c>
      <c r="F307" s="33" t="n">
        <f aca="false">E306-E307</f>
        <v>-143.2</v>
      </c>
      <c r="G307" s="33" t="n">
        <v>6.76</v>
      </c>
      <c r="H307" s="33" t="n">
        <f aca="false">G307-G306</f>
        <v>2.41</v>
      </c>
      <c r="I307" s="33" t="n">
        <v>85</v>
      </c>
      <c r="J307" s="33" t="n">
        <f aca="false">I306-I307</f>
        <v>-30</v>
      </c>
      <c r="K307" s="1" t="s">
        <v>8</v>
      </c>
      <c r="L307" s="1" t="n">
        <f aca="false">AVERAGE($C$306:$C$335)</f>
        <v>7720.56666666667</v>
      </c>
      <c r="M307" s="1" t="n">
        <f aca="false">AVERAGE($E$306:$E$335)</f>
        <v>332.336666666667</v>
      </c>
      <c r="N307" s="1" t="n">
        <f aca="false">AVERAGE($G$306:$G$335)</f>
        <v>5.55866666666667</v>
      </c>
      <c r="O307" s="1" t="n">
        <f aca="false">AVERAGE($I$306:$I$335)</f>
        <v>70.9</v>
      </c>
    </row>
    <row r="308" customFormat="false" ht="13.8" hidden="false" customHeight="false" outlineLevel="0" collapsed="false">
      <c r="A308" s="33" t="n">
        <v>307</v>
      </c>
      <c r="B308" s="32" t="n">
        <v>44503</v>
      </c>
      <c r="C308" s="33" t="n">
        <v>7555</v>
      </c>
      <c r="D308" s="33" t="n">
        <f aca="false">C307-C308</f>
        <v>1838</v>
      </c>
      <c r="E308" s="33" t="n">
        <v>325</v>
      </c>
      <c r="F308" s="33" t="n">
        <f aca="false">E307-E308</f>
        <v>77.9</v>
      </c>
      <c r="G308" s="33" t="n">
        <v>5.44</v>
      </c>
      <c r="H308" s="33" t="n">
        <f aca="false">G308-G307</f>
        <v>-1.32</v>
      </c>
      <c r="I308" s="33" t="n">
        <v>70</v>
      </c>
      <c r="J308" s="33" t="n">
        <f aca="false">I307-I308</f>
        <v>15</v>
      </c>
      <c r="K308" s="1" t="s">
        <v>10</v>
      </c>
      <c r="L308" s="1" t="n">
        <f aca="false">SQRT(VAR($C$306:$C$335)/COUNT($C$306:$C$335))</f>
        <v>683.648964979841</v>
      </c>
      <c r="M308" s="1" t="n">
        <f aca="false">SQRT(VAR($E$306:$E$335)/COUNT($E$306:$E$335))</f>
        <v>29.431587333173</v>
      </c>
      <c r="N308" s="1" t="n">
        <f aca="false">SQRT(VAR($G$306:$G$335)/COUNT($G$306:$G$335))</f>
        <v>0.492147004795825</v>
      </c>
      <c r="O308" s="1" t="n">
        <f aca="false">SQRT(VAR($I$306:$I$335)/COUNT($I$306:$I$335))</f>
        <v>6.34983029911715</v>
      </c>
    </row>
    <row r="309" customFormat="false" ht="13.8" hidden="false" customHeight="false" outlineLevel="0" collapsed="false">
      <c r="A309" s="33" t="n">
        <v>308</v>
      </c>
      <c r="B309" s="32" t="n">
        <v>44504</v>
      </c>
      <c r="C309" s="33" t="n">
        <v>6147</v>
      </c>
      <c r="D309" s="33" t="n">
        <f aca="false">C308-C309</f>
        <v>1408</v>
      </c>
      <c r="E309" s="33" t="n">
        <v>263.4</v>
      </c>
      <c r="F309" s="33" t="n">
        <f aca="false">E308-E309</f>
        <v>61.6</v>
      </c>
      <c r="G309" s="33" t="n">
        <v>4.43</v>
      </c>
      <c r="H309" s="33" t="n">
        <f aca="false">G309-G308</f>
        <v>-1.01</v>
      </c>
      <c r="I309" s="33" t="n">
        <v>56</v>
      </c>
      <c r="J309" s="33" t="n">
        <f aca="false">I308-I309</f>
        <v>14</v>
      </c>
      <c r="K309" s="1" t="s">
        <v>14</v>
      </c>
      <c r="L309" s="1" t="e">
        <f aca="false">MODE($C$306:$C$335)</f>
        <v>#VALUE!</v>
      </c>
      <c r="M309" s="1" t="e">
        <f aca="false">MODE($E$306:$E$335)</f>
        <v>#VALUE!</v>
      </c>
      <c r="N309" s="1" t="n">
        <f aca="false">MODE($G$306:$G$335)</f>
        <v>4.43</v>
      </c>
      <c r="O309" s="1" t="n">
        <f aca="false">MODE($I$306:$I$335)</f>
        <v>60</v>
      </c>
    </row>
    <row r="310" customFormat="false" ht="13.8" hidden="false" customHeight="false" outlineLevel="0" collapsed="false">
      <c r="A310" s="33" t="n">
        <v>309</v>
      </c>
      <c r="B310" s="32" t="n">
        <v>44505</v>
      </c>
      <c r="C310" s="33" t="n">
        <v>7615</v>
      </c>
      <c r="D310" s="33" t="n">
        <f aca="false">C309-C310</f>
        <v>-1468</v>
      </c>
      <c r="E310" s="33" t="n">
        <v>331.3</v>
      </c>
      <c r="F310" s="33" t="n">
        <f aca="false">E309-E310</f>
        <v>-67.9</v>
      </c>
      <c r="G310" s="33" t="n">
        <v>5.48</v>
      </c>
      <c r="H310" s="33" t="n">
        <f aca="false">G310-G309</f>
        <v>1.05</v>
      </c>
      <c r="I310" s="33" t="n">
        <v>73</v>
      </c>
      <c r="J310" s="33" t="n">
        <f aca="false">I309-I310</f>
        <v>-17</v>
      </c>
      <c r="K310" s="1" t="s">
        <v>12</v>
      </c>
      <c r="L310" s="1" t="n">
        <f aca="false">MEDIAN($C$306:$C$335)</f>
        <v>6847.5</v>
      </c>
      <c r="M310" s="1" t="n">
        <f aca="false">MEDIAN($E$306:$E$335)</f>
        <v>293.45</v>
      </c>
      <c r="N310" s="1" t="n">
        <f aca="false">MEDIAN($G$306:$G$335)</f>
        <v>4.93</v>
      </c>
      <c r="O310" s="1" t="n">
        <f aca="false">MEDIAN($I$306:$I$335)</f>
        <v>61.5</v>
      </c>
    </row>
    <row r="311" customFormat="false" ht="13.8" hidden="false" customHeight="false" outlineLevel="0" collapsed="false">
      <c r="A311" s="33" t="n">
        <v>310</v>
      </c>
      <c r="B311" s="32" t="n">
        <v>44506</v>
      </c>
      <c r="C311" s="33" t="n">
        <v>5014</v>
      </c>
      <c r="D311" s="33" t="n">
        <f aca="false">C310-C311</f>
        <v>2601</v>
      </c>
      <c r="E311" s="33" t="n">
        <v>216.3</v>
      </c>
      <c r="F311" s="33" t="n">
        <f aca="false">E310-E311</f>
        <v>115</v>
      </c>
      <c r="G311" s="33" t="n">
        <v>3.61</v>
      </c>
      <c r="H311" s="33" t="n">
        <f aca="false">G311-G310</f>
        <v>-1.87</v>
      </c>
      <c r="I311" s="33" t="n">
        <v>46</v>
      </c>
      <c r="J311" s="33" t="n">
        <f aca="false">I310-I311</f>
        <v>27</v>
      </c>
      <c r="K311" s="1" t="s">
        <v>195</v>
      </c>
      <c r="L311" s="1" t="n">
        <f aca="false">QUARTILE($C$306:$C$335, 1)</f>
        <v>6149</v>
      </c>
      <c r="M311" s="1" t="n">
        <f aca="false">QUARTILE($E$306:$E$335, 1)</f>
        <v>264.175</v>
      </c>
      <c r="N311" s="1" t="n">
        <f aca="false">QUARTILE($G$306:$G$335, 1)</f>
        <v>4.43</v>
      </c>
      <c r="O311" s="1" t="n">
        <f aca="false">QUARTILE($I$306:$I$335, 1)</f>
        <v>56.25</v>
      </c>
    </row>
    <row r="312" customFormat="false" ht="13.8" hidden="false" customHeight="false" outlineLevel="0" collapsed="false">
      <c r="A312" s="33" t="n">
        <v>311</v>
      </c>
      <c r="B312" s="32" t="n">
        <v>44507</v>
      </c>
      <c r="C312" s="33" t="n">
        <v>2088</v>
      </c>
      <c r="D312" s="33" t="n">
        <f aca="false">C311-C312</f>
        <v>2926</v>
      </c>
      <c r="E312" s="33" t="n">
        <v>97.4</v>
      </c>
      <c r="F312" s="33" t="n">
        <f aca="false">E311-E312</f>
        <v>118.9</v>
      </c>
      <c r="G312" s="33" t="n">
        <v>1.5</v>
      </c>
      <c r="H312" s="33" t="n">
        <f aca="false">G312-G311</f>
        <v>-2.11</v>
      </c>
      <c r="I312" s="33" t="n">
        <v>23</v>
      </c>
      <c r="J312" s="33" t="n">
        <f aca="false">I311-I312</f>
        <v>23</v>
      </c>
      <c r="K312" s="1" t="s">
        <v>181</v>
      </c>
      <c r="L312" s="1" t="n">
        <f aca="false">QUARTILE($C$306:$C$335, 3)</f>
        <v>8065.75</v>
      </c>
      <c r="M312" s="1" t="n">
        <f aca="false">QUARTILE($E$306:$E$335, 3)</f>
        <v>345.55</v>
      </c>
      <c r="N312" s="1" t="n">
        <f aca="false">QUARTILE($G$306:$G$335, 3)</f>
        <v>5.81</v>
      </c>
      <c r="O312" s="1" t="n">
        <f aca="false">QUARTILE($I$306:$I$335, 3)</f>
        <v>72.75</v>
      </c>
    </row>
    <row r="313" customFormat="false" ht="13.8" hidden="false" customHeight="false" outlineLevel="0" collapsed="false">
      <c r="A313" s="33" t="n">
        <v>312</v>
      </c>
      <c r="B313" s="32" t="n">
        <v>44508</v>
      </c>
      <c r="C313" s="33" t="n">
        <v>6015</v>
      </c>
      <c r="D313" s="33" t="n">
        <f aca="false">C312-C313</f>
        <v>-3927</v>
      </c>
      <c r="E313" s="33" t="n">
        <v>262.7</v>
      </c>
      <c r="F313" s="33" t="n">
        <f aca="false">E312-E313</f>
        <v>-165.3</v>
      </c>
      <c r="G313" s="33" t="n">
        <v>4.33</v>
      </c>
      <c r="H313" s="33" t="n">
        <f aca="false">G313-G312</f>
        <v>2.83</v>
      </c>
      <c r="I313" s="33" t="n">
        <v>58</v>
      </c>
      <c r="J313" s="33" t="n">
        <f aca="false">I312-I313</f>
        <v>-35</v>
      </c>
      <c r="K313" s="1" t="s">
        <v>182</v>
      </c>
      <c r="L313" s="1" t="n">
        <f aca="false">VAR($C$306:$C$335)</f>
        <v>14021277.2195402</v>
      </c>
      <c r="M313" s="1" t="n">
        <f aca="false">VAR($E$306:$E$335)</f>
        <v>25986.5499885057</v>
      </c>
      <c r="N313" s="1" t="n">
        <f aca="false">VAR($G$306:$G$335)</f>
        <v>7.26626022988506</v>
      </c>
      <c r="O313" s="1" t="n">
        <f aca="false">VAR($I$306:$I$335)</f>
        <v>1209.61034482759</v>
      </c>
    </row>
    <row r="314" customFormat="false" ht="13.8" hidden="false" customHeight="false" outlineLevel="0" collapsed="false">
      <c r="A314" s="33" t="n">
        <v>313</v>
      </c>
      <c r="B314" s="32" t="n">
        <v>44509</v>
      </c>
      <c r="C314" s="33" t="n">
        <v>6923</v>
      </c>
      <c r="D314" s="33" t="n">
        <f aca="false">C313-C314</f>
        <v>-908</v>
      </c>
      <c r="E314" s="33" t="n">
        <v>297.9</v>
      </c>
      <c r="F314" s="33" t="n">
        <f aca="false">E313-E314</f>
        <v>-35.2</v>
      </c>
      <c r="G314" s="33" t="n">
        <v>4.98</v>
      </c>
      <c r="H314" s="33" t="n">
        <f aca="false">G314-G313</f>
        <v>0.65</v>
      </c>
      <c r="I314" s="33" t="n">
        <v>64</v>
      </c>
      <c r="J314" s="33" t="n">
        <f aca="false">I313-I314</f>
        <v>-6</v>
      </c>
      <c r="K314" s="1" t="s">
        <v>16</v>
      </c>
      <c r="L314" s="1" t="n">
        <f aca="false">STDEV($C$306:$C$335)</f>
        <v>3744.49959534518</v>
      </c>
      <c r="M314" s="1" t="n">
        <f aca="false">STDEV($E$306:$E$335)</f>
        <v>161.203442855622</v>
      </c>
      <c r="N314" s="1" t="n">
        <f aca="false">STDEV($G$306:$G$335)</f>
        <v>2.69560016135277</v>
      </c>
      <c r="O314" s="1" t="n">
        <f aca="false">STDEV($I$306:$I$335)</f>
        <v>34.7794529115624</v>
      </c>
    </row>
    <row r="315" customFormat="false" ht="13.8" hidden="false" customHeight="false" outlineLevel="0" collapsed="false">
      <c r="A315" s="33" t="n">
        <v>314</v>
      </c>
      <c r="B315" s="32" t="n">
        <v>44510</v>
      </c>
      <c r="C315" s="33" t="n">
        <v>10285</v>
      </c>
      <c r="D315" s="33" t="n">
        <f aca="false">C314-C315</f>
        <v>-3362</v>
      </c>
      <c r="E315" s="33" t="n">
        <v>438.5</v>
      </c>
      <c r="F315" s="33" t="n">
        <f aca="false">E314-E315</f>
        <v>-140.6</v>
      </c>
      <c r="G315" s="33" t="n">
        <v>7.41</v>
      </c>
      <c r="H315" s="33" t="n">
        <f aca="false">G315-G314</f>
        <v>2.43</v>
      </c>
      <c r="I315" s="33" t="n">
        <v>91</v>
      </c>
      <c r="J315" s="33" t="n">
        <f aca="false">I314-I315</f>
        <v>-27</v>
      </c>
      <c r="K315" s="1" t="s">
        <v>20</v>
      </c>
      <c r="L315" s="1" t="n">
        <f aca="false">KURT($C$306:$C$335)</f>
        <v>4.10462964597174</v>
      </c>
      <c r="M315" s="1" t="n">
        <f aca="false">KURT($E$306:$E$335)</f>
        <v>4.30977318671796</v>
      </c>
      <c r="N315" s="1" t="n">
        <f aca="false">KURT($G$306:$G$335)</f>
        <v>4.10358264526585</v>
      </c>
      <c r="O315" s="1" t="n">
        <f aca="false">KURT($I$306:$I$335)</f>
        <v>5.01686890555255</v>
      </c>
    </row>
    <row r="316" customFormat="false" ht="13.8" hidden="false" customHeight="false" outlineLevel="0" collapsed="false">
      <c r="A316" s="33" t="n">
        <v>315</v>
      </c>
      <c r="B316" s="32" t="n">
        <v>44511</v>
      </c>
      <c r="C316" s="33" t="n">
        <v>9998</v>
      </c>
      <c r="D316" s="33" t="n">
        <f aca="false">C315-C316</f>
        <v>287</v>
      </c>
      <c r="E316" s="33" t="n">
        <v>423.9</v>
      </c>
      <c r="F316" s="33" t="n">
        <f aca="false">E315-E316</f>
        <v>14.6</v>
      </c>
      <c r="G316" s="33" t="n">
        <v>7.2</v>
      </c>
      <c r="H316" s="33" t="n">
        <f aca="false">G316-G315</f>
        <v>-0.21</v>
      </c>
      <c r="I316" s="33" t="n">
        <v>86</v>
      </c>
      <c r="J316" s="33" t="n">
        <f aca="false">I315-I316</f>
        <v>5</v>
      </c>
      <c r="K316" s="1" t="s">
        <v>22</v>
      </c>
      <c r="L316" s="1" t="n">
        <f aca="false">SKEW($C$306:$C$335)</f>
        <v>1.84718057278967</v>
      </c>
      <c r="M316" s="1" t="n">
        <f aca="false">SKEW($E$306:$E$335)</f>
        <v>1.91260738396658</v>
      </c>
      <c r="N316" s="1" t="n">
        <f aca="false">SKEW($G$306:$G$335)</f>
        <v>1.84698922144921</v>
      </c>
      <c r="O316" s="1" t="n">
        <f aca="false">SKEW($I$306:$I$335)</f>
        <v>2.09545911565691</v>
      </c>
    </row>
    <row r="317" customFormat="false" ht="13.8" hidden="false" customHeight="false" outlineLevel="0" collapsed="false">
      <c r="A317" s="33" t="n">
        <v>316</v>
      </c>
      <c r="B317" s="32" t="n">
        <v>44512</v>
      </c>
      <c r="C317" s="33" t="n">
        <v>5541</v>
      </c>
      <c r="D317" s="33" t="n">
        <f aca="false">C316-C317</f>
        <v>4457</v>
      </c>
      <c r="E317" s="33" t="n">
        <v>238.9</v>
      </c>
      <c r="F317" s="33" t="n">
        <f aca="false">E316-E317</f>
        <v>185</v>
      </c>
      <c r="G317" s="33" t="n">
        <v>3.99</v>
      </c>
      <c r="H317" s="33" t="n">
        <f aca="false">G317-G316</f>
        <v>-3.21</v>
      </c>
      <c r="I317" s="33" t="n">
        <v>51</v>
      </c>
      <c r="J317" s="33" t="n">
        <f aca="false">I316-I317</f>
        <v>35</v>
      </c>
      <c r="K317" s="1" t="s">
        <v>24</v>
      </c>
      <c r="L317" s="1" t="n">
        <f aca="false">MAX($C$306:$C$335)-MIN($C$306:$C$335)</f>
        <v>17691</v>
      </c>
      <c r="M317" s="1" t="n">
        <f aca="false">MAX($E$306:$E$335)-MIN($E$306:$E$335)</f>
        <v>753.8</v>
      </c>
      <c r="N317" s="1" t="n">
        <f aca="false">MAX($G$306:$G$335)-MIN($G$306:$G$335)</f>
        <v>12.74</v>
      </c>
      <c r="O317" s="1" t="n">
        <f aca="false">MAX($I$306:$I$335)-MIN($I$306:$I$335)</f>
        <v>160</v>
      </c>
    </row>
    <row r="318" customFormat="false" ht="13.8" hidden="false" customHeight="false" outlineLevel="0" collapsed="false">
      <c r="A318" s="33" t="n">
        <v>317</v>
      </c>
      <c r="B318" s="32" t="n">
        <v>44513</v>
      </c>
      <c r="C318" s="33" t="n">
        <v>6155</v>
      </c>
      <c r="D318" s="33" t="n">
        <f aca="false">C317-C318</f>
        <v>-614</v>
      </c>
      <c r="E318" s="33" t="n">
        <v>268.6</v>
      </c>
      <c r="F318" s="33" t="n">
        <f aca="false">E317-E318</f>
        <v>-29.7</v>
      </c>
      <c r="G318" s="33" t="n">
        <v>4.43</v>
      </c>
      <c r="H318" s="33" t="n">
        <f aca="false">G318-G317</f>
        <v>0.44</v>
      </c>
      <c r="I318" s="33" t="n">
        <v>60</v>
      </c>
      <c r="J318" s="33" t="n">
        <f aca="false">I317-I318</f>
        <v>-9</v>
      </c>
      <c r="K318" s="1" t="s">
        <v>26</v>
      </c>
      <c r="L318" s="1" t="n">
        <f aca="false">MIN($C$306:$C$335)</f>
        <v>2088</v>
      </c>
      <c r="M318" s="1" t="n">
        <f aca="false">MIN($E$306:$E$335)</f>
        <v>97.4</v>
      </c>
      <c r="N318" s="1" t="n">
        <f aca="false">MIN($G$306:$G$335)</f>
        <v>1.5</v>
      </c>
      <c r="O318" s="1" t="n">
        <f aca="false">MIN($I$306:$I$335)</f>
        <v>23</v>
      </c>
    </row>
    <row r="319" customFormat="false" ht="13.8" hidden="false" customHeight="false" outlineLevel="0" collapsed="false">
      <c r="A319" s="33" t="n">
        <v>318</v>
      </c>
      <c r="B319" s="32" t="n">
        <v>44514</v>
      </c>
      <c r="C319" s="33" t="n">
        <v>2535</v>
      </c>
      <c r="D319" s="33" t="n">
        <f aca="false">C318-C319</f>
        <v>3620</v>
      </c>
      <c r="E319" s="33" t="n">
        <v>110</v>
      </c>
      <c r="F319" s="33" t="n">
        <f aca="false">E318-E319</f>
        <v>158.6</v>
      </c>
      <c r="G319" s="33" t="n">
        <v>1.83</v>
      </c>
      <c r="H319" s="33" t="n">
        <f aca="false">G319-G318</f>
        <v>-2.6</v>
      </c>
      <c r="I319" s="33" t="n">
        <v>24</v>
      </c>
      <c r="J319" s="33" t="n">
        <f aca="false">I318-I319</f>
        <v>36</v>
      </c>
      <c r="K319" s="1" t="s">
        <v>28</v>
      </c>
      <c r="L319" s="1" t="n">
        <f aca="false">MAX($C$306:$C$335)</f>
        <v>19779</v>
      </c>
      <c r="M319" s="1" t="n">
        <f aca="false">MAX($E$306:$E$335)</f>
        <v>851.2</v>
      </c>
      <c r="N319" s="1" t="n">
        <f aca="false">MAX($G$306:$G$335)</f>
        <v>14.24</v>
      </c>
      <c r="O319" s="1" t="n">
        <f aca="false">MAX($I$306:$I$335)</f>
        <v>183</v>
      </c>
    </row>
    <row r="320" customFormat="false" ht="13.8" hidden="false" customHeight="false" outlineLevel="0" collapsed="false">
      <c r="A320" s="33" t="n">
        <v>319</v>
      </c>
      <c r="B320" s="32" t="n">
        <v>44515</v>
      </c>
      <c r="C320" s="33" t="n">
        <v>6260</v>
      </c>
      <c r="D320" s="33" t="n">
        <f aca="false">C319-C320</f>
        <v>-3725</v>
      </c>
      <c r="E320" s="33" t="n">
        <v>267.4</v>
      </c>
      <c r="F320" s="33" t="n">
        <f aca="false">E319-E320</f>
        <v>-157.4</v>
      </c>
      <c r="G320" s="33" t="n">
        <v>4.51</v>
      </c>
      <c r="H320" s="33" t="n">
        <f aca="false">G320-G319</f>
        <v>2.68</v>
      </c>
      <c r="I320" s="33" t="n">
        <v>56</v>
      </c>
      <c r="J320" s="33" t="n">
        <f aca="false">I319-I320</f>
        <v>-32</v>
      </c>
      <c r="K320" s="1" t="s">
        <v>30</v>
      </c>
      <c r="L320" s="1" t="n">
        <f aca="false">SUM($C$306:$C$335)</f>
        <v>231617</v>
      </c>
      <c r="M320" s="1" t="n">
        <f aca="false">SUM($E$306:$E$335)</f>
        <v>9970.1</v>
      </c>
      <c r="N320" s="1" t="n">
        <f aca="false">SUM($G$306:$G$335)</f>
        <v>166.76</v>
      </c>
      <c r="O320" s="1" t="n">
        <f aca="false">SUM($I$306:$I$335)</f>
        <v>2127</v>
      </c>
    </row>
    <row r="321" customFormat="false" ht="13.8" hidden="false" customHeight="false" outlineLevel="0" collapsed="false">
      <c r="A321" s="33" t="n">
        <v>320</v>
      </c>
      <c r="B321" s="32" t="n">
        <v>44516</v>
      </c>
      <c r="C321" s="33" t="n">
        <v>7431</v>
      </c>
      <c r="D321" s="33" t="n">
        <f aca="false">C320-C321</f>
        <v>-1171</v>
      </c>
      <c r="E321" s="33" t="n">
        <v>316</v>
      </c>
      <c r="F321" s="33" t="n">
        <f aca="false">E320-E321</f>
        <v>-48.6</v>
      </c>
      <c r="G321" s="33" t="n">
        <v>5.35</v>
      </c>
      <c r="H321" s="33" t="n">
        <f aca="false">G321-G320</f>
        <v>0.84</v>
      </c>
      <c r="I321" s="33" t="n">
        <v>65</v>
      </c>
      <c r="J321" s="33" t="n">
        <f aca="false">I320-I321</f>
        <v>-9</v>
      </c>
      <c r="K321" s="1" t="s">
        <v>32</v>
      </c>
      <c r="L321" s="1" t="n">
        <f aca="false">COUNT($C$306:$C$335)</f>
        <v>30</v>
      </c>
      <c r="M321" s="1" t="n">
        <f aca="false">COUNT($E$306:$E$335)</f>
        <v>30</v>
      </c>
      <c r="N321" s="1" t="n">
        <f aca="false">COUNT($G$306:$G$335)</f>
        <v>30</v>
      </c>
      <c r="O321" s="1" t="n">
        <f aca="false">COUNT($I$306:$I$335)</f>
        <v>30</v>
      </c>
    </row>
    <row r="322" customFormat="false" ht="13.8" hidden="false" customHeight="false" outlineLevel="0" collapsed="false">
      <c r="A322" s="33" t="n">
        <v>321</v>
      </c>
      <c r="B322" s="32" t="n">
        <v>44517</v>
      </c>
      <c r="C322" s="33" t="n">
        <v>6715</v>
      </c>
      <c r="D322" s="33" t="n">
        <f aca="false">C321-C322</f>
        <v>716</v>
      </c>
      <c r="E322" s="33" t="n">
        <v>287</v>
      </c>
      <c r="F322" s="33" t="n">
        <f aca="false">E321-E322</f>
        <v>29</v>
      </c>
      <c r="G322" s="33" t="n">
        <v>4.83</v>
      </c>
      <c r="H322" s="33" t="n">
        <f aca="false">G322-G321</f>
        <v>-0.52</v>
      </c>
      <c r="I322" s="33" t="n">
        <v>60</v>
      </c>
      <c r="J322" s="33" t="n">
        <f aca="false">I321-I322</f>
        <v>5</v>
      </c>
    </row>
    <row r="323" customFormat="false" ht="13.8" hidden="false" customHeight="false" outlineLevel="0" collapsed="false">
      <c r="A323" s="33" t="n">
        <v>322</v>
      </c>
      <c r="B323" s="32" t="n">
        <v>44518</v>
      </c>
      <c r="C323" s="33" t="n">
        <v>8586</v>
      </c>
      <c r="D323" s="33" t="n">
        <f aca="false">C322-C323</f>
        <v>-1871</v>
      </c>
      <c r="E323" s="33" t="n">
        <v>366</v>
      </c>
      <c r="F323" s="33" t="n">
        <f aca="false">E322-E323</f>
        <v>-79</v>
      </c>
      <c r="G323" s="33" t="n">
        <v>6.18</v>
      </c>
      <c r="H323" s="33" t="n">
        <f aca="false">G323-G322</f>
        <v>1.35</v>
      </c>
      <c r="I323" s="33" t="n">
        <v>75</v>
      </c>
      <c r="J323" s="33" t="n">
        <f aca="false">I322-I323</f>
        <v>-15</v>
      </c>
    </row>
    <row r="324" customFormat="false" ht="13.8" hidden="false" customHeight="false" outlineLevel="0" collapsed="false">
      <c r="A324" s="33" t="n">
        <v>323</v>
      </c>
      <c r="B324" s="32" t="n">
        <v>44519</v>
      </c>
      <c r="C324" s="33" t="n">
        <v>7014</v>
      </c>
      <c r="D324" s="33" t="n">
        <f aca="false">C323-C324</f>
        <v>1572</v>
      </c>
      <c r="E324" s="33" t="n">
        <v>301.6</v>
      </c>
      <c r="F324" s="33" t="n">
        <f aca="false">E323-E324</f>
        <v>64.4</v>
      </c>
      <c r="G324" s="33" t="n">
        <v>5.05</v>
      </c>
      <c r="H324" s="33" t="n">
        <f aca="false">G324-G323</f>
        <v>-1.13</v>
      </c>
      <c r="I324" s="33" t="n">
        <v>64</v>
      </c>
      <c r="J324" s="33" t="n">
        <f aca="false">I323-I324</f>
        <v>11</v>
      </c>
    </row>
    <row r="325" customFormat="false" ht="13.8" hidden="false" customHeight="false" outlineLevel="0" collapsed="false">
      <c r="A325" s="33" t="n">
        <v>324</v>
      </c>
      <c r="B325" s="32" t="n">
        <v>44520</v>
      </c>
      <c r="C325" s="33" t="n">
        <v>17519</v>
      </c>
      <c r="D325" s="33" t="n">
        <f aca="false">C324-C325</f>
        <v>-10505</v>
      </c>
      <c r="E325" s="33" t="n">
        <v>768.9</v>
      </c>
      <c r="F325" s="33" t="n">
        <f aca="false">E324-E325</f>
        <v>-467.3</v>
      </c>
      <c r="G325" s="33" t="n">
        <v>12.61</v>
      </c>
      <c r="H325" s="33" t="n">
        <f aca="false">G325-G324</f>
        <v>7.56</v>
      </c>
      <c r="I325" s="33" t="n">
        <v>173</v>
      </c>
      <c r="J325" s="33" t="n">
        <f aca="false">I324-I325</f>
        <v>-109</v>
      </c>
    </row>
    <row r="326" customFormat="false" ht="13.8" hidden="false" customHeight="false" outlineLevel="0" collapsed="false">
      <c r="A326" s="33" t="n">
        <v>325</v>
      </c>
      <c r="B326" s="32" t="n">
        <v>44521</v>
      </c>
      <c r="C326" s="33" t="n">
        <v>6269</v>
      </c>
      <c r="D326" s="33" t="n">
        <f aca="false">C325-C326</f>
        <v>11250</v>
      </c>
      <c r="E326" s="33" t="n">
        <v>272.6</v>
      </c>
      <c r="F326" s="33" t="n">
        <f aca="false">E325-E326</f>
        <v>496.3</v>
      </c>
      <c r="G326" s="33" t="n">
        <v>4.51</v>
      </c>
      <c r="H326" s="33" t="n">
        <f aca="false">G326-G325</f>
        <v>-8.1</v>
      </c>
      <c r="I326" s="33" t="n">
        <v>60</v>
      </c>
      <c r="J326" s="33" t="n">
        <f aca="false">I325-I326</f>
        <v>113</v>
      </c>
    </row>
    <row r="327" customFormat="false" ht="13.8" hidden="false" customHeight="false" outlineLevel="0" collapsed="false">
      <c r="A327" s="33" t="n">
        <v>326</v>
      </c>
      <c r="B327" s="32" t="n">
        <v>44522</v>
      </c>
      <c r="C327" s="33" t="n">
        <v>6194</v>
      </c>
      <c r="D327" s="33" t="n">
        <f aca="false">C326-C327</f>
        <v>75</v>
      </c>
      <c r="E327" s="33" t="n">
        <v>266.5</v>
      </c>
      <c r="F327" s="33" t="n">
        <f aca="false">E326-E327</f>
        <v>6.10000000000002</v>
      </c>
      <c r="G327" s="33" t="n">
        <v>4.46</v>
      </c>
      <c r="H327" s="33" t="n">
        <f aca="false">G327-G326</f>
        <v>-0.0499999999999998</v>
      </c>
      <c r="I327" s="33" t="n">
        <v>57</v>
      </c>
      <c r="J327" s="33" t="n">
        <f aca="false">I326-I327</f>
        <v>3</v>
      </c>
    </row>
    <row r="328" customFormat="false" ht="13.8" hidden="false" customHeight="false" outlineLevel="0" collapsed="false">
      <c r="A328" s="33" t="n">
        <v>327</v>
      </c>
      <c r="B328" s="32" t="n">
        <v>44523</v>
      </c>
      <c r="C328" s="33" t="n">
        <v>6862</v>
      </c>
      <c r="D328" s="33" t="n">
        <f aca="false">C327-C328</f>
        <v>-668</v>
      </c>
      <c r="E328" s="33" t="n">
        <v>295.2</v>
      </c>
      <c r="F328" s="33" t="n">
        <f aca="false">E327-E328</f>
        <v>-28.7</v>
      </c>
      <c r="G328" s="33" t="n">
        <v>4.94</v>
      </c>
      <c r="H328" s="33" t="n">
        <f aca="false">G328-G327</f>
        <v>0.48</v>
      </c>
      <c r="I328" s="33" t="n">
        <v>63</v>
      </c>
      <c r="J328" s="33" t="n">
        <f aca="false">I327-I328</f>
        <v>-6</v>
      </c>
    </row>
    <row r="329" customFormat="false" ht="13.8" hidden="false" customHeight="false" outlineLevel="0" collapsed="false">
      <c r="A329" s="33" t="n">
        <v>328</v>
      </c>
      <c r="B329" s="32" t="n">
        <v>44524</v>
      </c>
      <c r="C329" s="33" t="n">
        <v>14487</v>
      </c>
      <c r="D329" s="33" t="n">
        <f aca="false">C328-C329</f>
        <v>-7625</v>
      </c>
      <c r="E329" s="33" t="n">
        <v>616.2</v>
      </c>
      <c r="F329" s="33" t="n">
        <f aca="false">E328-E329</f>
        <v>-321</v>
      </c>
      <c r="G329" s="33" t="n">
        <v>10.43</v>
      </c>
      <c r="H329" s="33" t="n">
        <f aca="false">G329-G328</f>
        <v>5.49</v>
      </c>
      <c r="I329" s="33" t="n">
        <v>127</v>
      </c>
      <c r="J329" s="33" t="n">
        <f aca="false">I328-I329</f>
        <v>-64</v>
      </c>
    </row>
    <row r="330" customFormat="false" ht="13.8" hidden="false" customHeight="false" outlineLevel="0" collapsed="false">
      <c r="A330" s="33" t="n">
        <v>329</v>
      </c>
      <c r="B330" s="32" t="n">
        <v>44525</v>
      </c>
      <c r="C330" s="33" t="n">
        <v>6833</v>
      </c>
      <c r="D330" s="33" t="n">
        <f aca="false">C329-C330</f>
        <v>7654</v>
      </c>
      <c r="E330" s="33" t="n">
        <v>291.7</v>
      </c>
      <c r="F330" s="33" t="n">
        <f aca="false">E329-E330</f>
        <v>324.5</v>
      </c>
      <c r="G330" s="33" t="n">
        <v>4.92</v>
      </c>
      <c r="H330" s="33" t="n">
        <f aca="false">G330-G329</f>
        <v>-5.51</v>
      </c>
      <c r="I330" s="33" t="n">
        <v>60</v>
      </c>
      <c r="J330" s="33" t="n">
        <f aca="false">I329-I330</f>
        <v>67</v>
      </c>
    </row>
    <row r="331" customFormat="false" ht="13.8" hidden="false" customHeight="false" outlineLevel="0" collapsed="false">
      <c r="A331" s="33" t="n">
        <v>330</v>
      </c>
      <c r="B331" s="32" t="n">
        <v>44526</v>
      </c>
      <c r="C331" s="33" t="n">
        <v>7272</v>
      </c>
      <c r="D331" s="33" t="n">
        <f aca="false">C330-C331</f>
        <v>-439</v>
      </c>
      <c r="E331" s="33" t="n">
        <v>312.3</v>
      </c>
      <c r="F331" s="33" t="n">
        <f aca="false">E330-E331</f>
        <v>-20.6</v>
      </c>
      <c r="G331" s="33" t="n">
        <v>5.24</v>
      </c>
      <c r="H331" s="33" t="n">
        <f aca="false">G331-G330</f>
        <v>0.32</v>
      </c>
      <c r="I331" s="33" t="n">
        <v>67</v>
      </c>
      <c r="J331" s="33" t="n">
        <f aca="false">I330-I331</f>
        <v>-7</v>
      </c>
    </row>
    <row r="332" customFormat="false" ht="13.8" hidden="false" customHeight="false" outlineLevel="0" collapsed="false">
      <c r="A332" s="33" t="n">
        <v>331</v>
      </c>
      <c r="B332" s="32" t="n">
        <v>44527</v>
      </c>
      <c r="C332" s="33" t="n">
        <v>4564</v>
      </c>
      <c r="D332" s="33" t="n">
        <f aca="false">C331-C332</f>
        <v>2708</v>
      </c>
      <c r="E332" s="33" t="n">
        <v>200</v>
      </c>
      <c r="F332" s="33" t="n">
        <f aca="false">E331-E332</f>
        <v>112.3</v>
      </c>
      <c r="G332" s="33" t="n">
        <v>3.29</v>
      </c>
      <c r="H332" s="33" t="n">
        <f aca="false">G332-G331</f>
        <v>-1.95</v>
      </c>
      <c r="I332" s="33" t="n">
        <v>45</v>
      </c>
      <c r="J332" s="33" t="n">
        <f aca="false">I331-I332</f>
        <v>22</v>
      </c>
    </row>
    <row r="333" customFormat="false" ht="13.8" hidden="false" customHeight="false" outlineLevel="0" collapsed="false">
      <c r="A333" s="33" t="n">
        <v>332</v>
      </c>
      <c r="B333" s="32" t="n">
        <v>44528</v>
      </c>
      <c r="C333" s="33" t="n">
        <v>19779</v>
      </c>
      <c r="D333" s="33" t="n">
        <f aca="false">C332-C333</f>
        <v>-15215</v>
      </c>
      <c r="E333" s="33" t="n">
        <v>851.2</v>
      </c>
      <c r="F333" s="33" t="n">
        <f aca="false">E332-E333</f>
        <v>-651.2</v>
      </c>
      <c r="G333" s="33" t="n">
        <v>14.24</v>
      </c>
      <c r="H333" s="33" t="n">
        <f aca="false">G333-G332</f>
        <v>10.95</v>
      </c>
      <c r="I333" s="33" t="n">
        <v>183</v>
      </c>
      <c r="J333" s="33" t="n">
        <f aca="false">I332-I333</f>
        <v>-138</v>
      </c>
    </row>
    <row r="334" customFormat="false" ht="13.8" hidden="false" customHeight="false" outlineLevel="0" collapsed="false">
      <c r="A334" s="33" t="n">
        <v>333</v>
      </c>
      <c r="B334" s="32" t="n">
        <v>44529</v>
      </c>
      <c r="C334" s="33" t="n">
        <v>6306</v>
      </c>
      <c r="D334" s="33" t="n">
        <f aca="false">C333-C334</f>
        <v>13473</v>
      </c>
      <c r="E334" s="33" t="n">
        <v>270.7</v>
      </c>
      <c r="F334" s="33" t="n">
        <f aca="false">E333-E334</f>
        <v>580.5</v>
      </c>
      <c r="G334" s="33" t="n">
        <v>4.54</v>
      </c>
      <c r="H334" s="33" t="n">
        <f aca="false">G334-G333</f>
        <v>-9.7</v>
      </c>
      <c r="I334" s="33" t="n">
        <v>58</v>
      </c>
      <c r="J334" s="33" t="n">
        <f aca="false">I333-I334</f>
        <v>125</v>
      </c>
    </row>
    <row r="335" customFormat="false" ht="13.8" hidden="false" customHeight="false" outlineLevel="0" collapsed="false">
      <c r="A335" s="33" t="n">
        <v>334</v>
      </c>
      <c r="B335" s="32" t="n">
        <v>44530</v>
      </c>
      <c r="C335" s="33" t="n">
        <v>8216</v>
      </c>
      <c r="D335" s="33" t="n">
        <f aca="false">C334-C335</f>
        <v>-1910</v>
      </c>
      <c r="E335" s="33" t="n">
        <v>350.3</v>
      </c>
      <c r="F335" s="33" t="n">
        <f aca="false">E334-E335</f>
        <v>-79.6</v>
      </c>
      <c r="G335" s="33" t="n">
        <v>5.92</v>
      </c>
      <c r="H335" s="33" t="n">
        <f aca="false">G335-G334</f>
        <v>1.38</v>
      </c>
      <c r="I335" s="33" t="n">
        <v>72</v>
      </c>
      <c r="J335" s="33" t="n">
        <f aca="false">I334-I335</f>
        <v>-14</v>
      </c>
    </row>
    <row r="336" customFormat="false" ht="13.8" hidden="false" customHeight="false" outlineLevel="0" collapsed="false">
      <c r="A336" s="33" t="n">
        <v>335</v>
      </c>
      <c r="B336" s="32" t="n">
        <v>44531</v>
      </c>
      <c r="C336" s="33" t="n">
        <v>9703</v>
      </c>
      <c r="D336" s="33" t="n">
        <f aca="false">C335-C336</f>
        <v>-1487</v>
      </c>
      <c r="E336" s="33" t="n">
        <v>413.7</v>
      </c>
      <c r="F336" s="33" t="n">
        <f aca="false">E335-E336</f>
        <v>-63.4</v>
      </c>
      <c r="G336" s="33" t="n">
        <v>6.99</v>
      </c>
      <c r="H336" s="33" t="n">
        <f aca="false">G336-G335</f>
        <v>1.07</v>
      </c>
      <c r="I336" s="33" t="n">
        <v>86</v>
      </c>
      <c r="J336" s="33" t="n">
        <f aca="false">I335-I336</f>
        <v>-14</v>
      </c>
      <c r="L336" s="1" t="s">
        <v>2</v>
      </c>
      <c r="M336" s="1" t="s">
        <v>179</v>
      </c>
      <c r="N336" s="1" t="s">
        <v>175</v>
      </c>
      <c r="O336" s="1" t="s">
        <v>177</v>
      </c>
    </row>
    <row r="337" customFormat="false" ht="13.8" hidden="false" customHeight="false" outlineLevel="0" collapsed="false">
      <c r="A337" s="33" t="n">
        <v>336</v>
      </c>
      <c r="B337" s="32" t="n">
        <v>44532</v>
      </c>
      <c r="C337" s="33" t="n">
        <v>6058</v>
      </c>
      <c r="D337" s="33" t="n">
        <f aca="false">C336-C337</f>
        <v>3645</v>
      </c>
      <c r="E337" s="33" t="n">
        <v>260.4</v>
      </c>
      <c r="F337" s="33" t="n">
        <f aca="false">E336-E337</f>
        <v>153.3</v>
      </c>
      <c r="G337" s="33" t="n">
        <v>4.36</v>
      </c>
      <c r="H337" s="33" t="n">
        <f aca="false">G337-G336</f>
        <v>-2.63</v>
      </c>
      <c r="I337" s="33" t="n">
        <v>55</v>
      </c>
      <c r="J337" s="33" t="n">
        <f aca="false">I336-I337</f>
        <v>31</v>
      </c>
      <c r="K337" s="1" t="s">
        <v>8</v>
      </c>
      <c r="L337" s="1" t="n">
        <f aca="false">AVERAGE($C$336:$C$366)</f>
        <v>9117.29032258065</v>
      </c>
      <c r="M337" s="1" t="n">
        <f aca="false">AVERAGE($E$336:$E$366)</f>
        <v>379.570967741936</v>
      </c>
      <c r="N337" s="1" t="n">
        <f aca="false">AVERAGE($G$336:$G$366)</f>
        <v>6.30612903225807</v>
      </c>
      <c r="O337" s="1" t="n">
        <f aca="false">AVERAGE($I$336:$I$366)</f>
        <v>82.5806451612903</v>
      </c>
    </row>
    <row r="338" customFormat="false" ht="13.8" hidden="false" customHeight="false" outlineLevel="0" collapsed="false">
      <c r="A338" s="33" t="n">
        <v>337</v>
      </c>
      <c r="B338" s="32" t="n">
        <v>44533</v>
      </c>
      <c r="C338" s="33" t="n">
        <v>8157</v>
      </c>
      <c r="D338" s="33" t="n">
        <f aca="false">C337-C338</f>
        <v>-2099</v>
      </c>
      <c r="E338" s="33" t="n">
        <v>350.2</v>
      </c>
      <c r="F338" s="33" t="n">
        <f aca="false">E337-E338</f>
        <v>-89.8</v>
      </c>
      <c r="G338" s="33" t="n">
        <v>5.87</v>
      </c>
      <c r="H338" s="33" t="n">
        <f aca="false">G338-G337</f>
        <v>1.51</v>
      </c>
      <c r="I338" s="33" t="n">
        <v>75</v>
      </c>
      <c r="J338" s="33" t="n">
        <f aca="false">I337-I338</f>
        <v>-20</v>
      </c>
      <c r="K338" s="1" t="s">
        <v>10</v>
      </c>
      <c r="L338" s="1" t="n">
        <f aca="false">SQRT(VAR($C$336:$C$366)/COUNT($C$336:$C$366))</f>
        <v>914.71790844453</v>
      </c>
      <c r="M338" s="1" t="n">
        <f aca="false">SQRT(VAR($E$336:$E$366)/COUNT($E$336:$E$366))</f>
        <v>37.387473088553</v>
      </c>
      <c r="N338" s="1" t="n">
        <f aca="false">SQRT(VAR($G$336:$G$366)/COUNT($G$336:$G$366))</f>
        <v>0.614534123293682</v>
      </c>
      <c r="O338" s="1" t="n">
        <f aca="false">SQRT(VAR($I$336:$I$366)/COUNT($I$336:$I$366))</f>
        <v>8.41897168822896</v>
      </c>
    </row>
    <row r="339" customFormat="false" ht="13.8" hidden="false" customHeight="false" outlineLevel="0" collapsed="false">
      <c r="A339" s="33" t="n">
        <v>338</v>
      </c>
      <c r="B339" s="32" t="n">
        <v>44534</v>
      </c>
      <c r="C339" s="33" t="n">
        <v>6264</v>
      </c>
      <c r="D339" s="33" t="n">
        <f aca="false">C338-C339</f>
        <v>1893</v>
      </c>
      <c r="E339" s="33" t="n">
        <v>274.3</v>
      </c>
      <c r="F339" s="33" t="n">
        <f aca="false">E338-E339</f>
        <v>75.9</v>
      </c>
      <c r="G339" s="33" t="n">
        <v>4.51</v>
      </c>
      <c r="H339" s="33" t="n">
        <f aca="false">G339-G338</f>
        <v>-1.36</v>
      </c>
      <c r="I339" s="33" t="n">
        <v>61</v>
      </c>
      <c r="J339" s="33" t="n">
        <f aca="false">I338-I339</f>
        <v>14</v>
      </c>
      <c r="K339" s="1" t="s">
        <v>14</v>
      </c>
      <c r="L339" s="1" t="e">
        <f aca="false">MODE($C$336:$C$366)</f>
        <v>#VALUE!</v>
      </c>
      <c r="M339" s="1" t="e">
        <f aca="false">MODE($E$336:$E$366)</f>
        <v>#VALUE!</v>
      </c>
      <c r="N339" s="1" t="e">
        <f aca="false">MODE($G$336:$G$366)</f>
        <v>#VALUE!</v>
      </c>
      <c r="O339" s="1" t="n">
        <f aca="false">MODE($I$336:$I$366)</f>
        <v>61</v>
      </c>
    </row>
    <row r="340" customFormat="false" ht="13.8" hidden="false" customHeight="false" outlineLevel="0" collapsed="false">
      <c r="A340" s="33" t="n">
        <v>339</v>
      </c>
      <c r="B340" s="32" t="n">
        <v>44535</v>
      </c>
      <c r="C340" s="33" t="n">
        <v>26152</v>
      </c>
      <c r="D340" s="33" t="n">
        <f aca="false">C339-C340</f>
        <v>-19888</v>
      </c>
      <c r="E340" s="33" t="n">
        <v>1149.5</v>
      </c>
      <c r="F340" s="33" t="n">
        <f aca="false">E339-E340</f>
        <v>-875.2</v>
      </c>
      <c r="G340" s="33" t="n">
        <v>18.83</v>
      </c>
      <c r="H340" s="33" t="n">
        <f aca="false">G340-G339</f>
        <v>14.32</v>
      </c>
      <c r="I340" s="33" t="n">
        <v>260</v>
      </c>
      <c r="J340" s="33" t="n">
        <f aca="false">I339-I340</f>
        <v>-199</v>
      </c>
      <c r="K340" s="1" t="s">
        <v>12</v>
      </c>
      <c r="L340" s="1" t="n">
        <f aca="false">MEDIAN($C$336:$C$366)</f>
        <v>7668</v>
      </c>
      <c r="M340" s="1" t="n">
        <f aca="false">MEDIAN($E$336:$E$366)</f>
        <v>329.8</v>
      </c>
      <c r="N340" s="1" t="n">
        <f aca="false">MEDIAN($G$336:$G$366)</f>
        <v>5.52</v>
      </c>
      <c r="O340" s="1" t="n">
        <f aca="false">MEDIAN($I$336:$I$366)</f>
        <v>73</v>
      </c>
    </row>
    <row r="341" customFormat="false" ht="13.8" hidden="false" customHeight="false" outlineLevel="0" collapsed="false">
      <c r="A341" s="33" t="n">
        <v>340</v>
      </c>
      <c r="B341" s="32" t="n">
        <v>44536</v>
      </c>
      <c r="C341" s="33" t="n">
        <v>9852</v>
      </c>
      <c r="D341" s="33" t="n">
        <f aca="false">C340-C341</f>
        <v>16300</v>
      </c>
      <c r="E341" s="33" t="n">
        <v>425.3</v>
      </c>
      <c r="F341" s="33" t="n">
        <f aca="false">E340-E341</f>
        <v>724.2</v>
      </c>
      <c r="G341" s="33" t="n">
        <v>7.09</v>
      </c>
      <c r="H341" s="33" t="n">
        <f aca="false">G341-G340</f>
        <v>-11.74</v>
      </c>
      <c r="I341" s="33" t="n">
        <v>92</v>
      </c>
      <c r="J341" s="33" t="n">
        <f aca="false">I340-I341</f>
        <v>168</v>
      </c>
      <c r="K341" s="1" t="s">
        <v>195</v>
      </c>
      <c r="L341" s="1" t="n">
        <f aca="false">QUARTILE($C$336:$C$366, 1)</f>
        <v>6569.5</v>
      </c>
      <c r="M341" s="1" t="n">
        <f aca="false">QUARTILE($E$336:$E$366, 1)</f>
        <v>283.05</v>
      </c>
      <c r="N341" s="1" t="n">
        <f aca="false">QUARTILE($G$336:$G$366, 1)</f>
        <v>4.73</v>
      </c>
      <c r="O341" s="1" t="n">
        <f aca="false">QUARTILE($I$336:$I$366, 1)</f>
        <v>61.5</v>
      </c>
    </row>
    <row r="342" customFormat="false" ht="13.8" hidden="false" customHeight="false" outlineLevel="0" collapsed="false">
      <c r="A342" s="33" t="n">
        <v>341</v>
      </c>
      <c r="B342" s="32" t="n">
        <v>44537</v>
      </c>
      <c r="C342" s="33" t="n">
        <v>7044</v>
      </c>
      <c r="D342" s="33" t="n">
        <f aca="false">C341-C342</f>
        <v>2808</v>
      </c>
      <c r="E342" s="33" t="n">
        <v>303</v>
      </c>
      <c r="F342" s="33" t="n">
        <f aca="false">E341-E342</f>
        <v>122.3</v>
      </c>
      <c r="G342" s="33" t="n">
        <v>5.07</v>
      </c>
      <c r="H342" s="33" t="n">
        <f aca="false">G342-G341</f>
        <v>-2.02</v>
      </c>
      <c r="I342" s="33" t="n">
        <v>65</v>
      </c>
      <c r="J342" s="33" t="n">
        <f aca="false">I341-I342</f>
        <v>27</v>
      </c>
      <c r="K342" s="1" t="s">
        <v>181</v>
      </c>
      <c r="L342" s="1" t="n">
        <f aca="false">QUARTILE($C$336:$C$366, 3)</f>
        <v>10084</v>
      </c>
      <c r="M342" s="1" t="n">
        <f aca="false">QUARTILE($E$336:$E$366, 3)</f>
        <v>423.9</v>
      </c>
      <c r="N342" s="1" t="n">
        <f aca="false">QUARTILE($G$336:$G$366, 3)</f>
        <v>7.075</v>
      </c>
      <c r="O342" s="1" t="n">
        <f aca="false">QUARTILE($I$336:$I$366, 3)</f>
        <v>91.5</v>
      </c>
    </row>
    <row r="343" customFormat="false" ht="13.8" hidden="false" customHeight="false" outlineLevel="0" collapsed="false">
      <c r="A343" s="33" t="n">
        <v>342</v>
      </c>
      <c r="B343" s="32" t="n">
        <v>44538</v>
      </c>
      <c r="C343" s="33" t="n">
        <v>11682</v>
      </c>
      <c r="D343" s="33" t="n">
        <f aca="false">C342-C343</f>
        <v>-4638</v>
      </c>
      <c r="E343" s="33" t="n">
        <v>503.9</v>
      </c>
      <c r="F343" s="33" t="n">
        <f aca="false">E342-E343</f>
        <v>-200.9</v>
      </c>
      <c r="G343" s="33" t="n">
        <v>8.41</v>
      </c>
      <c r="H343" s="33" t="n">
        <f aca="false">G343-G342</f>
        <v>3.34</v>
      </c>
      <c r="I343" s="33" t="n">
        <v>108</v>
      </c>
      <c r="J343" s="33" t="n">
        <f aca="false">I342-I343</f>
        <v>-43</v>
      </c>
      <c r="K343" s="1" t="s">
        <v>182</v>
      </c>
      <c r="L343" s="1" t="n">
        <f aca="false">VAR($C$336:$C$366)</f>
        <v>25937974.4129032</v>
      </c>
      <c r="M343" s="1" t="n">
        <f aca="false">VAR($E$336:$E$366)</f>
        <v>43332.5174623656</v>
      </c>
      <c r="N343" s="1" t="n">
        <f aca="false">VAR($G$336:$G$366)</f>
        <v>11.7072178494624</v>
      </c>
      <c r="O343" s="1" t="n">
        <f aca="false">VAR($I$336:$I$366)</f>
        <v>2197.25161290323</v>
      </c>
    </row>
    <row r="344" customFormat="false" ht="13.8" hidden="false" customHeight="false" outlineLevel="0" collapsed="false">
      <c r="A344" s="33" t="n">
        <v>343</v>
      </c>
      <c r="B344" s="32" t="n">
        <v>44539</v>
      </c>
      <c r="C344" s="33" t="n">
        <v>17812</v>
      </c>
      <c r="D344" s="33" t="n">
        <f aca="false">C343-C344</f>
        <v>-6130</v>
      </c>
      <c r="E344" s="33" t="n">
        <v>769</v>
      </c>
      <c r="F344" s="33" t="n">
        <f aca="false">E343-E344</f>
        <v>-265.1</v>
      </c>
      <c r="G344" s="33" t="n">
        <v>12.82</v>
      </c>
      <c r="H344" s="33" t="n">
        <f aca="false">G344-G343</f>
        <v>4.41</v>
      </c>
      <c r="I344" s="33" t="n">
        <v>166</v>
      </c>
      <c r="J344" s="33" t="n">
        <f aca="false">I343-I344</f>
        <v>-58</v>
      </c>
      <c r="K344" s="1" t="s">
        <v>16</v>
      </c>
      <c r="L344" s="1" t="n">
        <f aca="false">STDEV($C$336:$C$366)</f>
        <v>5092.93377267987</v>
      </c>
      <c r="M344" s="1" t="n">
        <f aca="false">STDEV($E$336:$E$366)</f>
        <v>208.164640278712</v>
      </c>
      <c r="N344" s="1" t="n">
        <f aca="false">STDEV($G$336:$G$366)</f>
        <v>3.42158119141755</v>
      </c>
      <c r="O344" s="1" t="n">
        <f aca="false">STDEV($I$336:$I$366)</f>
        <v>46.8748505373961</v>
      </c>
    </row>
    <row r="345" customFormat="false" ht="13.8" hidden="false" customHeight="false" outlineLevel="0" collapsed="false">
      <c r="A345" s="33" t="n">
        <v>344</v>
      </c>
      <c r="B345" s="32" t="n">
        <v>44540</v>
      </c>
      <c r="C345" s="33" t="n">
        <v>7525</v>
      </c>
      <c r="D345" s="33" t="n">
        <f aca="false">C344-C345</f>
        <v>10287</v>
      </c>
      <c r="E345" s="33" t="n">
        <v>323.9</v>
      </c>
      <c r="F345" s="33" t="n">
        <f aca="false">E344-E345</f>
        <v>445.1</v>
      </c>
      <c r="G345" s="33" t="n">
        <v>5.42</v>
      </c>
      <c r="H345" s="33" t="n">
        <f aca="false">G345-G344</f>
        <v>-7.4</v>
      </c>
      <c r="I345" s="33" t="n">
        <v>70</v>
      </c>
      <c r="J345" s="33" t="n">
        <f aca="false">I344-I345</f>
        <v>96</v>
      </c>
      <c r="K345" s="1" t="s">
        <v>20</v>
      </c>
      <c r="L345" s="1" t="n">
        <f aca="false">KURT($C$336:$C$366)</f>
        <v>3.54921548514516</v>
      </c>
      <c r="M345" s="1" t="n">
        <f aca="false">KURT($E$336:$E$366)</f>
        <v>5.89422482189127</v>
      </c>
      <c r="N345" s="1" t="n">
        <f aca="false">KURT($G$336:$G$366)</f>
        <v>5.60010827748732</v>
      </c>
      <c r="O345" s="1" t="n">
        <f aca="false">KURT($I$336:$I$366)</f>
        <v>6.6067230851173</v>
      </c>
    </row>
    <row r="346" customFormat="false" ht="13.8" hidden="false" customHeight="false" outlineLevel="0" collapsed="false">
      <c r="A346" s="33" t="n">
        <v>345</v>
      </c>
      <c r="B346" s="32" t="n">
        <v>44541</v>
      </c>
      <c r="C346" s="33" t="n">
        <v>8571</v>
      </c>
      <c r="D346" s="33" t="n">
        <f aca="false">C345-C346</f>
        <v>-1046</v>
      </c>
      <c r="E346" s="33" t="n">
        <v>371.4</v>
      </c>
      <c r="F346" s="33" t="n">
        <f aca="false">E345-E346</f>
        <v>-47.5</v>
      </c>
      <c r="G346" s="33" t="n">
        <v>6.17</v>
      </c>
      <c r="H346" s="33" t="n">
        <f aca="false">G346-G345</f>
        <v>0.75</v>
      </c>
      <c r="I346" s="33" t="n">
        <v>82</v>
      </c>
      <c r="J346" s="33" t="n">
        <f aca="false">I345-I346</f>
        <v>-12</v>
      </c>
      <c r="K346" s="1" t="s">
        <v>22</v>
      </c>
      <c r="L346" s="1" t="n">
        <f aca="false">SKEW($C$336:$C$366)</f>
        <v>1.63326347686919</v>
      </c>
      <c r="M346" s="1" t="n">
        <f aca="false">SKEW($E$336:$E$366)</f>
        <v>2.00273784814546</v>
      </c>
      <c r="N346" s="1" t="n">
        <f aca="false">SKEW($G$336:$G$366)</f>
        <v>1.92963971355053</v>
      </c>
      <c r="O346" s="1" t="n">
        <f aca="false">SKEW($I$336:$I$366)</f>
        <v>2.17558759458269</v>
      </c>
    </row>
    <row r="347" customFormat="false" ht="13.8" hidden="false" customHeight="false" outlineLevel="0" collapsed="false">
      <c r="A347" s="33" t="n">
        <v>346</v>
      </c>
      <c r="B347" s="32" t="n">
        <v>44542</v>
      </c>
      <c r="C347" s="33" t="n">
        <v>4860</v>
      </c>
      <c r="D347" s="33" t="n">
        <f aca="false">C346-C347</f>
        <v>3711</v>
      </c>
      <c r="E347" s="33" t="n">
        <v>213.4</v>
      </c>
      <c r="F347" s="33" t="n">
        <f aca="false">E346-E347</f>
        <v>158</v>
      </c>
      <c r="G347" s="33" t="n">
        <v>3.5</v>
      </c>
      <c r="H347" s="33" t="n">
        <f aca="false">G347-G346</f>
        <v>-2.67</v>
      </c>
      <c r="I347" s="33" t="n">
        <v>48</v>
      </c>
      <c r="J347" s="33" t="n">
        <f aca="false">I346-I347</f>
        <v>34</v>
      </c>
      <c r="K347" s="1" t="s">
        <v>24</v>
      </c>
      <c r="L347" s="1" t="n">
        <f aca="false">MAX($C$336:$C$366)-MIN($C$336:$C$366)</f>
        <v>24846</v>
      </c>
      <c r="M347" s="1" t="n">
        <f aca="false">MAX($E$336:$E$366)-MIN($E$336:$E$366)</f>
        <v>1091.4</v>
      </c>
      <c r="N347" s="1" t="n">
        <f aca="false">MAX($G$336:$G$366)-MIN($G$336:$G$366)</f>
        <v>17.89</v>
      </c>
      <c r="O347" s="1" t="n">
        <f aca="false">MAX($I$336:$I$366)-MIN($I$336:$I$366)</f>
        <v>247</v>
      </c>
    </row>
    <row r="348" customFormat="false" ht="13.8" hidden="false" customHeight="false" outlineLevel="0" collapsed="false">
      <c r="A348" s="33" t="n">
        <v>347</v>
      </c>
      <c r="B348" s="32" t="n">
        <v>44543</v>
      </c>
      <c r="C348" s="33" t="n">
        <v>10569</v>
      </c>
      <c r="D348" s="33" t="n">
        <f aca="false">C347-C348</f>
        <v>-5709</v>
      </c>
      <c r="E348" s="33" t="n">
        <v>452.6</v>
      </c>
      <c r="F348" s="33" t="n">
        <f aca="false">E347-E348</f>
        <v>-239.2</v>
      </c>
      <c r="G348" s="33" t="n">
        <v>7.61</v>
      </c>
      <c r="H348" s="33" t="n">
        <f aca="false">G348-G347</f>
        <v>4.11</v>
      </c>
      <c r="I348" s="33" t="n">
        <v>96</v>
      </c>
      <c r="J348" s="33" t="n">
        <f aca="false">I347-I348</f>
        <v>-48</v>
      </c>
      <c r="K348" s="1" t="s">
        <v>26</v>
      </c>
      <c r="L348" s="1" t="n">
        <f aca="false">MIN($C$336:$C$366)</f>
        <v>1306</v>
      </c>
      <c r="M348" s="1" t="n">
        <f aca="false">MIN($E$336:$E$366)</f>
        <v>58.1</v>
      </c>
      <c r="N348" s="1" t="n">
        <f aca="false">MIN($G$336:$G$366)</f>
        <v>0.94</v>
      </c>
      <c r="O348" s="1" t="n">
        <f aca="false">MIN($I$336:$I$366)</f>
        <v>13</v>
      </c>
    </row>
    <row r="349" customFormat="false" ht="13.8" hidden="false" customHeight="false" outlineLevel="0" collapsed="false">
      <c r="A349" s="33" t="n">
        <v>348</v>
      </c>
      <c r="B349" s="32" t="n">
        <v>44544</v>
      </c>
      <c r="C349" s="33" t="n">
        <v>10316</v>
      </c>
      <c r="D349" s="33" t="n">
        <f aca="false">C348-C349</f>
        <v>253</v>
      </c>
      <c r="E349" s="33" t="n">
        <v>440.6</v>
      </c>
      <c r="F349" s="33" t="n">
        <f aca="false">E348-E349</f>
        <v>12</v>
      </c>
      <c r="G349" s="33" t="n">
        <v>7.43</v>
      </c>
      <c r="H349" s="33" t="n">
        <f aca="false">G349-G348</f>
        <v>-0.180000000000001</v>
      </c>
      <c r="I349" s="33" t="n">
        <v>92</v>
      </c>
      <c r="J349" s="33" t="n">
        <f aca="false">I348-I349</f>
        <v>4</v>
      </c>
      <c r="K349" s="1" t="s">
        <v>28</v>
      </c>
      <c r="L349" s="1" t="n">
        <f aca="false">MAX($C$336:$C$366)</f>
        <v>26152</v>
      </c>
      <c r="M349" s="1" t="n">
        <f aca="false">MAX($E$336:$E$366)</f>
        <v>1149.5</v>
      </c>
      <c r="N349" s="1" t="n">
        <f aca="false">MAX($G$336:$G$366)</f>
        <v>18.83</v>
      </c>
      <c r="O349" s="1" t="n">
        <f aca="false">MAX($I$336:$I$366)</f>
        <v>260</v>
      </c>
    </row>
    <row r="350" customFormat="false" ht="13.8" hidden="false" customHeight="false" outlineLevel="0" collapsed="false">
      <c r="A350" s="33" t="n">
        <v>349</v>
      </c>
      <c r="B350" s="32" t="n">
        <v>44545</v>
      </c>
      <c r="C350" s="33" t="n">
        <v>7173</v>
      </c>
      <c r="D350" s="33" t="n">
        <f aca="false">C349-C350</f>
        <v>3143</v>
      </c>
      <c r="E350" s="33" t="n">
        <v>306.3</v>
      </c>
      <c r="F350" s="33" t="n">
        <f aca="false">E349-E350</f>
        <v>134.3</v>
      </c>
      <c r="G350" s="33" t="n">
        <v>5.16</v>
      </c>
      <c r="H350" s="33" t="n">
        <f aca="false">G350-G349</f>
        <v>-2.27</v>
      </c>
      <c r="I350" s="33" t="n">
        <v>64</v>
      </c>
      <c r="J350" s="33" t="n">
        <f aca="false">I349-I350</f>
        <v>28</v>
      </c>
      <c r="K350" s="1" t="s">
        <v>30</v>
      </c>
      <c r="L350" s="1" t="n">
        <f aca="false">SUM($C$336:$C$366)</f>
        <v>282636</v>
      </c>
      <c r="M350" s="1" t="n">
        <f aca="false">SUM($E$336:$E$366)</f>
        <v>11766.7</v>
      </c>
      <c r="N350" s="1" t="n">
        <f aca="false">SUM($G$336:$G$366)</f>
        <v>195.49</v>
      </c>
      <c r="O350" s="1" t="n">
        <f aca="false">SUM($I$336:$I$366)</f>
        <v>2560</v>
      </c>
    </row>
    <row r="351" customFormat="false" ht="13.8" hidden="false" customHeight="false" outlineLevel="0" collapsed="false">
      <c r="A351" s="33" t="n">
        <v>350</v>
      </c>
      <c r="B351" s="32" t="n">
        <v>44546</v>
      </c>
      <c r="C351" s="33" t="n">
        <v>9242</v>
      </c>
      <c r="D351" s="33" t="n">
        <f aca="false">C350-C351</f>
        <v>-2069</v>
      </c>
      <c r="E351" s="33" t="n">
        <v>404.1</v>
      </c>
      <c r="F351" s="33" t="n">
        <f aca="false">E350-E351</f>
        <v>-97.8</v>
      </c>
      <c r="G351" s="33" t="n">
        <v>6.65</v>
      </c>
      <c r="H351" s="33" t="n">
        <f aca="false">G351-G350</f>
        <v>1.49</v>
      </c>
      <c r="I351" s="33" t="n">
        <v>89</v>
      </c>
      <c r="J351" s="33" t="n">
        <f aca="false">I350-I351</f>
        <v>-25</v>
      </c>
      <c r="K351" s="1" t="s">
        <v>32</v>
      </c>
      <c r="L351" s="1" t="n">
        <f aca="false">COUNT($C$336:$C$366)</f>
        <v>31</v>
      </c>
      <c r="M351" s="1" t="n">
        <f aca="false">COUNT($E$336:$E$366)</f>
        <v>31</v>
      </c>
      <c r="N351" s="1" t="n">
        <f aca="false">COUNT($G$336:$G$366)</f>
        <v>31</v>
      </c>
      <c r="O351" s="1" t="n">
        <f aca="false">COUNT($I$336:$I$366)</f>
        <v>31</v>
      </c>
    </row>
    <row r="352" customFormat="false" ht="13.8" hidden="false" customHeight="false" outlineLevel="0" collapsed="false">
      <c r="A352" s="33" t="n">
        <v>351</v>
      </c>
      <c r="B352" s="32" t="n">
        <v>44547</v>
      </c>
      <c r="C352" s="1" t="n">
        <v>6342</v>
      </c>
      <c r="D352" s="33" t="n">
        <f aca="false">C351-C352</f>
        <v>2900</v>
      </c>
      <c r="E352" s="1" t="n">
        <v>275.6</v>
      </c>
      <c r="F352" s="33" t="n">
        <f aca="false">E351-E352</f>
        <v>128.5</v>
      </c>
      <c r="G352" s="1" t="n">
        <v>4.57</v>
      </c>
      <c r="H352" s="33" t="n">
        <f aca="false">G352-G351</f>
        <v>-2.08</v>
      </c>
      <c r="I352" s="1" t="n">
        <v>60</v>
      </c>
      <c r="J352" s="33" t="n">
        <f aca="false">I351-I352</f>
        <v>29</v>
      </c>
    </row>
    <row r="353" customFormat="false" ht="13.8" hidden="false" customHeight="false" outlineLevel="0" collapsed="false">
      <c r="A353" s="33" t="n">
        <v>352</v>
      </c>
      <c r="B353" s="32" t="n">
        <v>44548</v>
      </c>
      <c r="C353" s="33" t="n">
        <v>7668</v>
      </c>
      <c r="D353" s="33" t="n">
        <f aca="false">C352-C353</f>
        <v>-1326</v>
      </c>
      <c r="E353" s="33" t="n">
        <v>329.6</v>
      </c>
      <c r="F353" s="33" t="n">
        <f aca="false">E352-E353</f>
        <v>-54</v>
      </c>
      <c r="G353" s="33" t="n">
        <v>5.52</v>
      </c>
      <c r="H353" s="33" t="n">
        <f aca="false">G353-G352</f>
        <v>0.949999999999999</v>
      </c>
      <c r="I353" s="33" t="n">
        <v>70</v>
      </c>
      <c r="J353" s="33" t="n">
        <f aca="false">I352-I353</f>
        <v>-10</v>
      </c>
    </row>
    <row r="354" customFormat="false" ht="13.8" hidden="false" customHeight="false" outlineLevel="0" collapsed="false">
      <c r="A354" s="33" t="n">
        <v>353</v>
      </c>
      <c r="B354" s="32" t="n">
        <v>44549</v>
      </c>
      <c r="C354" s="33" t="n">
        <v>7362</v>
      </c>
      <c r="D354" s="33" t="n">
        <f aca="false">C353-C354</f>
        <v>306</v>
      </c>
      <c r="E354" s="33" t="n">
        <v>316</v>
      </c>
      <c r="F354" s="33" t="n">
        <f aca="false">E353-E354</f>
        <v>13.6</v>
      </c>
      <c r="G354" s="33" t="n">
        <v>5.3</v>
      </c>
      <c r="H354" s="33" t="n">
        <f aca="false">G354-G353</f>
        <v>-0.22</v>
      </c>
      <c r="I354" s="33" t="n">
        <v>67</v>
      </c>
      <c r="J354" s="33" t="n">
        <f aca="false">I353-I354</f>
        <v>3</v>
      </c>
    </row>
    <row r="355" customFormat="false" ht="13.8" hidden="false" customHeight="false" outlineLevel="0" collapsed="false">
      <c r="A355" s="33" t="n">
        <v>354</v>
      </c>
      <c r="B355" s="32" t="n">
        <v>44550</v>
      </c>
      <c r="C355" s="33" t="n">
        <v>9802</v>
      </c>
      <c r="D355" s="33" t="n">
        <f aca="false">C354-C355</f>
        <v>-2440</v>
      </c>
      <c r="E355" s="33" t="n">
        <v>422.5</v>
      </c>
      <c r="F355" s="33" t="n">
        <f aca="false">E354-E355</f>
        <v>-106.5</v>
      </c>
      <c r="G355" s="33" t="n">
        <v>7.06</v>
      </c>
      <c r="H355" s="33" t="n">
        <f aca="false">G355-G354</f>
        <v>1.76</v>
      </c>
      <c r="I355" s="33" t="n">
        <v>91</v>
      </c>
      <c r="J355" s="33" t="n">
        <f aca="false">I354-I355</f>
        <v>-24</v>
      </c>
    </row>
    <row r="356" customFormat="false" ht="13.8" hidden="false" customHeight="false" outlineLevel="0" collapsed="false">
      <c r="A356" s="33" t="n">
        <v>355</v>
      </c>
      <c r="B356" s="32" t="n">
        <v>44551</v>
      </c>
      <c r="C356" s="33" t="n">
        <v>8189</v>
      </c>
      <c r="D356" s="33" t="n">
        <f aca="false">C355-C356</f>
        <v>1613</v>
      </c>
      <c r="E356" s="33" t="n">
        <v>353.1</v>
      </c>
      <c r="F356" s="33" t="n">
        <f aca="false">E355-E356</f>
        <v>69.4</v>
      </c>
      <c r="G356" s="33" t="n">
        <v>5.9</v>
      </c>
      <c r="H356" s="33" t="n">
        <f aca="false">G356-G355</f>
        <v>-1.16</v>
      </c>
      <c r="I356" s="33" t="n">
        <v>76</v>
      </c>
      <c r="J356" s="33" t="n">
        <f aca="false">I355-I356</f>
        <v>15</v>
      </c>
    </row>
    <row r="357" customFormat="false" ht="13.8" hidden="false" customHeight="false" outlineLevel="0" collapsed="false">
      <c r="A357" s="33" t="n">
        <v>356</v>
      </c>
      <c r="B357" s="32" t="n">
        <v>44552</v>
      </c>
      <c r="C357" s="33" t="n">
        <v>6797</v>
      </c>
      <c r="D357" s="33" t="n">
        <f aca="false">C356-C357</f>
        <v>1392</v>
      </c>
      <c r="E357" s="33" t="n">
        <v>290.5</v>
      </c>
      <c r="F357" s="33" t="n">
        <f aca="false">E356-E357</f>
        <v>62.6</v>
      </c>
      <c r="G357" s="33" t="n">
        <v>4.89</v>
      </c>
      <c r="H357" s="33" t="n">
        <f aca="false">G357-G356</f>
        <v>-1.01</v>
      </c>
      <c r="I357" s="33" t="n">
        <v>61</v>
      </c>
      <c r="J357" s="33" t="n">
        <f aca="false">I356-I357</f>
        <v>15</v>
      </c>
    </row>
    <row r="358" customFormat="false" ht="13.8" hidden="false" customHeight="false" outlineLevel="0" collapsed="false">
      <c r="A358" s="33" t="n">
        <v>357</v>
      </c>
      <c r="B358" s="32" t="n">
        <v>44553</v>
      </c>
      <c r="C358" s="33" t="n">
        <v>7610</v>
      </c>
      <c r="D358" s="33" t="n">
        <f aca="false">C357-C358</f>
        <v>-813</v>
      </c>
      <c r="E358" s="33" t="n">
        <v>327.2</v>
      </c>
      <c r="F358" s="33" t="n">
        <f aca="false">E357-E358</f>
        <v>-36.7</v>
      </c>
      <c r="G358" s="33" t="n">
        <v>5.48</v>
      </c>
      <c r="H358" s="33" t="n">
        <f aca="false">G358-G357</f>
        <v>0.590000000000001</v>
      </c>
      <c r="I358" s="33" t="n">
        <v>69</v>
      </c>
      <c r="J358" s="33" t="n">
        <f aca="false">I357-I358</f>
        <v>-8</v>
      </c>
    </row>
    <row r="359" customFormat="false" ht="13.8" hidden="false" customHeight="false" outlineLevel="0" collapsed="false">
      <c r="A359" s="33" t="n">
        <v>358</v>
      </c>
      <c r="B359" s="32" t="n">
        <v>44554</v>
      </c>
      <c r="C359" s="33" t="n">
        <v>7550</v>
      </c>
      <c r="D359" s="33" t="n">
        <f aca="false">C358-C359</f>
        <v>60</v>
      </c>
      <c r="E359" s="33" t="n">
        <v>329.8</v>
      </c>
      <c r="F359" s="33" t="n">
        <f aca="false">E358-E359</f>
        <v>-2.60000000000002</v>
      </c>
      <c r="G359" s="33" t="n">
        <v>5.44</v>
      </c>
      <c r="H359" s="33" t="n">
        <f aca="false">G359-G358</f>
        <v>-0.04</v>
      </c>
      <c r="I359" s="33" t="n">
        <v>73</v>
      </c>
      <c r="J359" s="33" t="n">
        <f aca="false">I358-I359</f>
        <v>-4</v>
      </c>
    </row>
    <row r="360" customFormat="false" ht="13.8" hidden="false" customHeight="false" outlineLevel="0" collapsed="false">
      <c r="A360" s="33" t="n">
        <v>359</v>
      </c>
      <c r="B360" s="32" t="n">
        <v>44555</v>
      </c>
      <c r="C360" s="33" t="n">
        <v>2213</v>
      </c>
      <c r="D360" s="33" t="n">
        <f aca="false">C359-C360</f>
        <v>5337</v>
      </c>
      <c r="E360" s="33" t="n">
        <v>96.8</v>
      </c>
      <c r="F360" s="33" t="n">
        <f aca="false">E359-E360</f>
        <v>233</v>
      </c>
      <c r="G360" s="33" t="n">
        <v>1.59</v>
      </c>
      <c r="H360" s="33" t="n">
        <f aca="false">G360-G359</f>
        <v>-3.85</v>
      </c>
      <c r="I360" s="33" t="n">
        <v>21</v>
      </c>
      <c r="J360" s="33" t="n">
        <f aca="false">I359-I360</f>
        <v>52</v>
      </c>
    </row>
    <row r="361" customFormat="false" ht="13.8" hidden="false" customHeight="false" outlineLevel="0" collapsed="false">
      <c r="A361" s="33" t="n">
        <v>360</v>
      </c>
      <c r="B361" s="32" t="n">
        <v>44556</v>
      </c>
      <c r="C361" s="33" t="n">
        <v>6149</v>
      </c>
      <c r="D361" s="33" t="n">
        <f aca="false">C360-C361</f>
        <v>-3936</v>
      </c>
      <c r="E361" s="33" t="n">
        <v>272.3</v>
      </c>
      <c r="F361" s="33" t="n">
        <f aca="false">E360-E361</f>
        <v>-175.5</v>
      </c>
      <c r="G361" s="33" t="n">
        <v>4.43</v>
      </c>
      <c r="H361" s="33" t="n">
        <f aca="false">G361-G360</f>
        <v>2.84</v>
      </c>
      <c r="I361" s="33" t="n">
        <v>62</v>
      </c>
      <c r="J361" s="33" t="n">
        <f aca="false">I360-I361</f>
        <v>-41</v>
      </c>
    </row>
    <row r="362" customFormat="false" ht="13.8" hidden="false" customHeight="false" outlineLevel="0" collapsed="false">
      <c r="A362" s="33" t="n">
        <v>361</v>
      </c>
      <c r="B362" s="32" t="n">
        <v>44557</v>
      </c>
      <c r="C362" s="33" t="n">
        <v>3274</v>
      </c>
      <c r="D362" s="33" t="n">
        <f aca="false">C361-C362</f>
        <v>2875</v>
      </c>
      <c r="E362" s="33" t="n">
        <v>143.2</v>
      </c>
      <c r="F362" s="33" t="n">
        <f aca="false">E361-E362</f>
        <v>129.1</v>
      </c>
      <c r="G362" s="33" t="n">
        <v>2.36</v>
      </c>
      <c r="H362" s="33" t="n">
        <f aca="false">G362-G361</f>
        <v>-2.07</v>
      </c>
      <c r="I362" s="33" t="n">
        <v>32</v>
      </c>
      <c r="J362" s="33" t="n">
        <f aca="false">I361-I362</f>
        <v>30</v>
      </c>
    </row>
    <row r="363" customFormat="false" ht="13.8" hidden="false" customHeight="false" outlineLevel="0" collapsed="false">
      <c r="A363" s="33" t="n">
        <v>362</v>
      </c>
      <c r="B363" s="32" t="n">
        <v>44558</v>
      </c>
      <c r="C363" s="33" t="n">
        <v>17964</v>
      </c>
      <c r="D363" s="33" t="n">
        <f aca="false">C362-C363</f>
        <v>-14690</v>
      </c>
      <c r="E363" s="33" t="n">
        <v>791.1</v>
      </c>
      <c r="F363" s="33" t="n">
        <f aca="false">E362-E363</f>
        <v>-647.9</v>
      </c>
      <c r="G363" s="33" t="n">
        <v>12.93</v>
      </c>
      <c r="H363" s="33" t="n">
        <f aca="false">G363-G362</f>
        <v>10.57</v>
      </c>
      <c r="I363" s="33" t="n">
        <v>180</v>
      </c>
      <c r="J363" s="33" t="n">
        <f aca="false">I362-I363</f>
        <v>-148</v>
      </c>
    </row>
    <row r="364" customFormat="false" ht="13.8" hidden="false" customHeight="false" outlineLevel="0" collapsed="false">
      <c r="A364" s="33" t="n">
        <v>363</v>
      </c>
      <c r="B364" s="32" t="n">
        <v>44559</v>
      </c>
      <c r="C364" s="33" t="n">
        <v>10415</v>
      </c>
      <c r="D364" s="33" t="n">
        <f aca="false">C363-C364</f>
        <v>7549</v>
      </c>
      <c r="E364" s="33" t="n">
        <v>450.2</v>
      </c>
      <c r="F364" s="33" t="n">
        <f aca="false">E363-E364</f>
        <v>340.9</v>
      </c>
      <c r="G364" s="33" t="n">
        <v>7.5</v>
      </c>
      <c r="H364" s="33" t="n">
        <f aca="false">G364-G363</f>
        <v>-5.43</v>
      </c>
      <c r="I364" s="33" t="n">
        <v>98</v>
      </c>
      <c r="J364" s="33" t="n">
        <f aca="false">I363-I364</f>
        <v>82</v>
      </c>
    </row>
    <row r="365" customFormat="false" ht="13.8" hidden="false" customHeight="false" outlineLevel="0" collapsed="false">
      <c r="A365" s="33" t="n">
        <v>364</v>
      </c>
      <c r="B365" s="32" t="n">
        <v>44560</v>
      </c>
      <c r="C365" s="33" t="n">
        <v>1306</v>
      </c>
      <c r="D365" s="33" t="n">
        <f aca="false">C364-C365</f>
        <v>9109</v>
      </c>
      <c r="E365" s="33" t="n">
        <v>58.1</v>
      </c>
      <c r="F365" s="33" t="n">
        <f aca="false">E364-E365</f>
        <v>392.1</v>
      </c>
      <c r="G365" s="33" t="n">
        <v>0.94</v>
      </c>
      <c r="H365" s="33" t="n">
        <f aca="false">G365-G364</f>
        <v>-6.56</v>
      </c>
      <c r="I365" s="33" t="n">
        <v>13</v>
      </c>
      <c r="J365" s="33" t="n">
        <f aca="false">I364-I365</f>
        <v>85</v>
      </c>
    </row>
    <row r="366" customFormat="false" ht="13.8" hidden="false" customHeight="false" outlineLevel="0" collapsed="false">
      <c r="A366" s="33" t="n">
        <v>365</v>
      </c>
      <c r="B366" s="32" t="n">
        <v>44561</v>
      </c>
      <c r="C366" s="33" t="n">
        <v>19015</v>
      </c>
      <c r="D366" s="33" t="n">
        <f aca="false">C365-C366</f>
        <v>-17709</v>
      </c>
      <c r="E366" s="33" t="n">
        <v>349.1</v>
      </c>
      <c r="F366" s="33" t="n">
        <f aca="false">E365-E366</f>
        <v>-291</v>
      </c>
      <c r="G366" s="33" t="n">
        <v>5.69</v>
      </c>
      <c r="H366" s="33" t="n">
        <f aca="false">G366-G365</f>
        <v>4.75</v>
      </c>
      <c r="I366" s="33" t="n">
        <v>78</v>
      </c>
      <c r="J366" s="33" t="n">
        <f aca="false">I365-I366</f>
        <v>-65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6"/>
  <sheetViews>
    <sheetView showFormulas="false" showGridLines="true" showRowColHeaders="true" showZeros="true" rightToLeft="false" tabSelected="false" showOutlineSymbols="true" defaultGridColor="true" view="normal" topLeftCell="A346" colorId="64" zoomScale="100" zoomScaleNormal="100" zoomScalePageLayoutView="100" workbookViewId="0">
      <selection pane="topLeft" activeCell="J387" activeCellId="0" sqref="J387"/>
    </sheetView>
  </sheetViews>
  <sheetFormatPr defaultColWidth="9.18359375" defaultRowHeight="13.8" customHeight="true" zeroHeight="false" outlineLevelRow="0" outlineLevelCol="0"/>
  <cols>
    <col collapsed="false" customWidth="true" hidden="false" outlineLevel="0" max="8" min="8" style="1" width="13.7"/>
    <col collapsed="false" customWidth="true" hidden="false" outlineLevel="0" max="10" min="10" style="1" width="16.12"/>
  </cols>
  <sheetData>
    <row r="1" customFormat="false" ht="13.8" hidden="false" customHeight="false" outlineLevel="0" collapsed="false">
      <c r="A1" s="31" t="s">
        <v>0</v>
      </c>
      <c r="B1" s="32" t="s">
        <v>1</v>
      </c>
      <c r="C1" s="31" t="s">
        <v>2</v>
      </c>
      <c r="D1" s="31" t="s">
        <v>3</v>
      </c>
      <c r="E1" s="31" t="s">
        <v>179</v>
      </c>
      <c r="F1" s="31" t="s">
        <v>174</v>
      </c>
      <c r="G1" s="31" t="s">
        <v>175</v>
      </c>
      <c r="H1" s="31" t="s">
        <v>176</v>
      </c>
      <c r="I1" s="31" t="s">
        <v>177</v>
      </c>
      <c r="J1" s="31" t="s">
        <v>178</v>
      </c>
    </row>
    <row r="2" customFormat="false" ht="13.8" hidden="false" customHeight="false" outlineLevel="0" collapsed="false">
      <c r="A2" s="33" t="n">
        <v>1</v>
      </c>
      <c r="B2" s="32" t="n">
        <v>44562</v>
      </c>
      <c r="C2" s="33" t="n">
        <v>7897</v>
      </c>
      <c r="D2" s="33" t="e">
        <f aca="false">C1-C2</f>
        <v>#VALUE!</v>
      </c>
      <c r="E2" s="33" t="n">
        <v>349.1</v>
      </c>
      <c r="F2" s="33" t="e">
        <f aca="false">E1-E2</f>
        <v>#VALUE!</v>
      </c>
      <c r="G2" s="33" t="n">
        <v>5.69</v>
      </c>
      <c r="H2" s="33" t="e">
        <f aca="false">G2-G1</f>
        <v>#VALUE!</v>
      </c>
      <c r="I2" s="33" t="n">
        <v>78</v>
      </c>
      <c r="J2" s="33" t="e">
        <f aca="false">I1-I2</f>
        <v>#VALUE!</v>
      </c>
      <c r="L2" s="1" t="s">
        <v>2</v>
      </c>
      <c r="M2" s="1" t="s">
        <v>179</v>
      </c>
      <c r="N2" s="1" t="s">
        <v>175</v>
      </c>
      <c r="O2" s="1" t="s">
        <v>177</v>
      </c>
    </row>
    <row r="3" customFormat="false" ht="13.8" hidden="false" customHeight="false" outlineLevel="0" collapsed="false">
      <c r="A3" s="1" t="n">
        <v>2</v>
      </c>
      <c r="B3" s="32" t="n">
        <v>44563</v>
      </c>
      <c r="C3" s="33" t="n">
        <v>14960</v>
      </c>
      <c r="D3" s="33" t="n">
        <f aca="false">C2-C3</f>
        <v>-7063</v>
      </c>
      <c r="E3" s="33" t="n">
        <v>644.4</v>
      </c>
      <c r="F3" s="33" t="n">
        <f aca="false">E2-E3</f>
        <v>-295.3</v>
      </c>
      <c r="G3" s="33" t="n">
        <v>10.77</v>
      </c>
      <c r="H3" s="33" t="n">
        <f aca="false">G3-G2</f>
        <v>5.08</v>
      </c>
      <c r="I3" s="33" t="n">
        <v>139</v>
      </c>
      <c r="J3" s="33" t="n">
        <f aca="false">I2-I3</f>
        <v>-61</v>
      </c>
      <c r="K3" s="1" t="s">
        <v>8</v>
      </c>
      <c r="L3" s="1" t="n">
        <f aca="false">AVERAGE($C$1:$C$32)</f>
        <v>7869.83870967742</v>
      </c>
      <c r="M3" s="1" t="n">
        <f aca="false">AVERAGE($E$1:$E$32)</f>
        <v>342.3</v>
      </c>
      <c r="N3" s="1" t="n">
        <f aca="false">AVERAGE($G$1:$G$32)</f>
        <v>5.66709677419355</v>
      </c>
      <c r="O3" s="1" t="n">
        <f aca="false">AVERAGE($I$1:$I$32)</f>
        <v>74.8387096774194</v>
      </c>
    </row>
    <row r="4" customFormat="false" ht="13.8" hidden="false" customHeight="false" outlineLevel="0" collapsed="false">
      <c r="A4" s="33" t="n">
        <v>3</v>
      </c>
      <c r="B4" s="32" t="n">
        <v>44564</v>
      </c>
      <c r="C4" s="33" t="n">
        <v>4681</v>
      </c>
      <c r="D4" s="33" t="n">
        <f aca="false">C3-C4</f>
        <v>10279</v>
      </c>
      <c r="E4" s="33" t="n">
        <v>206.4</v>
      </c>
      <c r="F4" s="33" t="n">
        <f aca="false">E3-E4</f>
        <v>438</v>
      </c>
      <c r="G4" s="33" t="n">
        <v>3.37</v>
      </c>
      <c r="H4" s="33" t="n">
        <f aca="false">G4-G3</f>
        <v>-7.4</v>
      </c>
      <c r="I4" s="33" t="n">
        <v>47</v>
      </c>
      <c r="J4" s="33" t="n">
        <f aca="false">I3-I4</f>
        <v>92</v>
      </c>
      <c r="K4" s="1" t="s">
        <v>10</v>
      </c>
      <c r="L4" s="1" t="n">
        <f aca="false">SQRT(VAR($C$1:$C$32)/COUNT($C$1:$C$32))</f>
        <v>700.915317230653</v>
      </c>
      <c r="M4" s="1" t="n">
        <f aca="false">SQRT(VAR($E$1:$E$32)/COUNT($E$1:$E$32))</f>
        <v>30.2210202428067</v>
      </c>
      <c r="N4" s="1" t="n">
        <f aca="false">SQRT(VAR($G$1:$G$32)/COUNT($G$1:$G$32))</f>
        <v>0.504773385446942</v>
      </c>
      <c r="O4" s="1" t="n">
        <f aca="false">SQRT(VAR($I$1:$I$32)/COUNT($I$1:$I$32))</f>
        <v>6.5638463635499</v>
      </c>
    </row>
    <row r="5" customFormat="false" ht="13.8" hidden="false" customHeight="false" outlineLevel="0" collapsed="false">
      <c r="A5" s="1" t="n">
        <v>4</v>
      </c>
      <c r="B5" s="32" t="n">
        <v>44565</v>
      </c>
      <c r="C5" s="33" t="n">
        <v>13412</v>
      </c>
      <c r="D5" s="33" t="n">
        <f aca="false">C4-C5</f>
        <v>-8731</v>
      </c>
      <c r="E5" s="33" t="n">
        <v>577.8</v>
      </c>
      <c r="F5" s="33" t="n">
        <f aca="false">E4-E5</f>
        <v>-371.4</v>
      </c>
      <c r="G5" s="33" t="n">
        <v>9.66</v>
      </c>
      <c r="H5" s="33" t="n">
        <f aca="false">G5-G4</f>
        <v>6.29</v>
      </c>
      <c r="I5" s="33" t="n">
        <v>124</v>
      </c>
      <c r="J5" s="33" t="n">
        <f aca="false">I4-I5</f>
        <v>-77</v>
      </c>
      <c r="K5" s="1" t="s">
        <v>14</v>
      </c>
      <c r="L5" s="1" t="e">
        <f aca="false">MODE($C$1:$C$32)</f>
        <v>#VALUE!</v>
      </c>
      <c r="M5" s="1" t="e">
        <f aca="false">MODE($E$1:$E$32)</f>
        <v>#VALUE!</v>
      </c>
      <c r="N5" s="1" t="n">
        <f aca="false">MODE($G$1:$G$32)</f>
        <v>5.82</v>
      </c>
      <c r="O5" s="1" t="n">
        <f aca="false">MODE($I$1:$I$32)</f>
        <v>52</v>
      </c>
    </row>
    <row r="6" customFormat="false" ht="13.8" hidden="false" customHeight="false" outlineLevel="0" collapsed="false">
      <c r="A6" s="33" t="n">
        <v>5</v>
      </c>
      <c r="B6" s="32" t="n">
        <v>44566</v>
      </c>
      <c r="C6" s="33" t="n">
        <v>9159</v>
      </c>
      <c r="D6" s="33" t="n">
        <f aca="false">C5-C6</f>
        <v>4253</v>
      </c>
      <c r="E6" s="33" t="n">
        <v>392.2</v>
      </c>
      <c r="F6" s="33" t="n">
        <f aca="false">E5-E6</f>
        <v>185.6</v>
      </c>
      <c r="G6" s="33" t="n">
        <v>6.59</v>
      </c>
      <c r="H6" s="33" t="n">
        <f aca="false">G6-G5</f>
        <v>-3.07</v>
      </c>
      <c r="I6" s="33" t="n">
        <v>82</v>
      </c>
      <c r="J6" s="33" t="n">
        <f aca="false">I5-I6</f>
        <v>42</v>
      </c>
      <c r="K6" s="1" t="s">
        <v>12</v>
      </c>
      <c r="L6" s="1" t="n">
        <f aca="false">MEDIAN($C$1:$C$32)</f>
        <v>7924</v>
      </c>
      <c r="M6" s="1" t="n">
        <f aca="false">MEDIAN($E$1:$E$32)</f>
        <v>346.3</v>
      </c>
      <c r="N6" s="1" t="n">
        <f aca="false">MEDIAN($G$1:$G$32)</f>
        <v>5.71</v>
      </c>
      <c r="O6" s="1" t="n">
        <f aca="false">MEDIAN($I$1:$I$32)</f>
        <v>74</v>
      </c>
    </row>
    <row r="7" customFormat="false" ht="13.8" hidden="false" customHeight="false" outlineLevel="0" collapsed="false">
      <c r="A7" s="1" t="n">
        <v>6</v>
      </c>
      <c r="B7" s="32" t="n">
        <v>44567</v>
      </c>
      <c r="C7" s="33" t="n">
        <v>6788</v>
      </c>
      <c r="D7" s="33" t="n">
        <f aca="false">C6-C7</f>
        <v>2371</v>
      </c>
      <c r="E7" s="33" t="n">
        <v>297.7</v>
      </c>
      <c r="F7" s="33" t="n">
        <f aca="false">E6-E7</f>
        <v>94.5</v>
      </c>
      <c r="G7" s="33" t="n">
        <v>4.89</v>
      </c>
      <c r="H7" s="33" t="n">
        <f aca="false">G7-G6</f>
        <v>-1.7</v>
      </c>
      <c r="I7" s="33" t="n">
        <v>66</v>
      </c>
      <c r="J7" s="33" t="n">
        <f aca="false">I6-I7</f>
        <v>16</v>
      </c>
      <c r="K7" s="1" t="s">
        <v>195</v>
      </c>
      <c r="L7" s="1" t="n">
        <f aca="false">QUARTILE($C$1:$C$32, 1)</f>
        <v>5638.5</v>
      </c>
      <c r="M7" s="1" t="n">
        <f aca="false">QUARTILE($E$1:$E$32, 1)</f>
        <v>242.95</v>
      </c>
      <c r="N7" s="1" t="n">
        <f aca="false">QUARTILE($G$1:$G$32, 1)</f>
        <v>4.06</v>
      </c>
      <c r="O7" s="1" t="n">
        <f aca="false">QUARTILE($I$1:$I$32, 1)</f>
        <v>52</v>
      </c>
    </row>
    <row r="8" customFormat="false" ht="13.8" hidden="false" customHeight="false" outlineLevel="0" collapsed="false">
      <c r="A8" s="33" t="n">
        <v>7</v>
      </c>
      <c r="B8" s="32" t="n">
        <v>44568</v>
      </c>
      <c r="C8" s="33" t="n">
        <v>8470</v>
      </c>
      <c r="D8" s="33" t="n">
        <f aca="false">C7-C8</f>
        <v>-1682</v>
      </c>
      <c r="E8" s="33" t="n">
        <v>365.7</v>
      </c>
      <c r="F8" s="33" t="n">
        <f aca="false">E7-E8</f>
        <v>-68</v>
      </c>
      <c r="G8" s="33" t="n">
        <v>6.1</v>
      </c>
      <c r="H8" s="33" t="n">
        <f aca="false">G8-G7</f>
        <v>1.21</v>
      </c>
      <c r="I8" s="33" t="n">
        <v>79</v>
      </c>
      <c r="J8" s="33" t="n">
        <f aca="false">I7-I8</f>
        <v>-13</v>
      </c>
      <c r="K8" s="1" t="s">
        <v>181</v>
      </c>
      <c r="L8" s="1" t="n">
        <f aca="false">QUARTILE($C$1:$C$32, 3)</f>
        <v>9017.5</v>
      </c>
      <c r="M8" s="1" t="n">
        <f aca="false">QUARTILE($E$1:$E$32, 3)</f>
        <v>388.45</v>
      </c>
      <c r="N8" s="1" t="n">
        <f aca="false">QUARTILE($G$1:$G$32, 3)</f>
        <v>6.49</v>
      </c>
      <c r="O8" s="1" t="n">
        <f aca="false">QUARTILE($I$1:$I$32, 3)</f>
        <v>85</v>
      </c>
    </row>
    <row r="9" customFormat="false" ht="13.8" hidden="false" customHeight="false" outlineLevel="0" collapsed="false">
      <c r="A9" s="1" t="n">
        <v>8</v>
      </c>
      <c r="B9" s="32" t="n">
        <v>44569</v>
      </c>
      <c r="C9" s="33" t="n">
        <v>1448</v>
      </c>
      <c r="D9" s="33" t="n">
        <f aca="false">C8-C9</f>
        <v>7022</v>
      </c>
      <c r="E9" s="33" t="n">
        <v>66.2</v>
      </c>
      <c r="F9" s="33" t="n">
        <f aca="false">E8-E9</f>
        <v>299.5</v>
      </c>
      <c r="G9" s="33" t="n">
        <v>1.04</v>
      </c>
      <c r="H9" s="33" t="n">
        <f aca="false">G9-G8</f>
        <v>-5.06</v>
      </c>
      <c r="I9" s="33" t="n">
        <v>15</v>
      </c>
      <c r="J9" s="33" t="n">
        <f aca="false">I8-I9</f>
        <v>64</v>
      </c>
      <c r="K9" s="1" t="s">
        <v>182</v>
      </c>
      <c r="L9" s="1" t="n">
        <f aca="false">VAR($C$1:$C$32)</f>
        <v>15229750.7397849</v>
      </c>
      <c r="M9" s="1" t="n">
        <f aca="false">VAR($E$1:$E$32)</f>
        <v>28312.612</v>
      </c>
      <c r="N9" s="1" t="n">
        <f aca="false">VAR($G$1:$G$32)</f>
        <v>7.89868129032258</v>
      </c>
      <c r="O9" s="1" t="n">
        <f aca="false">VAR($I$1:$I$32)</f>
        <v>1335.6064516129</v>
      </c>
    </row>
    <row r="10" customFormat="false" ht="13.8" hidden="false" customHeight="false" outlineLevel="0" collapsed="false">
      <c r="A10" s="33" t="n">
        <v>9</v>
      </c>
      <c r="B10" s="32" t="n">
        <v>44570</v>
      </c>
      <c r="C10" s="33" t="n">
        <v>1931</v>
      </c>
      <c r="D10" s="33" t="n">
        <f aca="false">C9-C10</f>
        <v>-483</v>
      </c>
      <c r="E10" s="33" t="n">
        <v>88.6</v>
      </c>
      <c r="F10" s="33" t="n">
        <f aca="false">E9-E10</f>
        <v>-22.4</v>
      </c>
      <c r="G10" s="33" t="n">
        <v>1.39</v>
      </c>
      <c r="H10" s="33" t="n">
        <f aca="false">G10-G9</f>
        <v>0.35</v>
      </c>
      <c r="I10" s="33" t="n">
        <v>21</v>
      </c>
      <c r="J10" s="33" t="n">
        <f aca="false">I9-I10</f>
        <v>-6</v>
      </c>
      <c r="K10" s="1" t="s">
        <v>16</v>
      </c>
      <c r="L10" s="1" t="n">
        <f aca="false">STDEV($C$1:$C$32)</f>
        <v>3902.53132463853</v>
      </c>
      <c r="M10" s="1" t="n">
        <f aca="false">STDEV($E$1:$E$32)</f>
        <v>168.263519516264</v>
      </c>
      <c r="N10" s="1" t="n">
        <f aca="false">STDEV($G$1:$G$32)</f>
        <v>2.81045926679655</v>
      </c>
      <c r="O10" s="1" t="n">
        <f aca="false">STDEV($I$1:$I$32)</f>
        <v>36.5459498660646</v>
      </c>
    </row>
    <row r="11" customFormat="false" ht="13.8" hidden="false" customHeight="false" outlineLevel="0" collapsed="false">
      <c r="A11" s="1" t="n">
        <v>10</v>
      </c>
      <c r="B11" s="32" t="n">
        <v>44571</v>
      </c>
      <c r="C11" s="33" t="n">
        <v>6011</v>
      </c>
      <c r="D11" s="33" t="n">
        <f aca="false">C10-C11</f>
        <v>-4080</v>
      </c>
      <c r="E11" s="33" t="n">
        <v>262.8</v>
      </c>
      <c r="F11" s="33" t="n">
        <f aca="false">E10-E11</f>
        <v>-174.2</v>
      </c>
      <c r="G11" s="33" t="n">
        <v>4.33</v>
      </c>
      <c r="H11" s="33" t="n">
        <f aca="false">G11-G10</f>
        <v>2.94</v>
      </c>
      <c r="I11" s="33" t="n">
        <v>58</v>
      </c>
      <c r="J11" s="33" t="n">
        <f aca="false">I10-I11</f>
        <v>-37</v>
      </c>
      <c r="K11" s="1" t="s">
        <v>20</v>
      </c>
      <c r="L11" s="1" t="n">
        <f aca="false">KURT($C$1:$C$32)</f>
        <v>1.6374976341482</v>
      </c>
      <c r="M11" s="1" t="n">
        <f aca="false">KURT($E$1:$E$32)</f>
        <v>1.88752151870845</v>
      </c>
      <c r="N11" s="1" t="n">
        <f aca="false">KURT($G$1:$G$32)</f>
        <v>1.64681833581851</v>
      </c>
      <c r="O11" s="1" t="n">
        <f aca="false">KURT($I$1:$I$32)</f>
        <v>2.47256948499746</v>
      </c>
    </row>
    <row r="12" customFormat="false" ht="13.8" hidden="false" customHeight="false" outlineLevel="0" collapsed="false">
      <c r="A12" s="33" t="n">
        <v>11</v>
      </c>
      <c r="B12" s="32" t="n">
        <v>44572</v>
      </c>
      <c r="C12" s="33" t="n">
        <v>9695</v>
      </c>
      <c r="D12" s="33" t="n">
        <f aca="false">C11-C12</f>
        <v>-3684</v>
      </c>
      <c r="E12" s="33" t="n">
        <v>418.2</v>
      </c>
      <c r="F12" s="33" t="n">
        <f aca="false">E11-E12</f>
        <v>-155.4</v>
      </c>
      <c r="G12" s="33" t="n">
        <v>6.98</v>
      </c>
      <c r="H12" s="33" t="n">
        <f aca="false">G12-G11</f>
        <v>2.65</v>
      </c>
      <c r="I12" s="33" t="n">
        <v>90</v>
      </c>
      <c r="J12" s="33" t="n">
        <f aca="false">I11-I12</f>
        <v>-32</v>
      </c>
      <c r="K12" s="1" t="s">
        <v>22</v>
      </c>
      <c r="L12" s="1" t="n">
        <f aca="false">SKEW($C$1:$C$32)</f>
        <v>0.912070067242781</v>
      </c>
      <c r="M12" s="1" t="n">
        <f aca="false">SKEW($E$1:$E$32)</f>
        <v>0.967328818342767</v>
      </c>
      <c r="N12" s="1" t="n">
        <f aca="false">SKEW($G$1:$G$32)</f>
        <v>0.914290544648312</v>
      </c>
      <c r="O12" s="1" t="n">
        <f aca="false">SKEW($I$1:$I$32)</f>
        <v>1.09807714345788</v>
      </c>
    </row>
    <row r="13" customFormat="false" ht="13.8" hidden="false" customHeight="false" outlineLevel="0" collapsed="false">
      <c r="A13" s="1" t="n">
        <v>12</v>
      </c>
      <c r="B13" s="32" t="n">
        <v>44573</v>
      </c>
      <c r="C13" s="33" t="n">
        <v>8083</v>
      </c>
      <c r="D13" s="33" t="n">
        <f aca="false">C12-C13</f>
        <v>1612</v>
      </c>
      <c r="E13" s="33" t="n">
        <v>347.4</v>
      </c>
      <c r="F13" s="33" t="n">
        <f aca="false">E12-E13</f>
        <v>70.8</v>
      </c>
      <c r="G13" s="33" t="n">
        <v>5.82</v>
      </c>
      <c r="H13" s="33" t="n">
        <f aca="false">G13-G12</f>
        <v>-1.16</v>
      </c>
      <c r="I13" s="33" t="n">
        <v>74</v>
      </c>
      <c r="J13" s="33" t="n">
        <f aca="false">I12-I13</f>
        <v>16</v>
      </c>
      <c r="K13" s="1" t="s">
        <v>24</v>
      </c>
      <c r="L13" s="1" t="n">
        <f aca="false">MAX($C$1:$C$32)-MIN($C$1:$C$32)</f>
        <v>18108</v>
      </c>
      <c r="M13" s="1" t="n">
        <f aca="false">MAX($E$1:$E$32)-MIN($E$1:$E$32)</f>
        <v>791.7</v>
      </c>
      <c r="N13" s="1" t="n">
        <f aca="false">MAX($G$1:$G$32)-MIN($G$1:$G$32)</f>
        <v>13.05</v>
      </c>
      <c r="O13" s="1" t="n">
        <f aca="false">MAX($I$1:$I$32)-MIN($I$1:$I$32)</f>
        <v>177</v>
      </c>
    </row>
    <row r="14" customFormat="false" ht="13.8" hidden="false" customHeight="false" outlineLevel="0" collapsed="false">
      <c r="A14" s="33" t="n">
        <v>13</v>
      </c>
      <c r="B14" s="32" t="n">
        <v>44574</v>
      </c>
      <c r="C14" s="33" t="n">
        <v>12573</v>
      </c>
      <c r="D14" s="33" t="n">
        <f aca="false">C13-C14</f>
        <v>-4490</v>
      </c>
      <c r="E14" s="33" t="n">
        <v>537.9</v>
      </c>
      <c r="F14" s="33" t="n">
        <f aca="false">E13-E14</f>
        <v>-190.5</v>
      </c>
      <c r="G14" s="33" t="n">
        <v>9.05</v>
      </c>
      <c r="H14" s="33" t="n">
        <f aca="false">G14-G13</f>
        <v>3.23</v>
      </c>
      <c r="I14" s="33" t="n">
        <v>114</v>
      </c>
      <c r="J14" s="33" t="n">
        <f aca="false">I13-I14</f>
        <v>-40</v>
      </c>
      <c r="K14" s="1" t="s">
        <v>26</v>
      </c>
      <c r="L14" s="1" t="n">
        <f aca="false">MIN($C$1:$C$32)</f>
        <v>1448</v>
      </c>
      <c r="M14" s="1" t="n">
        <f aca="false">MIN($E$1:$E$32)</f>
        <v>66.2</v>
      </c>
      <c r="N14" s="1" t="n">
        <f aca="false">MIN($G$1:$G$32)</f>
        <v>1.04</v>
      </c>
      <c r="O14" s="1" t="n">
        <f aca="false">MIN($I$1:$I$32)</f>
        <v>15</v>
      </c>
    </row>
    <row r="15" customFormat="false" ht="13.8" hidden="false" customHeight="false" outlineLevel="0" collapsed="false">
      <c r="A15" s="1" t="n">
        <v>14</v>
      </c>
      <c r="B15" s="32" t="n">
        <v>44575</v>
      </c>
      <c r="C15" s="33" t="n">
        <v>6842</v>
      </c>
      <c r="D15" s="33" t="n">
        <f aca="false">C14-C15</f>
        <v>5731</v>
      </c>
      <c r="E15" s="33" t="n">
        <v>296.8</v>
      </c>
      <c r="F15" s="33" t="n">
        <f aca="false">E14-E15</f>
        <v>241.1</v>
      </c>
      <c r="G15" s="33" t="n">
        <v>4.93</v>
      </c>
      <c r="H15" s="33" t="n">
        <f aca="false">G15-G14</f>
        <v>-4.12</v>
      </c>
      <c r="I15" s="33" t="n">
        <v>65</v>
      </c>
      <c r="J15" s="33" t="n">
        <f aca="false">I14-I15</f>
        <v>49</v>
      </c>
      <c r="K15" s="1" t="s">
        <v>28</v>
      </c>
      <c r="L15" s="1" t="n">
        <f aca="false">MAX($C$1:$C$32)</f>
        <v>19556</v>
      </c>
      <c r="M15" s="1" t="n">
        <f aca="false">MAX($E$1:$E$32)</f>
        <v>857.9</v>
      </c>
      <c r="N15" s="1" t="n">
        <f aca="false">MAX($G$1:$G$32)</f>
        <v>14.09</v>
      </c>
      <c r="O15" s="1" t="n">
        <f aca="false">MAX($I$1:$I$32)</f>
        <v>192</v>
      </c>
    </row>
    <row r="16" customFormat="false" ht="13.8" hidden="false" customHeight="false" outlineLevel="0" collapsed="false">
      <c r="A16" s="33" t="n">
        <v>15</v>
      </c>
      <c r="B16" s="32" t="n">
        <v>44576</v>
      </c>
      <c r="C16" s="33" t="n">
        <v>7557</v>
      </c>
      <c r="D16" s="33" t="n">
        <f aca="false">C15-C16</f>
        <v>-715</v>
      </c>
      <c r="E16" s="33" t="n">
        <v>346.3</v>
      </c>
      <c r="F16" s="33" t="n">
        <f aca="false">E15-E16</f>
        <v>-49.5</v>
      </c>
      <c r="G16" s="33" t="n">
        <v>5.44</v>
      </c>
      <c r="H16" s="33" t="n">
        <f aca="false">G16-G15</f>
        <v>0.510000000000001</v>
      </c>
      <c r="I16" s="33" t="n">
        <v>83</v>
      </c>
      <c r="J16" s="33" t="n">
        <f aca="false">I15-I16</f>
        <v>-18</v>
      </c>
      <c r="K16" s="1" t="s">
        <v>30</v>
      </c>
      <c r="L16" s="1" t="n">
        <f aca="false">SUM($C$1:$C$32)</f>
        <v>243965</v>
      </c>
      <c r="M16" s="1" t="n">
        <f aca="false">SUM($E$1:$E$32)</f>
        <v>10611.3</v>
      </c>
      <c r="N16" s="1" t="n">
        <f aca="false">SUM($G$1:$G$32)</f>
        <v>175.68</v>
      </c>
      <c r="O16" s="1" t="n">
        <f aca="false">SUM($I$1:$I$32)</f>
        <v>2320</v>
      </c>
    </row>
    <row r="17" customFormat="false" ht="13.8" hidden="false" customHeight="false" outlineLevel="0" collapsed="false">
      <c r="A17" s="1" t="n">
        <v>16</v>
      </c>
      <c r="B17" s="32" t="n">
        <v>44577</v>
      </c>
      <c r="C17" s="33" t="n">
        <v>19556</v>
      </c>
      <c r="D17" s="33" t="n">
        <f aca="false">C16-C17</f>
        <v>-11999</v>
      </c>
      <c r="E17" s="33" t="n">
        <v>857.9</v>
      </c>
      <c r="F17" s="33" t="n">
        <f aca="false">E16-E17</f>
        <v>-511.6</v>
      </c>
      <c r="G17" s="33" t="n">
        <v>14.09</v>
      </c>
      <c r="H17" s="33" t="n">
        <f aca="false">G17-G16</f>
        <v>8.65</v>
      </c>
      <c r="I17" s="33" t="n">
        <v>192</v>
      </c>
      <c r="J17" s="33" t="n">
        <f aca="false">I16-I17</f>
        <v>-109</v>
      </c>
      <c r="K17" s="1" t="s">
        <v>32</v>
      </c>
      <c r="L17" s="1" t="n">
        <f aca="false">COUNT($C$1:$C$32)</f>
        <v>31</v>
      </c>
      <c r="M17" s="1" t="n">
        <f aca="false">COUNT($E$1:$E$32)</f>
        <v>31</v>
      </c>
      <c r="N17" s="1" t="n">
        <f aca="false">COUNT($G$1:$G$32)</f>
        <v>31</v>
      </c>
      <c r="O17" s="1" t="n">
        <f aca="false">COUNT($I$1:$I$32)</f>
        <v>31</v>
      </c>
    </row>
    <row r="18" customFormat="false" ht="13.8" hidden="false" customHeight="false" outlineLevel="0" collapsed="false">
      <c r="A18" s="33" t="n">
        <v>17</v>
      </c>
      <c r="B18" s="32" t="n">
        <v>44578</v>
      </c>
      <c r="C18" s="33" t="n">
        <v>5680</v>
      </c>
      <c r="D18" s="33" t="n">
        <f aca="false">C17-C18</f>
        <v>13876</v>
      </c>
      <c r="E18" s="33" t="n">
        <v>244.2</v>
      </c>
      <c r="F18" s="33" t="n">
        <f aca="false">E17-E18</f>
        <v>613.7</v>
      </c>
      <c r="G18" s="33" t="n">
        <v>4.09</v>
      </c>
      <c r="H18" s="33" t="n">
        <f aca="false">G18-G17</f>
        <v>-10</v>
      </c>
      <c r="I18" s="33" t="n">
        <v>52</v>
      </c>
      <c r="J18" s="33" t="n">
        <f aca="false">I17-I18</f>
        <v>140</v>
      </c>
    </row>
    <row r="19" customFormat="false" ht="13.8" hidden="false" customHeight="false" outlineLevel="0" collapsed="false">
      <c r="A19" s="1" t="n">
        <v>18</v>
      </c>
      <c r="B19" s="32" t="n">
        <v>44579</v>
      </c>
      <c r="C19" s="33" t="n">
        <v>9158</v>
      </c>
      <c r="D19" s="33" t="n">
        <f aca="false">C18-C19</f>
        <v>-3478</v>
      </c>
      <c r="E19" s="33" t="n">
        <v>399.4</v>
      </c>
      <c r="F19" s="33" t="n">
        <f aca="false">E18-E19</f>
        <v>-155.2</v>
      </c>
      <c r="G19" s="33" t="n">
        <v>6.59</v>
      </c>
      <c r="H19" s="33" t="n">
        <f aca="false">G19-G18</f>
        <v>2.5</v>
      </c>
      <c r="I19" s="33" t="n">
        <v>87</v>
      </c>
      <c r="J19" s="33" t="n">
        <f aca="false">I18-I19</f>
        <v>-35</v>
      </c>
    </row>
    <row r="20" customFormat="false" ht="13.8" hidden="false" customHeight="false" outlineLevel="0" collapsed="false">
      <c r="A20" s="33" t="n">
        <v>19</v>
      </c>
      <c r="B20" s="32" t="n">
        <v>44580</v>
      </c>
      <c r="C20" s="33" t="n">
        <v>7924</v>
      </c>
      <c r="D20" s="33" t="n">
        <f aca="false">C19-C20</f>
        <v>1234</v>
      </c>
      <c r="E20" s="33" t="n">
        <v>339.2</v>
      </c>
      <c r="F20" s="33" t="n">
        <f aca="false">E19-E20</f>
        <v>60.2</v>
      </c>
      <c r="G20" s="33" t="n">
        <v>5.71</v>
      </c>
      <c r="H20" s="33" t="n">
        <f aca="false">G20-G19</f>
        <v>-0.88</v>
      </c>
      <c r="I20" s="33" t="n">
        <v>71</v>
      </c>
      <c r="J20" s="33" t="n">
        <f aca="false">I19-I20</f>
        <v>16</v>
      </c>
    </row>
    <row r="21" customFormat="false" ht="13.8" hidden="false" customHeight="false" outlineLevel="0" collapsed="false">
      <c r="A21" s="1" t="n">
        <v>20</v>
      </c>
      <c r="B21" s="32" t="n">
        <v>44581</v>
      </c>
      <c r="C21" s="33" t="n">
        <v>7952</v>
      </c>
      <c r="D21" s="33" t="n">
        <f aca="false">C20-C21</f>
        <v>-28</v>
      </c>
      <c r="E21" s="33" t="n">
        <v>342.8</v>
      </c>
      <c r="F21" s="33" t="n">
        <f aca="false">E20-E21</f>
        <v>-3.60000000000002</v>
      </c>
      <c r="G21" s="33" t="n">
        <v>5.73</v>
      </c>
      <c r="H21" s="33" t="n">
        <f aca="false">G21-G20</f>
        <v>0.0200000000000005</v>
      </c>
      <c r="I21" s="33" t="n">
        <v>73</v>
      </c>
      <c r="J21" s="33" t="n">
        <f aca="false">I20-I21</f>
        <v>-2</v>
      </c>
    </row>
    <row r="22" customFormat="false" ht="13.8" hidden="false" customHeight="false" outlineLevel="0" collapsed="false">
      <c r="A22" s="33" t="n">
        <v>21</v>
      </c>
      <c r="B22" s="32" t="n">
        <v>44582</v>
      </c>
      <c r="C22" s="33" t="n">
        <v>6123</v>
      </c>
      <c r="D22" s="33" t="n">
        <f aca="false">C21-C22</f>
        <v>1829</v>
      </c>
      <c r="E22" s="33" t="n">
        <v>264.1</v>
      </c>
      <c r="F22" s="33" t="n">
        <f aca="false">E21-E22</f>
        <v>78.7</v>
      </c>
      <c r="G22" s="33" t="n">
        <v>4.41</v>
      </c>
      <c r="H22" s="33" t="n">
        <f aca="false">G22-G21</f>
        <v>-1.32</v>
      </c>
      <c r="I22" s="33" t="n">
        <v>57</v>
      </c>
      <c r="J22" s="33" t="n">
        <f aca="false">I21-I22</f>
        <v>16</v>
      </c>
    </row>
    <row r="23" customFormat="false" ht="13.8" hidden="false" customHeight="false" outlineLevel="0" collapsed="false">
      <c r="A23" s="1" t="n">
        <v>22</v>
      </c>
      <c r="B23" s="32" t="n">
        <v>44583</v>
      </c>
      <c r="C23" s="33" t="n">
        <v>4878</v>
      </c>
      <c r="D23" s="33" t="n">
        <f aca="false">C22-C23</f>
        <v>1245</v>
      </c>
      <c r="E23" s="33" t="n">
        <v>217.1</v>
      </c>
      <c r="F23" s="33" t="n">
        <f aca="false">E22-E23</f>
        <v>47</v>
      </c>
      <c r="G23" s="33" t="n">
        <v>3.51</v>
      </c>
      <c r="H23" s="33" t="n">
        <f aca="false">G23-G22</f>
        <v>-0.9</v>
      </c>
      <c r="I23" s="33" t="n">
        <v>50</v>
      </c>
      <c r="J23" s="33" t="n">
        <f aca="false">I22-I23</f>
        <v>7</v>
      </c>
    </row>
    <row r="24" customFormat="false" ht="13.8" hidden="false" customHeight="false" outlineLevel="0" collapsed="false">
      <c r="A24" s="33" t="n">
        <v>23</v>
      </c>
      <c r="B24" s="32" t="n">
        <v>44584</v>
      </c>
      <c r="C24" s="33" t="n">
        <v>2690</v>
      </c>
      <c r="D24" s="33" t="n">
        <f aca="false">C23-C24</f>
        <v>2188</v>
      </c>
      <c r="E24" s="33" t="n">
        <v>122.3</v>
      </c>
      <c r="F24" s="33" t="n">
        <f aca="false">E23-E24</f>
        <v>94.8</v>
      </c>
      <c r="G24" s="33" t="n">
        <v>1.94</v>
      </c>
      <c r="H24" s="33" t="n">
        <f aca="false">G24-G23</f>
        <v>-1.57</v>
      </c>
      <c r="I24" s="33" t="n">
        <v>28</v>
      </c>
      <c r="J24" s="33" t="n">
        <f aca="false">I23-I24</f>
        <v>22</v>
      </c>
    </row>
    <row r="25" customFormat="false" ht="13.8" hidden="false" customHeight="false" outlineLevel="0" collapsed="false">
      <c r="A25" s="1" t="n">
        <v>24</v>
      </c>
      <c r="B25" s="32" t="n">
        <v>44585</v>
      </c>
      <c r="C25" s="33" t="n">
        <v>13329</v>
      </c>
      <c r="D25" s="33" t="n">
        <f aca="false">C24-C25</f>
        <v>-10639</v>
      </c>
      <c r="E25" s="33" t="n">
        <v>575.4</v>
      </c>
      <c r="F25" s="33" t="n">
        <f aca="false">E24-E25</f>
        <v>-453.1</v>
      </c>
      <c r="G25" s="33" t="n">
        <v>9.6</v>
      </c>
      <c r="H25" s="33" t="n">
        <f aca="false">G25-G24</f>
        <v>7.66</v>
      </c>
      <c r="I25" s="33" t="n">
        <v>125</v>
      </c>
      <c r="J25" s="33" t="n">
        <f aca="false">I24-I25</f>
        <v>-97</v>
      </c>
    </row>
    <row r="26" customFormat="false" ht="13.8" hidden="false" customHeight="false" outlineLevel="0" collapsed="false">
      <c r="A26" s="33" t="n">
        <v>25</v>
      </c>
      <c r="B26" s="32" t="n">
        <v>44586</v>
      </c>
      <c r="C26" s="33" t="n">
        <v>5597</v>
      </c>
      <c r="D26" s="33" t="n">
        <f aca="false">C25-C26</f>
        <v>7732</v>
      </c>
      <c r="E26" s="33" t="n">
        <v>241.7</v>
      </c>
      <c r="F26" s="33" t="n">
        <f aca="false">E25-E26</f>
        <v>333.7</v>
      </c>
      <c r="G26" s="33" t="n">
        <v>4.03</v>
      </c>
      <c r="H26" s="33" t="n">
        <f aca="false">G26-G25</f>
        <v>-5.57</v>
      </c>
      <c r="I26" s="33" t="n">
        <v>52</v>
      </c>
      <c r="J26" s="33" t="n">
        <f aca="false">I25-I26</f>
        <v>73</v>
      </c>
    </row>
    <row r="27" customFormat="false" ht="13.8" hidden="false" customHeight="false" outlineLevel="0" collapsed="false">
      <c r="A27" s="1" t="n">
        <v>26</v>
      </c>
      <c r="B27" s="32" t="n">
        <v>44587</v>
      </c>
      <c r="C27" s="33" t="n">
        <v>8088</v>
      </c>
      <c r="D27" s="33" t="n">
        <f aca="false">C26-C27</f>
        <v>-2491</v>
      </c>
      <c r="E27" s="33" t="n">
        <v>349.4</v>
      </c>
      <c r="F27" s="33" t="n">
        <f aca="false">E26-E27</f>
        <v>-107.7</v>
      </c>
      <c r="G27" s="33" t="n">
        <v>5.82</v>
      </c>
      <c r="H27" s="33" t="n">
        <f aca="false">G27-G26</f>
        <v>1.79</v>
      </c>
      <c r="I27" s="33" t="n">
        <v>75</v>
      </c>
      <c r="J27" s="33" t="n">
        <f aca="false">I26-I27</f>
        <v>-23</v>
      </c>
    </row>
    <row r="28" customFormat="false" ht="13.8" hidden="false" customHeight="false" outlineLevel="0" collapsed="false">
      <c r="A28" s="33" t="n">
        <v>27</v>
      </c>
      <c r="B28" s="32" t="n">
        <v>44588</v>
      </c>
      <c r="C28" s="33" t="n">
        <v>8699</v>
      </c>
      <c r="D28" s="33" t="n">
        <f aca="false">C27-C28</f>
        <v>-611</v>
      </c>
      <c r="E28" s="33" t="n">
        <v>382.8</v>
      </c>
      <c r="F28" s="33" t="n">
        <f aca="false">E27-E28</f>
        <v>-33.4</v>
      </c>
      <c r="G28" s="33" t="n">
        <v>6.26</v>
      </c>
      <c r="H28" s="33" t="n">
        <f aca="false">G28-G27</f>
        <v>0.44</v>
      </c>
      <c r="I28" s="33" t="n">
        <v>86</v>
      </c>
      <c r="J28" s="33" t="n">
        <f aca="false">I27-I28</f>
        <v>-11</v>
      </c>
    </row>
    <row r="29" customFormat="false" ht="13.8" hidden="false" customHeight="false" outlineLevel="0" collapsed="false">
      <c r="A29" s="1" t="n">
        <v>28</v>
      </c>
      <c r="B29" s="32" t="n">
        <v>44589</v>
      </c>
      <c r="C29" s="33" t="n">
        <v>8877</v>
      </c>
      <c r="D29" s="33" t="n">
        <f aca="false">C28-C29</f>
        <v>-178</v>
      </c>
      <c r="E29" s="33" t="n">
        <v>384.7</v>
      </c>
      <c r="F29" s="33" t="n">
        <f aca="false">E28-E29</f>
        <v>-1.89999999999998</v>
      </c>
      <c r="G29" s="33" t="n">
        <v>6.39</v>
      </c>
      <c r="H29" s="33" t="n">
        <f aca="false">G29-G28</f>
        <v>0.13</v>
      </c>
      <c r="I29" s="33" t="n">
        <v>84</v>
      </c>
      <c r="J29" s="33" t="n">
        <f aca="false">I28-I29</f>
        <v>2</v>
      </c>
    </row>
    <row r="30" customFormat="false" ht="13.8" hidden="false" customHeight="false" outlineLevel="0" collapsed="false">
      <c r="A30" s="33" t="n">
        <v>29</v>
      </c>
      <c r="B30" s="32" t="n">
        <v>44590</v>
      </c>
      <c r="C30" s="33" t="n">
        <v>2674</v>
      </c>
      <c r="D30" s="33" t="n">
        <f aca="false">C29-C30</f>
        <v>6203</v>
      </c>
      <c r="E30" s="33" t="n">
        <v>117</v>
      </c>
      <c r="F30" s="33" t="n">
        <f aca="false">E29-E30</f>
        <v>267.7</v>
      </c>
      <c r="G30" s="33" t="n">
        <v>1.93</v>
      </c>
      <c r="H30" s="33" t="n">
        <f aca="false">G30-G29</f>
        <v>-4.46</v>
      </c>
      <c r="I30" s="33" t="n">
        <v>26</v>
      </c>
      <c r="J30" s="33" t="n">
        <f aca="false">I29-I30</f>
        <v>58</v>
      </c>
    </row>
    <row r="31" customFormat="false" ht="13.8" hidden="false" customHeight="false" outlineLevel="0" collapsed="false">
      <c r="A31" s="1" t="n">
        <v>30</v>
      </c>
      <c r="B31" s="32" t="n">
        <v>44591</v>
      </c>
      <c r="C31" s="33" t="n">
        <v>4718</v>
      </c>
      <c r="D31" s="33" t="n">
        <f aca="false">C30-C31</f>
        <v>-2044</v>
      </c>
      <c r="E31" s="33" t="n">
        <v>208.8</v>
      </c>
      <c r="F31" s="33" t="n">
        <f aca="false">E30-E31</f>
        <v>-91.8</v>
      </c>
      <c r="G31" s="33" t="n">
        <v>3.4</v>
      </c>
      <c r="H31" s="33" t="n">
        <f aca="false">G31-G30</f>
        <v>1.47</v>
      </c>
      <c r="I31" s="33" t="n">
        <v>48</v>
      </c>
      <c r="J31" s="33" t="n">
        <f aca="false">I30-I31</f>
        <v>-22</v>
      </c>
    </row>
    <row r="32" customFormat="false" ht="13.8" hidden="false" customHeight="false" outlineLevel="0" collapsed="false">
      <c r="A32" s="33" t="n">
        <v>31</v>
      </c>
      <c r="B32" s="32" t="n">
        <v>44592</v>
      </c>
      <c r="C32" s="33" t="n">
        <v>8515</v>
      </c>
      <c r="D32" s="33" t="n">
        <f aca="false">C31-C32</f>
        <v>-3797</v>
      </c>
      <c r="E32" s="33" t="n">
        <v>367</v>
      </c>
      <c r="F32" s="33" t="n">
        <f aca="false">E31-E32</f>
        <v>-158.2</v>
      </c>
      <c r="G32" s="33" t="n">
        <v>6.13</v>
      </c>
      <c r="H32" s="33" t="n">
        <f aca="false">G32-G31</f>
        <v>2.73</v>
      </c>
      <c r="I32" s="33" t="n">
        <v>79</v>
      </c>
      <c r="J32" s="33" t="n">
        <f aca="false">I31-I32</f>
        <v>-31</v>
      </c>
    </row>
    <row r="33" customFormat="false" ht="13.8" hidden="false" customHeight="false" outlineLevel="0" collapsed="false">
      <c r="A33" s="1" t="n">
        <v>32</v>
      </c>
      <c r="B33" s="32" t="n">
        <v>44593</v>
      </c>
      <c r="C33" s="33" t="n">
        <v>6597</v>
      </c>
      <c r="D33" s="33" t="n">
        <f aca="false">C32-C33</f>
        <v>1918</v>
      </c>
      <c r="E33" s="33" t="n">
        <v>283.1</v>
      </c>
      <c r="F33" s="33" t="n">
        <f aca="false">E32-E33</f>
        <v>83.9</v>
      </c>
      <c r="G33" s="33" t="n">
        <v>4.75</v>
      </c>
      <c r="H33" s="33" t="n">
        <f aca="false">G33-G32</f>
        <v>-1.38</v>
      </c>
      <c r="I33" s="33" t="n">
        <v>60</v>
      </c>
      <c r="J33" s="33" t="n">
        <f aca="false">I32-I33</f>
        <v>19</v>
      </c>
      <c r="L33" s="1" t="s">
        <v>2</v>
      </c>
      <c r="M33" s="1" t="s">
        <v>179</v>
      </c>
      <c r="N33" s="1" t="s">
        <v>175</v>
      </c>
      <c r="O33" s="1" t="s">
        <v>177</v>
      </c>
    </row>
    <row r="34" customFormat="false" ht="13.8" hidden="false" customHeight="false" outlineLevel="0" collapsed="false">
      <c r="A34" s="33" t="n">
        <v>33</v>
      </c>
      <c r="B34" s="32" t="n">
        <v>44594</v>
      </c>
      <c r="C34" s="33" t="n">
        <v>9216</v>
      </c>
      <c r="D34" s="33" t="n">
        <f aca="false">C33-C34</f>
        <v>-2619</v>
      </c>
      <c r="E34" s="33" t="n">
        <v>401.8</v>
      </c>
      <c r="F34" s="33" t="n">
        <f aca="false">E33-E34</f>
        <v>-118.7</v>
      </c>
      <c r="G34" s="33" t="n">
        <v>6.64</v>
      </c>
      <c r="H34" s="33" t="n">
        <f aca="false">G34-G33</f>
        <v>1.89</v>
      </c>
      <c r="I34" s="33" t="n">
        <v>89</v>
      </c>
      <c r="J34" s="33" t="n">
        <f aca="false">I33-I34</f>
        <v>-29</v>
      </c>
      <c r="K34" s="1" t="s">
        <v>8</v>
      </c>
      <c r="L34" s="1" t="n">
        <f aca="false">AVERAGE($C$33:$C$60)</f>
        <v>8763.53571428571</v>
      </c>
      <c r="M34" s="1" t="n">
        <f aca="false">AVERAGE($E$33:$E$60)</f>
        <v>381.121428571429</v>
      </c>
      <c r="N34" s="1" t="n">
        <f aca="false">AVERAGE($G$33:$G$60)</f>
        <v>6.30964285714286</v>
      </c>
      <c r="O34" s="1" t="n">
        <f aca="false">AVERAGE($I$33:$I$60)</f>
        <v>83.6428571428571</v>
      </c>
    </row>
    <row r="35" customFormat="false" ht="13.8" hidden="false" customHeight="false" outlineLevel="0" collapsed="false">
      <c r="A35" s="1" t="n">
        <v>34</v>
      </c>
      <c r="B35" s="32" t="n">
        <v>44595</v>
      </c>
      <c r="C35" s="33" t="n">
        <v>6250</v>
      </c>
      <c r="D35" s="33" t="n">
        <f aca="false">C34-C35</f>
        <v>2966</v>
      </c>
      <c r="E35" s="33" t="n">
        <v>273.1</v>
      </c>
      <c r="F35" s="33" t="n">
        <f aca="false">E34-E35</f>
        <v>128.7</v>
      </c>
      <c r="G35" s="33" t="n">
        <v>4.5</v>
      </c>
      <c r="H35" s="33" t="n">
        <f aca="false">G35-G34</f>
        <v>-2.14</v>
      </c>
      <c r="I35" s="33" t="n">
        <v>61</v>
      </c>
      <c r="J35" s="33" t="n">
        <f aca="false">I34-I35</f>
        <v>28</v>
      </c>
      <c r="K35" s="1" t="s">
        <v>10</v>
      </c>
      <c r="L35" s="1" t="n">
        <f aca="false">SQRT(VAR($C$33:$C$60)/COUNT($C$33:$C$60))</f>
        <v>964.07366988112</v>
      </c>
      <c r="M35" s="1" t="n">
        <f aca="false">SQRT(VAR($E$33:$E$60)/COUNT($E$33:$E$60))</f>
        <v>41.809409891554</v>
      </c>
      <c r="N35" s="1" t="n">
        <f aca="false">SQRT(VAR($G$33:$G$60)/COUNT($G$33:$G$60))</f>
        <v>0.694053060911444</v>
      </c>
      <c r="O35" s="1" t="n">
        <f aca="false">SQRT(VAR($I$33:$I$60)/COUNT($I$33:$I$60))</f>
        <v>9.2033485805158</v>
      </c>
    </row>
    <row r="36" customFormat="false" ht="13.8" hidden="false" customHeight="false" outlineLevel="0" collapsed="false">
      <c r="A36" s="33" t="n">
        <v>35</v>
      </c>
      <c r="B36" s="32" t="n">
        <v>44596</v>
      </c>
      <c r="C36" s="33" t="n">
        <v>7020</v>
      </c>
      <c r="D36" s="33" t="n">
        <f aca="false">C35-C36</f>
        <v>-770</v>
      </c>
      <c r="E36" s="33" t="n">
        <v>303.3</v>
      </c>
      <c r="F36" s="33" t="n">
        <f aca="false">E35-E36</f>
        <v>-30.2</v>
      </c>
      <c r="G36" s="33" t="n">
        <v>5.05</v>
      </c>
      <c r="H36" s="33" t="n">
        <f aca="false">G36-G35</f>
        <v>0.55</v>
      </c>
      <c r="I36" s="33" t="n">
        <v>66</v>
      </c>
      <c r="J36" s="33" t="n">
        <f aca="false">I35-I36</f>
        <v>-5</v>
      </c>
      <c r="K36" s="1" t="s">
        <v>14</v>
      </c>
      <c r="L36" s="1" t="e">
        <f aca="false">MODE($C$33:$C$60)</f>
        <v>#VALUE!</v>
      </c>
      <c r="M36" s="1" t="e">
        <f aca="false">MODE($E$33:$E$60)</f>
        <v>#VALUE!</v>
      </c>
      <c r="N36" s="1" t="n">
        <f aca="false">MODE($G$33:$G$60)</f>
        <v>5.05</v>
      </c>
      <c r="O36" s="1" t="n">
        <f aca="false">MODE($I$33:$I$60)</f>
        <v>58</v>
      </c>
    </row>
    <row r="37" customFormat="false" ht="13.8" hidden="false" customHeight="false" outlineLevel="0" collapsed="false">
      <c r="A37" s="1" t="n">
        <v>36</v>
      </c>
      <c r="B37" s="32" t="n">
        <v>44597</v>
      </c>
      <c r="C37" s="33" t="n">
        <v>1044</v>
      </c>
      <c r="D37" s="33" t="n">
        <f aca="false">C36-C37</f>
        <v>5976</v>
      </c>
      <c r="E37" s="33" t="n">
        <v>46.3</v>
      </c>
      <c r="F37" s="33" t="n">
        <f aca="false">E36-E37</f>
        <v>257</v>
      </c>
      <c r="G37" s="33" t="n">
        <v>0.75</v>
      </c>
      <c r="H37" s="33" t="n">
        <f aca="false">G37-G36</f>
        <v>-4.3</v>
      </c>
      <c r="I37" s="33" t="n">
        <v>10</v>
      </c>
      <c r="J37" s="33" t="n">
        <f aca="false">I36-I37</f>
        <v>56</v>
      </c>
      <c r="K37" s="1" t="s">
        <v>12</v>
      </c>
      <c r="L37" s="1" t="n">
        <f aca="false">MEDIAN($C$33:$C$60)</f>
        <v>7274</v>
      </c>
      <c r="M37" s="1" t="n">
        <f aca="false">MEDIAN($E$33:$E$60)</f>
        <v>321.55</v>
      </c>
      <c r="N37" s="1" t="n">
        <f aca="false">MEDIAN($G$33:$G$60)</f>
        <v>5.24</v>
      </c>
      <c r="O37" s="1" t="n">
        <f aca="false">MEDIAN($I$33:$I$60)</f>
        <v>72.5</v>
      </c>
    </row>
    <row r="38" customFormat="false" ht="13.8" hidden="false" customHeight="false" outlineLevel="0" collapsed="false">
      <c r="A38" s="33" t="n">
        <v>37</v>
      </c>
      <c r="B38" s="32" t="n">
        <v>44598</v>
      </c>
      <c r="C38" s="33" t="n">
        <v>3153</v>
      </c>
      <c r="D38" s="33" t="n">
        <f aca="false">C37-C38</f>
        <v>-2109</v>
      </c>
      <c r="E38" s="33" t="n">
        <v>138.6</v>
      </c>
      <c r="F38" s="33" t="n">
        <f aca="false">E37-E38</f>
        <v>-92.3</v>
      </c>
      <c r="G38" s="33" t="n">
        <v>2.27</v>
      </c>
      <c r="H38" s="33" t="n">
        <f aca="false">G38-G37</f>
        <v>1.52</v>
      </c>
      <c r="I38" s="33" t="n">
        <v>31</v>
      </c>
      <c r="J38" s="33" t="n">
        <f aca="false">I37-I38</f>
        <v>-21</v>
      </c>
      <c r="K38" s="1" t="s">
        <v>195</v>
      </c>
      <c r="L38" s="1" t="n">
        <f aca="false">QUARTILE($C$33:$C$60, 1)</f>
        <v>6194</v>
      </c>
      <c r="M38" s="1" t="n">
        <f aca="false">QUARTILE($E$33:$E$60, 1)</f>
        <v>270.55</v>
      </c>
      <c r="N38" s="1" t="n">
        <f aca="false">QUARTILE($G$33:$G$60, 1)</f>
        <v>4.46</v>
      </c>
      <c r="O38" s="1" t="n">
        <f aca="false">QUARTILE($I$33:$I$60, 1)</f>
        <v>59.5</v>
      </c>
    </row>
    <row r="39" customFormat="false" ht="13.8" hidden="false" customHeight="false" outlineLevel="0" collapsed="false">
      <c r="A39" s="1" t="n">
        <v>38</v>
      </c>
      <c r="B39" s="32" t="n">
        <v>44599</v>
      </c>
      <c r="C39" s="33" t="n">
        <v>7204</v>
      </c>
      <c r="D39" s="33" t="n">
        <f aca="false">C38-C39</f>
        <v>-4051</v>
      </c>
      <c r="E39" s="33" t="n">
        <v>313.6</v>
      </c>
      <c r="F39" s="33" t="n">
        <f aca="false">E38-E39</f>
        <v>-175</v>
      </c>
      <c r="G39" s="33" t="n">
        <v>5.19</v>
      </c>
      <c r="H39" s="33" t="n">
        <f aca="false">G39-G38</f>
        <v>2.92</v>
      </c>
      <c r="I39" s="33" t="n">
        <v>69</v>
      </c>
      <c r="J39" s="33" t="n">
        <f aca="false">I38-I39</f>
        <v>-38</v>
      </c>
      <c r="K39" s="1" t="s">
        <v>181</v>
      </c>
      <c r="L39" s="1" t="n">
        <f aca="false">QUARTILE($C$33:$C$60, 3)</f>
        <v>10862.25</v>
      </c>
      <c r="M39" s="1" t="n">
        <f aca="false">QUARTILE($E$33:$E$60, 3)</f>
        <v>468.175</v>
      </c>
      <c r="N39" s="1" t="n">
        <f aca="false">QUARTILE($G$33:$G$60, 3)</f>
        <v>7.8175</v>
      </c>
      <c r="O39" s="1" t="n">
        <f aca="false">QUARTILE($I$33:$I$60, 3)</f>
        <v>100.25</v>
      </c>
    </row>
    <row r="40" customFormat="false" ht="13.8" hidden="false" customHeight="false" outlineLevel="0" collapsed="false">
      <c r="A40" s="33" t="n">
        <v>39</v>
      </c>
      <c r="B40" s="32" t="n">
        <v>44600</v>
      </c>
      <c r="C40" s="33" t="n">
        <v>8009</v>
      </c>
      <c r="D40" s="33" t="n">
        <f aca="false">C39-C40</f>
        <v>-805</v>
      </c>
      <c r="E40" s="33" t="n">
        <v>348</v>
      </c>
      <c r="F40" s="33" t="n">
        <f aca="false">E39-E40</f>
        <v>-34.4</v>
      </c>
      <c r="G40" s="33" t="n">
        <v>5.77</v>
      </c>
      <c r="H40" s="33" t="n">
        <f aca="false">G40-G39</f>
        <v>0.579999999999999</v>
      </c>
      <c r="I40" s="33" t="n">
        <v>76</v>
      </c>
      <c r="J40" s="33" t="n">
        <f aca="false">I39-I40</f>
        <v>-7</v>
      </c>
      <c r="K40" s="1" t="s">
        <v>182</v>
      </c>
      <c r="L40" s="1" t="n">
        <f aca="false">VAR($C$33:$C$60)</f>
        <v>26024265.1468254</v>
      </c>
      <c r="M40" s="1" t="n">
        <f aca="false">VAR($E$33:$E$60)</f>
        <v>48944.7491534392</v>
      </c>
      <c r="N40" s="1" t="n">
        <f aca="false">VAR($G$33:$G$60)</f>
        <v>13.4878702380952</v>
      </c>
      <c r="O40" s="1" t="n">
        <f aca="false">VAR($I$33:$I$60)</f>
        <v>2371.6455026455</v>
      </c>
    </row>
    <row r="41" customFormat="false" ht="13.8" hidden="false" customHeight="false" outlineLevel="0" collapsed="false">
      <c r="A41" s="1" t="n">
        <v>40</v>
      </c>
      <c r="B41" s="32" t="n">
        <v>44601</v>
      </c>
      <c r="C41" s="33" t="n">
        <v>8199</v>
      </c>
      <c r="D41" s="33" t="n">
        <f aca="false">C40-C41</f>
        <v>-190</v>
      </c>
      <c r="E41" s="33" t="n">
        <v>356.4</v>
      </c>
      <c r="F41" s="33" t="n">
        <f aca="false">E40-E41</f>
        <v>-8.39999999999998</v>
      </c>
      <c r="G41" s="33" t="n">
        <v>5.9</v>
      </c>
      <c r="H41" s="33" t="n">
        <f aca="false">G41-G40</f>
        <v>0.130000000000001</v>
      </c>
      <c r="I41" s="33" t="n">
        <v>78</v>
      </c>
      <c r="J41" s="33" t="n">
        <f aca="false">I40-I41</f>
        <v>-2</v>
      </c>
      <c r="K41" s="1" t="s">
        <v>16</v>
      </c>
      <c r="L41" s="1" t="n">
        <f aca="false">STDEV($C$33:$C$60)</f>
        <v>5101.39835210165</v>
      </c>
      <c r="M41" s="1" t="n">
        <f aca="false">STDEV($E$33:$E$60)</f>
        <v>221.234602070832</v>
      </c>
      <c r="N41" s="1" t="n">
        <f aca="false">STDEV($G$33:$G$60)</f>
        <v>3.67258359170969</v>
      </c>
      <c r="O41" s="1" t="n">
        <f aca="false">STDEV($I$33:$I$60)</f>
        <v>48.6995431461682</v>
      </c>
    </row>
    <row r="42" customFormat="false" ht="13.8" hidden="false" customHeight="false" outlineLevel="0" collapsed="false">
      <c r="A42" s="33" t="n">
        <v>41</v>
      </c>
      <c r="B42" s="32" t="n">
        <v>44602</v>
      </c>
      <c r="C42" s="33" t="n">
        <v>5129</v>
      </c>
      <c r="D42" s="33" t="n">
        <f aca="false">C41-C42</f>
        <v>3070</v>
      </c>
      <c r="E42" s="33" t="n">
        <v>221</v>
      </c>
      <c r="F42" s="33" t="n">
        <f aca="false">E41-E42</f>
        <v>135.4</v>
      </c>
      <c r="G42" s="33" t="n">
        <v>3.69</v>
      </c>
      <c r="H42" s="33" t="n">
        <f aca="false">G42-G41</f>
        <v>-2.21</v>
      </c>
      <c r="I42" s="33" t="n">
        <v>47</v>
      </c>
      <c r="J42" s="33" t="n">
        <f aca="false">I41-I42</f>
        <v>31</v>
      </c>
      <c r="K42" s="1" t="s">
        <v>20</v>
      </c>
      <c r="L42" s="1" t="n">
        <f aca="false">KURT($C$33:$C$60)</f>
        <v>8.14076572245496</v>
      </c>
      <c r="M42" s="1" t="n">
        <f aca="false">KURT($E$33:$E$60)</f>
        <v>8.57505112218651</v>
      </c>
      <c r="N42" s="1" t="n">
        <f aca="false">KURT($G$33:$G$60)</f>
        <v>8.14012386393365</v>
      </c>
      <c r="O42" s="1" t="n">
        <f aca="false">KURT($I$33:$I$60)</f>
        <v>9.66458694683702</v>
      </c>
    </row>
    <row r="43" customFormat="false" ht="13.8" hidden="false" customHeight="false" outlineLevel="0" collapsed="false">
      <c r="A43" s="1" t="n">
        <v>42</v>
      </c>
      <c r="B43" s="32" t="n">
        <v>44603</v>
      </c>
      <c r="C43" s="33" t="n">
        <v>5895</v>
      </c>
      <c r="D43" s="33" t="n">
        <f aca="false">C42-C43</f>
        <v>-766</v>
      </c>
      <c r="E43" s="33" t="n">
        <v>255</v>
      </c>
      <c r="F43" s="33" t="n">
        <f aca="false">E42-E43</f>
        <v>-34</v>
      </c>
      <c r="G43" s="33" t="n">
        <v>4.24</v>
      </c>
      <c r="H43" s="33" t="n">
        <f aca="false">G43-G42</f>
        <v>0.55</v>
      </c>
      <c r="I43" s="33" t="n">
        <v>56</v>
      </c>
      <c r="J43" s="33" t="n">
        <f aca="false">I42-I43</f>
        <v>-9</v>
      </c>
      <c r="K43" s="1" t="s">
        <v>22</v>
      </c>
      <c r="L43" s="1" t="n">
        <f aca="false">SKEW($C$33:$C$60)</f>
        <v>2.31391485151352</v>
      </c>
      <c r="M43" s="1" t="n">
        <f aca="false">SKEW($E$33:$E$60)</f>
        <v>2.37917247186346</v>
      </c>
      <c r="N43" s="1" t="n">
        <f aca="false">SKEW($G$33:$G$60)</f>
        <v>2.31341297364173</v>
      </c>
      <c r="O43" s="1" t="n">
        <f aca="false">SKEW($I$33:$I$60)</f>
        <v>2.542106091791</v>
      </c>
    </row>
    <row r="44" customFormat="false" ht="13.8" hidden="false" customHeight="false" outlineLevel="0" collapsed="false">
      <c r="A44" s="33" t="n">
        <v>43</v>
      </c>
      <c r="B44" s="32" t="n">
        <v>44604</v>
      </c>
      <c r="C44" s="33" t="n">
        <v>14244</v>
      </c>
      <c r="D44" s="33" t="n">
        <f aca="false">C43-C44</f>
        <v>-8349</v>
      </c>
      <c r="E44" s="33" t="n">
        <v>607.8</v>
      </c>
      <c r="F44" s="33" t="n">
        <f aca="false">E43-E44</f>
        <v>-352.8</v>
      </c>
      <c r="G44" s="33" t="n">
        <v>10.26</v>
      </c>
      <c r="H44" s="33" t="n">
        <f aca="false">G44-G43</f>
        <v>6.02</v>
      </c>
      <c r="I44" s="33" t="n">
        <v>126</v>
      </c>
      <c r="J44" s="33" t="n">
        <f aca="false">I43-I44</f>
        <v>-70</v>
      </c>
      <c r="K44" s="1" t="s">
        <v>24</v>
      </c>
      <c r="L44" s="1" t="n">
        <f aca="false">MAX($C$33:$C$60)-MIN($C$33:$C$60)</f>
        <v>27695</v>
      </c>
      <c r="M44" s="1" t="n">
        <f aca="false">MAX($E$33:$E$60)-MIN($E$33:$E$60)</f>
        <v>1210.1</v>
      </c>
      <c r="N44" s="1" t="n">
        <f aca="false">MAX($G$33:$G$60)-MIN($G$33:$G$60)</f>
        <v>19.94</v>
      </c>
      <c r="O44" s="1" t="n">
        <f aca="false">MAX($I$33:$I$60)-MIN($I$33:$I$60)</f>
        <v>271</v>
      </c>
    </row>
    <row r="45" customFormat="false" ht="13.8" hidden="false" customHeight="false" outlineLevel="0" collapsed="false">
      <c r="A45" s="1" t="n">
        <v>44</v>
      </c>
      <c r="B45" s="32" t="n">
        <v>44605</v>
      </c>
      <c r="C45" s="33" t="n">
        <v>11993</v>
      </c>
      <c r="D45" s="33" t="n">
        <f aca="false">C44-C45</f>
        <v>2251</v>
      </c>
      <c r="E45" s="33" t="n">
        <v>512.2</v>
      </c>
      <c r="F45" s="33" t="n">
        <f aca="false">E44-E45</f>
        <v>95.5999999999999</v>
      </c>
      <c r="G45" s="33" t="n">
        <v>8.63</v>
      </c>
      <c r="H45" s="33" t="n">
        <f aca="false">G45-G44</f>
        <v>-1.63</v>
      </c>
      <c r="I45" s="33" t="n">
        <v>107</v>
      </c>
      <c r="J45" s="33" t="n">
        <f aca="false">I44-I45</f>
        <v>19</v>
      </c>
      <c r="K45" s="1" t="s">
        <v>26</v>
      </c>
      <c r="L45" s="1" t="n">
        <f aca="false">MIN($C$33:$C$60)</f>
        <v>1044</v>
      </c>
      <c r="M45" s="1" t="n">
        <f aca="false">MIN($E$33:$E$60)</f>
        <v>46.3</v>
      </c>
      <c r="N45" s="1" t="n">
        <f aca="false">MIN($G$33:$G$60)</f>
        <v>0.75</v>
      </c>
      <c r="O45" s="1" t="n">
        <f aca="false">MIN($I$33:$I$60)</f>
        <v>10</v>
      </c>
    </row>
    <row r="46" customFormat="false" ht="13.8" hidden="false" customHeight="false" outlineLevel="0" collapsed="false">
      <c r="A46" s="33" t="n">
        <v>45</v>
      </c>
      <c r="B46" s="32" t="n">
        <v>44606</v>
      </c>
      <c r="C46" s="33" t="n">
        <v>11724</v>
      </c>
      <c r="D46" s="33" t="n">
        <f aca="false">C45-C46</f>
        <v>269</v>
      </c>
      <c r="E46" s="33" t="n">
        <v>510.7</v>
      </c>
      <c r="F46" s="33" t="n">
        <f aca="false">E45-E46</f>
        <v>1.50000000000006</v>
      </c>
      <c r="G46" s="33" t="n">
        <v>8.44</v>
      </c>
      <c r="H46" s="33" t="n">
        <f aca="false">G46-G45</f>
        <v>-0.190000000000001</v>
      </c>
      <c r="I46" s="33" t="n">
        <v>113</v>
      </c>
      <c r="J46" s="33" t="n">
        <f aca="false">I45-I46</f>
        <v>-6</v>
      </c>
      <c r="K46" s="1" t="s">
        <v>28</v>
      </c>
      <c r="L46" s="1" t="n">
        <f aca="false">MAX($C$33:$C$60)</f>
        <v>28739</v>
      </c>
      <c r="M46" s="1" t="n">
        <f aca="false">MAX($E$33:$E$60)</f>
        <v>1256.4</v>
      </c>
      <c r="N46" s="1" t="n">
        <f aca="false">MAX($G$33:$G$60)</f>
        <v>20.69</v>
      </c>
      <c r="O46" s="1" t="n">
        <f aca="false">MAX($I$33:$I$60)</f>
        <v>281</v>
      </c>
    </row>
    <row r="47" customFormat="false" ht="13.8" hidden="false" customHeight="false" outlineLevel="0" collapsed="false">
      <c r="A47" s="1" t="n">
        <v>46</v>
      </c>
      <c r="B47" s="32" t="n">
        <v>44607</v>
      </c>
      <c r="C47" s="33" t="n">
        <v>10575</v>
      </c>
      <c r="D47" s="33" t="n">
        <f aca="false">C46-C47</f>
        <v>1149</v>
      </c>
      <c r="E47" s="33" t="n">
        <v>454.7</v>
      </c>
      <c r="F47" s="33" t="n">
        <f aca="false">E46-E47</f>
        <v>56</v>
      </c>
      <c r="G47" s="33" t="n">
        <v>7.61</v>
      </c>
      <c r="H47" s="33" t="n">
        <f aca="false">G47-G46</f>
        <v>-0.829999999999999</v>
      </c>
      <c r="I47" s="33" t="n">
        <v>98</v>
      </c>
      <c r="J47" s="33" t="n">
        <f aca="false">I46-I47</f>
        <v>15</v>
      </c>
      <c r="K47" s="1" t="s">
        <v>30</v>
      </c>
      <c r="L47" s="1" t="n">
        <f aca="false">SUM($C$33:$C$60)</f>
        <v>245379</v>
      </c>
      <c r="M47" s="1" t="n">
        <f aca="false">SUM($E$33:$E$60)</f>
        <v>10671.4</v>
      </c>
      <c r="N47" s="1" t="n">
        <f aca="false">SUM($G$33:$G$60)</f>
        <v>176.67</v>
      </c>
      <c r="O47" s="1" t="n">
        <f aca="false">SUM($I$33:$I$60)</f>
        <v>2342</v>
      </c>
    </row>
    <row r="48" customFormat="false" ht="13.8" hidden="false" customHeight="false" outlineLevel="0" collapsed="false">
      <c r="A48" s="33" t="n">
        <v>47</v>
      </c>
      <c r="B48" s="32" t="n">
        <v>44608</v>
      </c>
      <c r="C48" s="33" t="n">
        <v>7344</v>
      </c>
      <c r="D48" s="33" t="n">
        <f aca="false">C47-C48</f>
        <v>3231</v>
      </c>
      <c r="E48" s="33" t="n">
        <v>329.5</v>
      </c>
      <c r="F48" s="33" t="n">
        <f aca="false">E47-E48</f>
        <v>125.2</v>
      </c>
      <c r="G48" s="33" t="n">
        <v>5.29</v>
      </c>
      <c r="H48" s="33" t="n">
        <f aca="false">G48-G47</f>
        <v>-2.32</v>
      </c>
      <c r="I48" s="33" t="n">
        <v>77</v>
      </c>
      <c r="J48" s="33" t="n">
        <f aca="false">I47-I48</f>
        <v>21</v>
      </c>
      <c r="K48" s="1" t="s">
        <v>32</v>
      </c>
      <c r="L48" s="1" t="n">
        <f aca="false">COUNT($C$33:$C$60)</f>
        <v>28</v>
      </c>
      <c r="M48" s="1" t="n">
        <f aca="false">COUNT($E$33:$E$60)</f>
        <v>28</v>
      </c>
      <c r="N48" s="1" t="n">
        <f aca="false">COUNT($G$33:$G$60)</f>
        <v>28</v>
      </c>
      <c r="O48" s="1" t="n">
        <f aca="false">COUNT($I$33:$I$60)</f>
        <v>28</v>
      </c>
    </row>
    <row r="49" customFormat="false" ht="13.8" hidden="false" customHeight="false" outlineLevel="0" collapsed="false">
      <c r="A49" s="1" t="n">
        <v>48</v>
      </c>
      <c r="B49" s="32" t="n">
        <v>44609</v>
      </c>
      <c r="C49" s="33" t="n">
        <v>4184</v>
      </c>
      <c r="D49" s="33" t="n">
        <f aca="false">C48-C49</f>
        <v>3160</v>
      </c>
      <c r="E49" s="33" t="n">
        <v>188.8</v>
      </c>
      <c r="F49" s="33" t="n">
        <f aca="false">E48-E49</f>
        <v>140.7</v>
      </c>
      <c r="G49" s="33" t="n">
        <v>3.01</v>
      </c>
      <c r="H49" s="33" t="n">
        <f aca="false">G49-G48</f>
        <v>-2.28</v>
      </c>
      <c r="I49" s="33" t="n">
        <v>44</v>
      </c>
      <c r="J49" s="33" t="n">
        <f aca="false">I48-I49</f>
        <v>33</v>
      </c>
    </row>
    <row r="50" customFormat="false" ht="13.8" hidden="false" customHeight="false" outlineLevel="0" collapsed="false">
      <c r="A50" s="33" t="n">
        <v>49</v>
      </c>
      <c r="B50" s="32" t="n">
        <v>44610</v>
      </c>
      <c r="C50" s="33" t="n">
        <v>6026</v>
      </c>
      <c r="D50" s="33" t="n">
        <f aca="false">C49-C50</f>
        <v>-1842</v>
      </c>
      <c r="E50" s="33" t="n">
        <v>262.9</v>
      </c>
      <c r="F50" s="33" t="n">
        <f aca="false">E49-E50</f>
        <v>-74.1</v>
      </c>
      <c r="G50" s="33" t="n">
        <v>4.34</v>
      </c>
      <c r="H50" s="33" t="n">
        <f aca="false">G50-G49</f>
        <v>1.33</v>
      </c>
      <c r="I50" s="33" t="n">
        <v>58</v>
      </c>
      <c r="J50" s="33" t="n">
        <f aca="false">I49-I50</f>
        <v>-14</v>
      </c>
    </row>
    <row r="51" customFormat="false" ht="13.8" hidden="false" customHeight="false" outlineLevel="0" collapsed="false">
      <c r="A51" s="1" t="n">
        <v>50</v>
      </c>
      <c r="B51" s="32" t="n">
        <v>44611</v>
      </c>
      <c r="C51" s="33" t="n">
        <v>28739</v>
      </c>
      <c r="D51" s="33" t="n">
        <f aca="false">C50-C51</f>
        <v>-22713</v>
      </c>
      <c r="E51" s="33" t="n">
        <v>1256.4</v>
      </c>
      <c r="F51" s="33" t="n">
        <f aca="false">E50-E51</f>
        <v>-993.5</v>
      </c>
      <c r="G51" s="33" t="n">
        <v>20.69</v>
      </c>
      <c r="H51" s="33" t="n">
        <f aca="false">G51-G50</f>
        <v>16.35</v>
      </c>
      <c r="I51" s="33" t="n">
        <v>281</v>
      </c>
      <c r="J51" s="33" t="n">
        <f aca="false">I50-I51</f>
        <v>-223</v>
      </c>
    </row>
    <row r="52" customFormat="false" ht="13.8" hidden="false" customHeight="false" outlineLevel="0" collapsed="false">
      <c r="A52" s="33" t="n">
        <v>51</v>
      </c>
      <c r="B52" s="32" t="n">
        <v>44612</v>
      </c>
      <c r="C52" s="33" t="n">
        <v>6910</v>
      </c>
      <c r="D52" s="33" t="n">
        <f aca="false">C51-C52</f>
        <v>21829</v>
      </c>
      <c r="E52" s="33" t="n">
        <v>304.7</v>
      </c>
      <c r="F52" s="33" t="n">
        <f aca="false">E51-E52</f>
        <v>951.7</v>
      </c>
      <c r="G52" s="33" t="n">
        <v>4.98</v>
      </c>
      <c r="H52" s="33" t="n">
        <f aca="false">G52-G51</f>
        <v>-15.71</v>
      </c>
      <c r="I52" s="33" t="n">
        <v>69</v>
      </c>
      <c r="J52" s="33" t="n">
        <f aca="false">I51-I52</f>
        <v>212</v>
      </c>
    </row>
    <row r="53" customFormat="false" ht="13.8" hidden="false" customHeight="false" outlineLevel="0" collapsed="false">
      <c r="A53" s="1" t="n">
        <v>52</v>
      </c>
      <c r="B53" s="32" t="n">
        <v>44613</v>
      </c>
      <c r="C53" s="33" t="n">
        <v>6467</v>
      </c>
      <c r="D53" s="33" t="n">
        <f aca="false">C52-C53</f>
        <v>443</v>
      </c>
      <c r="E53" s="33" t="n">
        <v>285.7</v>
      </c>
      <c r="F53" s="33" t="n">
        <f aca="false">E52-E53</f>
        <v>19</v>
      </c>
      <c r="G53" s="33" t="n">
        <v>4.66</v>
      </c>
      <c r="H53" s="33" t="n">
        <f aca="false">G53-G52</f>
        <v>-0.32</v>
      </c>
      <c r="I53" s="33" t="n">
        <v>65</v>
      </c>
      <c r="J53" s="33" t="n">
        <f aca="false">I52-I53</f>
        <v>4</v>
      </c>
    </row>
    <row r="54" customFormat="false" ht="13.8" hidden="false" customHeight="false" outlineLevel="0" collapsed="false">
      <c r="A54" s="33" t="n">
        <v>53</v>
      </c>
      <c r="B54" s="32" t="n">
        <v>44614</v>
      </c>
      <c r="C54" s="33" t="n">
        <v>12196</v>
      </c>
      <c r="D54" s="33" t="n">
        <f aca="false">C53-C54</f>
        <v>-5729</v>
      </c>
      <c r="E54" s="33" t="n">
        <v>529.4</v>
      </c>
      <c r="F54" s="33" t="n">
        <f aca="false">E53-E54</f>
        <v>-243.7</v>
      </c>
      <c r="G54" s="33" t="n">
        <v>8.78</v>
      </c>
      <c r="H54" s="33" t="n">
        <f aca="false">G54-G53</f>
        <v>4.12</v>
      </c>
      <c r="I54" s="33" t="n">
        <v>117</v>
      </c>
      <c r="J54" s="33" t="n">
        <f aca="false">I53-I54</f>
        <v>-52</v>
      </c>
    </row>
    <row r="55" customFormat="false" ht="13.8" hidden="false" customHeight="false" outlineLevel="0" collapsed="false">
      <c r="A55" s="1" t="n">
        <v>54</v>
      </c>
      <c r="B55" s="32" t="n">
        <v>44615</v>
      </c>
      <c r="C55" s="33" t="n">
        <v>7009</v>
      </c>
      <c r="D55" s="33" t="n">
        <f aca="false">C54-C55</f>
        <v>5187</v>
      </c>
      <c r="E55" s="33" t="n">
        <v>304.1</v>
      </c>
      <c r="F55" s="33" t="n">
        <f aca="false">E54-E55</f>
        <v>225.3</v>
      </c>
      <c r="G55" s="33" t="n">
        <v>5.05</v>
      </c>
      <c r="H55" s="33" t="n">
        <f aca="false">G55-G54</f>
        <v>-3.73</v>
      </c>
      <c r="I55" s="33" t="n">
        <v>66</v>
      </c>
      <c r="J55" s="33" t="n">
        <f aca="false">I54-I55</f>
        <v>51</v>
      </c>
    </row>
    <row r="56" customFormat="false" ht="13.8" hidden="false" customHeight="false" outlineLevel="0" collapsed="false">
      <c r="A56" s="33" t="n">
        <v>55</v>
      </c>
      <c r="B56" s="32" t="n">
        <v>44616</v>
      </c>
      <c r="C56" s="33" t="n">
        <v>8388</v>
      </c>
      <c r="D56" s="33" t="n">
        <f aca="false">C55-C56</f>
        <v>-1379</v>
      </c>
      <c r="E56" s="33" t="n">
        <v>367.6</v>
      </c>
      <c r="F56" s="33" t="n">
        <f aca="false">E55-E56</f>
        <v>-63.5</v>
      </c>
      <c r="G56" s="33" t="n">
        <v>6.04</v>
      </c>
      <c r="H56" s="33" t="n">
        <f aca="false">G56-G55</f>
        <v>0.99</v>
      </c>
      <c r="I56" s="33" t="n">
        <v>81</v>
      </c>
      <c r="J56" s="33" t="n">
        <f aca="false">I55-I56</f>
        <v>-15</v>
      </c>
    </row>
    <row r="57" customFormat="false" ht="13.8" hidden="false" customHeight="false" outlineLevel="0" collapsed="false">
      <c r="A57" s="1" t="n">
        <v>56</v>
      </c>
      <c r="B57" s="32" t="n">
        <v>44617</v>
      </c>
      <c r="C57" s="33" t="n">
        <v>5897</v>
      </c>
      <c r="D57" s="33" t="n">
        <f aca="false">C56-C57</f>
        <v>2491</v>
      </c>
      <c r="E57" s="33" t="n">
        <v>258.4</v>
      </c>
      <c r="F57" s="33" t="n">
        <f aca="false">E56-E57</f>
        <v>109.2</v>
      </c>
      <c r="G57" s="33" t="n">
        <v>4.25</v>
      </c>
      <c r="H57" s="33" t="n">
        <f aca="false">G57-G56</f>
        <v>-1.79</v>
      </c>
      <c r="I57" s="33" t="n">
        <v>58</v>
      </c>
      <c r="J57" s="33" t="n">
        <f aca="false">I56-I57</f>
        <v>23</v>
      </c>
    </row>
    <row r="58" customFormat="false" ht="13.8" hidden="false" customHeight="false" outlineLevel="0" collapsed="false">
      <c r="A58" s="33" t="n">
        <v>57</v>
      </c>
      <c r="B58" s="32" t="n">
        <v>44618</v>
      </c>
      <c r="C58" s="33" t="n">
        <v>15756</v>
      </c>
      <c r="D58" s="33" t="n">
        <f aca="false">C57-C58</f>
        <v>-9859</v>
      </c>
      <c r="E58" s="33" t="n">
        <v>681.1</v>
      </c>
      <c r="F58" s="33" t="n">
        <f aca="false">E57-E58</f>
        <v>-422.7</v>
      </c>
      <c r="G58" s="33" t="n">
        <v>11.34</v>
      </c>
      <c r="H58" s="33" t="n">
        <f aca="false">G58-G57</f>
        <v>7.09</v>
      </c>
      <c r="I58" s="33" t="n">
        <v>148</v>
      </c>
      <c r="J58" s="33" t="n">
        <f aca="false">I57-I58</f>
        <v>-90</v>
      </c>
    </row>
    <row r="59" customFormat="false" ht="13.8" hidden="false" customHeight="false" outlineLevel="0" collapsed="false">
      <c r="A59" s="1" t="n">
        <v>58</v>
      </c>
      <c r="B59" s="32" t="n">
        <v>44619</v>
      </c>
      <c r="C59" s="33" t="n">
        <v>11857</v>
      </c>
      <c r="D59" s="33" t="n">
        <f aca="false">C58-C59</f>
        <v>3899</v>
      </c>
      <c r="E59" s="33" t="n">
        <v>508.6</v>
      </c>
      <c r="F59" s="33" t="n">
        <f aca="false">E58-E59</f>
        <v>172.5</v>
      </c>
      <c r="G59" s="33" t="n">
        <v>8.54</v>
      </c>
      <c r="H59" s="33" t="n">
        <f aca="false">G59-G58</f>
        <v>-2.8</v>
      </c>
      <c r="I59" s="33" t="n">
        <v>108</v>
      </c>
      <c r="J59" s="33" t="n">
        <f aca="false">I58-I59</f>
        <v>40</v>
      </c>
    </row>
    <row r="60" customFormat="false" ht="13.8" hidden="false" customHeight="false" outlineLevel="0" collapsed="false">
      <c r="A60" s="33" t="n">
        <v>59</v>
      </c>
      <c r="B60" s="32" t="n">
        <v>44620</v>
      </c>
      <c r="C60" s="33" t="n">
        <v>8354</v>
      </c>
      <c r="D60" s="33" t="n">
        <f aca="false">C59-C60</f>
        <v>3503</v>
      </c>
      <c r="E60" s="33" t="n">
        <v>368.6</v>
      </c>
      <c r="F60" s="33" t="n">
        <f aca="false">E59-E60</f>
        <v>140</v>
      </c>
      <c r="G60" s="33" t="n">
        <v>6.01</v>
      </c>
      <c r="H60" s="33" t="n">
        <f aca="false">G60-G59</f>
        <v>-2.53</v>
      </c>
      <c r="I60" s="33" t="n">
        <v>83</v>
      </c>
      <c r="J60" s="33" t="n">
        <f aca="false">I59-I60</f>
        <v>25</v>
      </c>
    </row>
    <row r="61" customFormat="false" ht="13.8" hidden="false" customHeight="false" outlineLevel="0" collapsed="false">
      <c r="A61" s="1" t="n">
        <v>60</v>
      </c>
      <c r="B61" s="32" t="n">
        <v>44621</v>
      </c>
      <c r="C61" s="33" t="n">
        <v>10883</v>
      </c>
      <c r="D61" s="33" t="n">
        <f aca="false">C60-C61</f>
        <v>-2529</v>
      </c>
      <c r="E61" s="33" t="n">
        <v>473.5</v>
      </c>
      <c r="F61" s="33" t="n">
        <f aca="false">E60-E61</f>
        <v>-104.9</v>
      </c>
      <c r="G61" s="33" t="n">
        <v>7.84</v>
      </c>
      <c r="H61" s="33" t="n">
        <f aca="false">G61-G60</f>
        <v>1.83</v>
      </c>
      <c r="I61" s="33" t="n">
        <v>103</v>
      </c>
      <c r="J61" s="33" t="n">
        <f aca="false">I60-I61</f>
        <v>-20</v>
      </c>
      <c r="L61" s="1" t="s">
        <v>2</v>
      </c>
      <c r="M61" s="1" t="s">
        <v>179</v>
      </c>
      <c r="N61" s="1" t="s">
        <v>175</v>
      </c>
      <c r="O61" s="1" t="s">
        <v>177</v>
      </c>
    </row>
    <row r="62" customFormat="false" ht="13.8" hidden="false" customHeight="false" outlineLevel="0" collapsed="false">
      <c r="A62" s="33" t="n">
        <v>61</v>
      </c>
      <c r="B62" s="32" t="n">
        <v>44622</v>
      </c>
      <c r="C62" s="33" t="n">
        <v>4920</v>
      </c>
      <c r="D62" s="33" t="n">
        <f aca="false">C61-C62</f>
        <v>5963</v>
      </c>
      <c r="E62" s="33" t="n">
        <v>214.4</v>
      </c>
      <c r="F62" s="33" t="n">
        <f aca="false">E61-E62</f>
        <v>259.1</v>
      </c>
      <c r="G62" s="33" t="n">
        <v>3.54</v>
      </c>
      <c r="H62" s="33" t="n">
        <f aca="false">G62-G61</f>
        <v>-4.3</v>
      </c>
      <c r="I62" s="33" t="n">
        <v>46</v>
      </c>
      <c r="J62" s="33" t="n">
        <f aca="false">I61-I62</f>
        <v>57</v>
      </c>
      <c r="K62" s="1" t="s">
        <v>8</v>
      </c>
      <c r="L62" s="1" t="n">
        <f aca="false">AVERAGE($C$61:$C$91)</f>
        <v>7536.22222222222</v>
      </c>
      <c r="M62" s="1" t="n">
        <f aca="false">AVERAGE($E$61:$E$91)</f>
        <v>328.911111111111</v>
      </c>
      <c r="N62" s="1" t="n">
        <f aca="false">AVERAGE($G$61:$G$91)</f>
        <v>5.4262962962963</v>
      </c>
      <c r="O62" s="1" t="n">
        <f aca="false">AVERAGE($I$61:$I$91)</f>
        <v>72.6296296296296</v>
      </c>
    </row>
    <row r="63" customFormat="false" ht="13.8" hidden="false" customHeight="false" outlineLevel="0" collapsed="false">
      <c r="A63" s="1" t="n">
        <v>62</v>
      </c>
      <c r="B63" s="32" t="n">
        <v>44623</v>
      </c>
      <c r="C63" s="33" t="n">
        <v>15033</v>
      </c>
      <c r="D63" s="33" t="n">
        <f aca="false">C62-C63</f>
        <v>-10113</v>
      </c>
      <c r="E63" s="33" t="n">
        <v>653.8</v>
      </c>
      <c r="F63" s="33" t="n">
        <f aca="false">E62-E63</f>
        <v>-439.4</v>
      </c>
      <c r="G63" s="33" t="n">
        <v>10.82</v>
      </c>
      <c r="H63" s="33" t="n">
        <f aca="false">G63-G62</f>
        <v>7.28</v>
      </c>
      <c r="I63" s="33" t="n">
        <v>144</v>
      </c>
      <c r="J63" s="33" t="n">
        <f aca="false">I62-I63</f>
        <v>-98</v>
      </c>
      <c r="K63" s="1" t="s">
        <v>10</v>
      </c>
      <c r="L63" s="1" t="n">
        <f aca="false">SQRT(VAR($C$61:$C$91)/COUNT($C$61:$C$91))</f>
        <v>592.158089726781</v>
      </c>
      <c r="M63" s="1" t="n">
        <f aca="false">SQRT(VAR($E$61:$E$91)/COUNT($E$61:$E$91))</f>
        <v>25.4446532667876</v>
      </c>
      <c r="N63" s="1" t="n">
        <f aca="false">SQRT(VAR($G$61:$G$91)/COUNT($G$61:$G$91))</f>
        <v>0.426292954707312</v>
      </c>
      <c r="O63" s="1" t="n">
        <f aca="false">SQRT(VAR($I$61:$I$91)/COUNT($I$61:$I$91))</f>
        <v>5.5047630627022</v>
      </c>
    </row>
    <row r="64" customFormat="false" ht="13.8" hidden="false" customHeight="false" outlineLevel="0" collapsed="false">
      <c r="A64" s="33" t="n">
        <v>63</v>
      </c>
      <c r="B64" s="32" t="n">
        <v>44624</v>
      </c>
      <c r="C64" s="33" t="n">
        <v>6602</v>
      </c>
      <c r="D64" s="33" t="n">
        <f aca="false">C63-C64</f>
        <v>8431</v>
      </c>
      <c r="E64" s="33" t="n">
        <v>286.3</v>
      </c>
      <c r="F64" s="33" t="n">
        <f aca="false">E63-E64</f>
        <v>367.5</v>
      </c>
      <c r="G64" s="33" t="n">
        <v>4.75</v>
      </c>
      <c r="H64" s="33" t="n">
        <f aca="false">G64-G63</f>
        <v>-6.07</v>
      </c>
      <c r="I64" s="33" t="n">
        <v>63</v>
      </c>
      <c r="J64" s="33" t="n">
        <f aca="false">I63-I64</f>
        <v>81</v>
      </c>
      <c r="K64" s="1" t="s">
        <v>14</v>
      </c>
      <c r="L64" s="1" t="e">
        <f aca="false">MODE($C$61:$C$91)</f>
        <v>#VALUE!</v>
      </c>
      <c r="M64" s="1" t="e">
        <f aca="false">MODE($E$61:$E$91)</f>
        <v>#VALUE!</v>
      </c>
      <c r="N64" s="1" t="e">
        <f aca="false">MODE($G$61:$G$91)</f>
        <v>#VALUE!</v>
      </c>
      <c r="O64" s="1" t="n">
        <f aca="false">MODE($I$61:$I$91)</f>
        <v>46</v>
      </c>
    </row>
    <row r="65" customFormat="false" ht="13.8" hidden="false" customHeight="false" outlineLevel="0" collapsed="false">
      <c r="A65" s="1" t="n">
        <v>64</v>
      </c>
      <c r="B65" s="32" t="n">
        <v>44625</v>
      </c>
      <c r="C65" s="33" t="n">
        <v>4383</v>
      </c>
      <c r="D65" s="33" t="n">
        <f aca="false">C64-C65</f>
        <v>2219</v>
      </c>
      <c r="E65" s="33" t="n">
        <v>196.9</v>
      </c>
      <c r="F65" s="33" t="n">
        <f aca="false">E64-E65</f>
        <v>89.4</v>
      </c>
      <c r="G65" s="33" t="n">
        <v>3.16</v>
      </c>
      <c r="H65" s="33" t="n">
        <f aca="false">G65-G64</f>
        <v>-1.59</v>
      </c>
      <c r="I65" s="33" t="n">
        <v>46</v>
      </c>
      <c r="J65" s="33" t="n">
        <f aca="false">I64-I65</f>
        <v>17</v>
      </c>
      <c r="K65" s="1" t="s">
        <v>12</v>
      </c>
      <c r="L65" s="1" t="n">
        <f aca="false">MEDIAN($C$61:$C$91)</f>
        <v>7883</v>
      </c>
      <c r="M65" s="1" t="n">
        <f aca="false">MEDIAN($E$61:$E$91)</f>
        <v>345.6</v>
      </c>
      <c r="N65" s="1" t="n">
        <f aca="false">MEDIAN($G$61:$G$91)</f>
        <v>5.68</v>
      </c>
      <c r="O65" s="1" t="n">
        <f aca="false">MEDIAN($I$61:$I$91)</f>
        <v>78</v>
      </c>
    </row>
    <row r="66" customFormat="false" ht="13.8" hidden="false" customHeight="false" outlineLevel="0" collapsed="false">
      <c r="A66" s="33" t="n">
        <v>65</v>
      </c>
      <c r="B66" s="32" t="n">
        <v>44626</v>
      </c>
      <c r="C66" s="33" t="n">
        <v>8259</v>
      </c>
      <c r="D66" s="33" t="n">
        <f aca="false">C65-C66</f>
        <v>-3876</v>
      </c>
      <c r="E66" s="33" t="n">
        <v>360.1</v>
      </c>
      <c r="F66" s="33" t="n">
        <f aca="false">E65-E66</f>
        <v>-163.2</v>
      </c>
      <c r="G66" s="33" t="n">
        <v>5.95</v>
      </c>
      <c r="H66" s="33" t="n">
        <f aca="false">G66-G65</f>
        <v>2.79</v>
      </c>
      <c r="I66" s="33" t="n">
        <v>80</v>
      </c>
      <c r="J66" s="33" t="n">
        <f aca="false">I65-I66</f>
        <v>-34</v>
      </c>
      <c r="K66" s="1" t="s">
        <v>195</v>
      </c>
      <c r="L66" s="1" t="n">
        <f aca="false">QUARTILE($C$61:$C$91, 1)</f>
        <v>5993.5</v>
      </c>
      <c r="M66" s="1" t="n">
        <f aca="false">QUARTILE($E$61:$E$91, 1)</f>
        <v>263.75</v>
      </c>
      <c r="N66" s="1" t="n">
        <f aca="false">QUARTILE($G$61:$G$91, 1)</f>
        <v>4.315</v>
      </c>
      <c r="O66" s="1" t="n">
        <f aca="false">QUARTILE($I$61:$I$91, 1)</f>
        <v>59.5</v>
      </c>
    </row>
    <row r="67" customFormat="false" ht="13.8" hidden="false" customHeight="false" outlineLevel="0" collapsed="false">
      <c r="A67" s="1" t="n">
        <v>66</v>
      </c>
      <c r="B67" s="32" t="n">
        <v>44627</v>
      </c>
      <c r="C67" s="33" t="n">
        <v>7130</v>
      </c>
      <c r="D67" s="33" t="n">
        <f aca="false">C66-C67</f>
        <v>1129</v>
      </c>
      <c r="E67" s="33" t="n">
        <v>308.7</v>
      </c>
      <c r="F67" s="33" t="n">
        <f aca="false">E66-E67</f>
        <v>51.4</v>
      </c>
      <c r="G67" s="33" t="n">
        <v>5.13</v>
      </c>
      <c r="H67" s="33" t="n">
        <f aca="false">G67-G66</f>
        <v>-0.82</v>
      </c>
      <c r="I67" s="33" t="n">
        <v>67</v>
      </c>
      <c r="J67" s="33" t="n">
        <f aca="false">I66-I67</f>
        <v>13</v>
      </c>
      <c r="K67" s="1" t="s">
        <v>181</v>
      </c>
      <c r="L67" s="1" t="n">
        <f aca="false">QUARTILE($C$61:$C$91, 3)</f>
        <v>9063.5</v>
      </c>
      <c r="M67" s="1" t="n">
        <f aca="false">QUARTILE($E$61:$E$91, 3)</f>
        <v>396.2</v>
      </c>
      <c r="N67" s="1" t="n">
        <f aca="false">QUARTILE($G$61:$G$91, 3)</f>
        <v>6.525</v>
      </c>
      <c r="O67" s="1" t="n">
        <f aca="false">QUARTILE($I$61:$I$91, 3)</f>
        <v>88</v>
      </c>
    </row>
    <row r="68" customFormat="false" ht="13.8" hidden="false" customHeight="false" outlineLevel="0" collapsed="false">
      <c r="A68" s="33" t="n">
        <v>67</v>
      </c>
      <c r="B68" s="32" t="n">
        <v>44628</v>
      </c>
      <c r="C68" s="33" t="n">
        <v>8382</v>
      </c>
      <c r="D68" s="33" t="n">
        <f aca="false">C67-C68</f>
        <v>-1252</v>
      </c>
      <c r="E68" s="33" t="n">
        <v>361.8</v>
      </c>
      <c r="F68" s="33" t="n">
        <f aca="false">E67-E68</f>
        <v>-53.1</v>
      </c>
      <c r="G68" s="33" t="n">
        <v>6.04</v>
      </c>
      <c r="H68" s="33" t="n">
        <f aca="false">G68-G67</f>
        <v>0.91</v>
      </c>
      <c r="I68" s="33" t="n">
        <v>78</v>
      </c>
      <c r="J68" s="33" t="n">
        <f aca="false">I67-I68</f>
        <v>-11</v>
      </c>
      <c r="K68" s="1" t="s">
        <v>182</v>
      </c>
      <c r="L68" s="1" t="n">
        <f aca="false">VAR($C$61:$C$91)</f>
        <v>9467582.48717949</v>
      </c>
      <c r="M68" s="1" t="n">
        <f aca="false">VAR($E$61:$E$91)</f>
        <v>17480.6202564103</v>
      </c>
      <c r="N68" s="1" t="n">
        <f aca="false">VAR($G$61:$G$91)</f>
        <v>4.90659344729345</v>
      </c>
      <c r="O68" s="1" t="n">
        <f aca="false">VAR($I$61:$I$91)</f>
        <v>818.165242165242</v>
      </c>
    </row>
    <row r="69" customFormat="false" ht="13.8" hidden="false" customHeight="false" outlineLevel="0" collapsed="false">
      <c r="A69" s="1" t="n">
        <v>68</v>
      </c>
      <c r="B69" s="32" t="n">
        <v>44629</v>
      </c>
      <c r="C69" s="33" t="n">
        <v>7371</v>
      </c>
      <c r="D69" s="33" t="n">
        <f aca="false">C68-C69</f>
        <v>1011</v>
      </c>
      <c r="E69" s="33" t="n">
        <v>317.6</v>
      </c>
      <c r="F69" s="33" t="n">
        <f aca="false">E68-E69</f>
        <v>44.2</v>
      </c>
      <c r="G69" s="33" t="n">
        <v>5.31</v>
      </c>
      <c r="H69" s="33" t="n">
        <f aca="false">G69-G68</f>
        <v>-0.73</v>
      </c>
      <c r="I69" s="33" t="n">
        <v>68</v>
      </c>
      <c r="J69" s="33" t="n">
        <f aca="false">I68-I69</f>
        <v>10</v>
      </c>
      <c r="K69" s="1" t="s">
        <v>16</v>
      </c>
      <c r="L69" s="1" t="n">
        <f aca="false">STDEV($C$61:$C$91)</f>
        <v>3076.94369255914</v>
      </c>
      <c r="M69" s="1" t="n">
        <f aca="false">STDEV($E$61:$E$91)</f>
        <v>132.214296717149</v>
      </c>
      <c r="N69" s="1" t="n">
        <f aca="false">STDEV($G$61:$G$91)</f>
        <v>2.21508316938517</v>
      </c>
      <c r="O69" s="1" t="n">
        <f aca="false">STDEV($I$61:$I$91)</f>
        <v>28.603587924686</v>
      </c>
    </row>
    <row r="70" customFormat="false" ht="13.8" hidden="false" customHeight="false" outlineLevel="0" collapsed="false">
      <c r="A70" s="33" t="n">
        <v>69</v>
      </c>
      <c r="B70" s="32" t="n">
        <v>44630</v>
      </c>
      <c r="C70" s="33" t="n">
        <v>9056</v>
      </c>
      <c r="D70" s="33" t="n">
        <f aca="false">C69-C70</f>
        <v>-1685</v>
      </c>
      <c r="E70" s="33" t="n">
        <v>396.7</v>
      </c>
      <c r="F70" s="33" t="n">
        <f aca="false">E69-E70</f>
        <v>-79.1</v>
      </c>
      <c r="G70" s="33" t="n">
        <v>6.52</v>
      </c>
      <c r="H70" s="33" t="n">
        <f aca="false">G70-G69</f>
        <v>1.21</v>
      </c>
      <c r="I70" s="33" t="n">
        <v>88</v>
      </c>
      <c r="J70" s="33" t="n">
        <f aca="false">I69-I70</f>
        <v>-20</v>
      </c>
      <c r="K70" s="1" t="s">
        <v>20</v>
      </c>
      <c r="L70" s="1" t="n">
        <f aca="false">KURT($C$61:$C$91)</f>
        <v>0.849452932917228</v>
      </c>
      <c r="M70" s="1" t="n">
        <f aca="false">KURT($E$61:$E$91)</f>
        <v>0.916378761253545</v>
      </c>
      <c r="N70" s="1" t="n">
        <f aca="false">KURT($G$61:$G$91)</f>
        <v>0.846500314825254</v>
      </c>
      <c r="O70" s="1" t="n">
        <f aca="false">KURT($I$61:$I$91)</f>
        <v>1.05920012265277</v>
      </c>
    </row>
    <row r="71" customFormat="false" ht="13.8" hidden="false" customHeight="false" outlineLevel="0" collapsed="false">
      <c r="A71" s="1" t="n">
        <v>70</v>
      </c>
      <c r="B71" s="32" t="n">
        <v>44631</v>
      </c>
      <c r="C71" s="33" t="n">
        <v>8256</v>
      </c>
      <c r="D71" s="33" t="n">
        <f aca="false">C70-C71</f>
        <v>800</v>
      </c>
      <c r="E71" s="33" t="n">
        <v>359</v>
      </c>
      <c r="F71" s="33" t="n">
        <f aca="false">E70-E71</f>
        <v>37.7</v>
      </c>
      <c r="G71" s="33" t="n">
        <v>5.94</v>
      </c>
      <c r="H71" s="33" t="n">
        <f aca="false">G71-G70</f>
        <v>-0.579999999999999</v>
      </c>
      <c r="I71" s="33" t="n">
        <v>79</v>
      </c>
      <c r="J71" s="33" t="n">
        <f aca="false">I70-I71</f>
        <v>9</v>
      </c>
      <c r="K71" s="1" t="s">
        <v>22</v>
      </c>
      <c r="L71" s="1" t="n">
        <f aca="false">SKEW($C$61:$C$91)</f>
        <v>-0.164003651974771</v>
      </c>
      <c r="M71" s="1" t="n">
        <f aca="false">SKEW($E$61:$E$91)</f>
        <v>-0.159308751952859</v>
      </c>
      <c r="N71" s="1" t="n">
        <f aca="false">SKEW($G$61:$G$91)</f>
        <v>-0.165463861871038</v>
      </c>
      <c r="O71" s="1" t="n">
        <f aca="false">SKEW($I$61:$I$91)</f>
        <v>-0.163336801151799</v>
      </c>
    </row>
    <row r="72" customFormat="false" ht="13.8" hidden="false" customHeight="false" outlineLevel="0" collapsed="false">
      <c r="A72" s="33" t="n">
        <v>71</v>
      </c>
      <c r="B72" s="32" t="n">
        <v>44632</v>
      </c>
      <c r="C72" s="33" t="n">
        <v>8609</v>
      </c>
      <c r="D72" s="33" t="n">
        <f aca="false">C71-C72</f>
        <v>-353</v>
      </c>
      <c r="E72" s="33" t="n">
        <v>374</v>
      </c>
      <c r="F72" s="33" t="n">
        <f aca="false">E71-E72</f>
        <v>-15</v>
      </c>
      <c r="G72" s="33" t="n">
        <v>6.2</v>
      </c>
      <c r="H72" s="33" t="n">
        <f aca="false">G72-G71</f>
        <v>0.26</v>
      </c>
      <c r="I72" s="33" t="n">
        <v>80</v>
      </c>
      <c r="J72" s="33" t="n">
        <f aca="false">I71-I72</f>
        <v>-1</v>
      </c>
      <c r="K72" s="1" t="s">
        <v>24</v>
      </c>
      <c r="L72" s="1" t="n">
        <f aca="false">MAX($C$61:$C$91)-MIN($C$61:$C$91)</f>
        <v>14036</v>
      </c>
      <c r="M72" s="1" t="n">
        <f aca="false">MAX($E$61:$E$91)-MIN($E$61:$E$91)</f>
        <v>609</v>
      </c>
      <c r="N72" s="1" t="n">
        <f aca="false">MAX($G$61:$G$91)-MIN($G$61:$G$91)</f>
        <v>10.1</v>
      </c>
      <c r="O72" s="1" t="n">
        <f aca="false">MAX($I$61:$I$91)-MIN($I$61:$I$91)</f>
        <v>134</v>
      </c>
    </row>
    <row r="73" customFormat="false" ht="13.8" hidden="false" customHeight="false" outlineLevel="0" collapsed="false">
      <c r="A73" s="1" t="n">
        <v>72</v>
      </c>
      <c r="B73" s="32" t="n">
        <v>44633</v>
      </c>
      <c r="C73" s="33" t="n">
        <v>1600</v>
      </c>
      <c r="D73" s="33" t="n">
        <f aca="false">C72-C73</f>
        <v>7009</v>
      </c>
      <c r="E73" s="33" t="n">
        <v>73.2</v>
      </c>
      <c r="F73" s="33" t="n">
        <f aca="false">E72-E73</f>
        <v>300.8</v>
      </c>
      <c r="G73" s="33" t="n">
        <v>1.15</v>
      </c>
      <c r="H73" s="33" t="n">
        <f aca="false">G73-G72</f>
        <v>-5.05</v>
      </c>
      <c r="I73" s="33" t="n">
        <v>17</v>
      </c>
      <c r="J73" s="33" t="n">
        <f aca="false">I72-I73</f>
        <v>63</v>
      </c>
      <c r="K73" s="1" t="s">
        <v>26</v>
      </c>
      <c r="L73" s="1" t="n">
        <f aca="false">MIN($C$61:$C$91)</f>
        <v>997</v>
      </c>
      <c r="M73" s="1" t="n">
        <f aca="false">MIN($E$61:$E$91)</f>
        <v>44.8</v>
      </c>
      <c r="N73" s="1" t="n">
        <f aca="false">MIN($G$61:$G$91)</f>
        <v>0.72</v>
      </c>
      <c r="O73" s="1" t="n">
        <f aca="false">MIN($I$61:$I$91)</f>
        <v>10</v>
      </c>
    </row>
    <row r="74" customFormat="false" ht="13.8" hidden="false" customHeight="false" outlineLevel="0" collapsed="false">
      <c r="A74" s="33" t="n">
        <v>73</v>
      </c>
      <c r="B74" s="32" t="n">
        <v>44634</v>
      </c>
      <c r="C74" s="33" t="n">
        <v>9071</v>
      </c>
      <c r="D74" s="33" t="n">
        <f aca="false">C73-C74</f>
        <v>-7471</v>
      </c>
      <c r="E74" s="33" t="n">
        <v>395.7</v>
      </c>
      <c r="F74" s="33" t="n">
        <f aca="false">E73-E74</f>
        <v>-322.5</v>
      </c>
      <c r="G74" s="33" t="n">
        <v>6.53</v>
      </c>
      <c r="H74" s="33" t="n">
        <f aca="false">G74-G73</f>
        <v>5.38</v>
      </c>
      <c r="I74" s="33" t="n">
        <v>88</v>
      </c>
      <c r="J74" s="33" t="n">
        <f aca="false">I73-I74</f>
        <v>-71</v>
      </c>
      <c r="K74" s="1" t="s">
        <v>28</v>
      </c>
      <c r="L74" s="1" t="n">
        <f aca="false">MAX($C$61:$C$91)</f>
        <v>15033</v>
      </c>
      <c r="M74" s="1" t="n">
        <f aca="false">MAX($E$61:$E$91)</f>
        <v>653.8</v>
      </c>
      <c r="N74" s="1" t="n">
        <f aca="false">MAX($G$61:$G$91)</f>
        <v>10.82</v>
      </c>
      <c r="O74" s="1" t="n">
        <f aca="false">MAX($I$61:$I$91)</f>
        <v>144</v>
      </c>
    </row>
    <row r="75" customFormat="false" ht="13.8" hidden="false" customHeight="false" outlineLevel="0" collapsed="false">
      <c r="A75" s="1" t="n">
        <v>74</v>
      </c>
      <c r="B75" s="32" t="n">
        <v>44635</v>
      </c>
      <c r="C75" s="33" t="n">
        <v>10658</v>
      </c>
      <c r="D75" s="33" t="n">
        <f aca="false">C74-C75</f>
        <v>-1587</v>
      </c>
      <c r="E75" s="33" t="n">
        <v>460.4</v>
      </c>
      <c r="F75" s="33" t="n">
        <f aca="false">E74-E75</f>
        <v>-64.7</v>
      </c>
      <c r="G75" s="33" t="n">
        <v>7.67</v>
      </c>
      <c r="H75" s="33" t="n">
        <f aca="false">G75-G74</f>
        <v>1.14</v>
      </c>
      <c r="I75" s="33" t="n">
        <v>100</v>
      </c>
      <c r="J75" s="33" t="n">
        <f aca="false">I74-I75</f>
        <v>-12</v>
      </c>
      <c r="K75" s="1" t="s">
        <v>30</v>
      </c>
      <c r="L75" s="1" t="n">
        <f aca="false">SUM($C$61:$C$91)</f>
        <v>203478</v>
      </c>
      <c r="M75" s="1" t="n">
        <f aca="false">SUM($E$61:$E$91)</f>
        <v>8880.6</v>
      </c>
      <c r="N75" s="1" t="n">
        <f aca="false">SUM($G$61:$G$91)</f>
        <v>146.51</v>
      </c>
      <c r="O75" s="1" t="n">
        <f aca="false">SUM($I$61:$I$91)</f>
        <v>1961</v>
      </c>
    </row>
    <row r="76" customFormat="false" ht="13.8" hidden="false" customHeight="false" outlineLevel="0" collapsed="false">
      <c r="A76" s="33" t="n">
        <v>75</v>
      </c>
      <c r="B76" s="32" t="n">
        <v>44636</v>
      </c>
      <c r="C76" s="33" t="n">
        <v>9789</v>
      </c>
      <c r="D76" s="33" t="n">
        <f aca="false">C75-C76</f>
        <v>869</v>
      </c>
      <c r="E76" s="33" t="n">
        <v>423.5</v>
      </c>
      <c r="F76" s="33" t="n">
        <f aca="false">E75-E76</f>
        <v>36.9</v>
      </c>
      <c r="G76" s="33" t="n">
        <v>7.05</v>
      </c>
      <c r="H76" s="33" t="n">
        <f aca="false">G76-G75</f>
        <v>-0.62</v>
      </c>
      <c r="I76" s="33" t="n">
        <v>92</v>
      </c>
      <c r="J76" s="33" t="n">
        <f aca="false">I75-I76</f>
        <v>8</v>
      </c>
      <c r="K76" s="1" t="s">
        <v>32</v>
      </c>
      <c r="L76" s="1" t="n">
        <f aca="false">COUNT($D$61:$D$91)</f>
        <v>31</v>
      </c>
      <c r="M76" s="1" t="n">
        <f aca="false">COUNT($F$61:$F$91)</f>
        <v>31</v>
      </c>
      <c r="N76" s="1" t="n">
        <f aca="false">COUNT($H$61:$H$91)</f>
        <v>31</v>
      </c>
      <c r="O76" s="1" t="n">
        <f aca="false">COUNT($J$61:$J$91)</f>
        <v>31</v>
      </c>
    </row>
    <row r="77" customFormat="false" ht="13.8" hidden="false" customHeight="false" outlineLevel="0" collapsed="false">
      <c r="A77" s="1" t="n">
        <v>76</v>
      </c>
      <c r="B77" s="32" t="n">
        <v>44637</v>
      </c>
      <c r="C77" s="33" t="n">
        <v>6022</v>
      </c>
      <c r="D77" s="33" t="n">
        <f aca="false">C76-C77</f>
        <v>3767</v>
      </c>
      <c r="E77" s="33" t="n">
        <v>263.4</v>
      </c>
      <c r="F77" s="33" t="n">
        <f aca="false">E76-E77</f>
        <v>160.1</v>
      </c>
      <c r="G77" s="33" t="n">
        <v>4.34</v>
      </c>
      <c r="H77" s="33" t="n">
        <f aca="false">G77-G76</f>
        <v>-2.71</v>
      </c>
      <c r="I77" s="33" t="n">
        <v>59</v>
      </c>
      <c r="J77" s="33" t="n">
        <f aca="false">I76-I77</f>
        <v>33</v>
      </c>
    </row>
    <row r="78" customFormat="false" ht="13.8" hidden="false" customHeight="false" outlineLevel="0" collapsed="false">
      <c r="A78" s="33" t="n">
        <v>77</v>
      </c>
      <c r="B78" s="32" t="n">
        <v>44638</v>
      </c>
      <c r="C78" s="33" t="n">
        <v>10008</v>
      </c>
      <c r="D78" s="33" t="n">
        <f aca="false">C77-C78</f>
        <v>-3986</v>
      </c>
      <c r="E78" s="33" t="n">
        <v>432.9</v>
      </c>
      <c r="F78" s="33" t="n">
        <f aca="false">E77-E78</f>
        <v>-169.5</v>
      </c>
      <c r="G78" s="33" t="n">
        <v>7.21</v>
      </c>
      <c r="H78" s="33" t="n">
        <f aca="false">G78-G77</f>
        <v>2.87</v>
      </c>
      <c r="I78" s="33" t="n">
        <v>95</v>
      </c>
      <c r="J78" s="33" t="n">
        <f aca="false">I77-I78</f>
        <v>-36</v>
      </c>
    </row>
    <row r="79" customFormat="false" ht="13.8" hidden="false" customHeight="false" outlineLevel="0" collapsed="false">
      <c r="A79" s="1" t="n">
        <v>78</v>
      </c>
      <c r="B79" s="32" t="n">
        <v>44639</v>
      </c>
      <c r="C79" s="33" t="n">
        <v>2140</v>
      </c>
      <c r="D79" s="33" t="n">
        <f aca="false">C78-C79</f>
        <v>7868</v>
      </c>
      <c r="E79" s="33" t="n">
        <v>100.5</v>
      </c>
      <c r="F79" s="33" t="n">
        <f aca="false">E78-E79</f>
        <v>332.4</v>
      </c>
      <c r="G79" s="33" t="n">
        <v>1.54</v>
      </c>
      <c r="H79" s="33" t="n">
        <f aca="false">G79-G78</f>
        <v>-5.67</v>
      </c>
      <c r="I79" s="33" t="n">
        <v>24</v>
      </c>
      <c r="J79" s="33" t="n">
        <f aca="false">I78-I79</f>
        <v>71</v>
      </c>
    </row>
    <row r="80" customFormat="false" ht="13.8" hidden="false" customHeight="false" outlineLevel="0" collapsed="false">
      <c r="A80" s="33" t="n">
        <v>79</v>
      </c>
      <c r="B80" s="32" t="n">
        <v>44640</v>
      </c>
      <c r="C80" s="33" t="n">
        <v>997</v>
      </c>
      <c r="D80" s="33" t="n">
        <f aca="false">C79-C80</f>
        <v>1143</v>
      </c>
      <c r="E80" s="33" t="n">
        <v>44.8</v>
      </c>
      <c r="F80" s="33" t="n">
        <f aca="false">E79-E80</f>
        <v>55.7</v>
      </c>
      <c r="G80" s="33" t="n">
        <v>0.72</v>
      </c>
      <c r="H80" s="33" t="n">
        <f aca="false">G80-G79</f>
        <v>-0.82</v>
      </c>
      <c r="I80" s="33" t="n">
        <v>10</v>
      </c>
      <c r="J80" s="33" t="n">
        <f aca="false">I79-I80</f>
        <v>14</v>
      </c>
    </row>
    <row r="81" customFormat="false" ht="13.8" hidden="false" customHeight="false" outlineLevel="0" collapsed="false">
      <c r="A81" s="1" t="n">
        <v>80</v>
      </c>
      <c r="B81" s="32" t="n">
        <v>44641</v>
      </c>
      <c r="C81" s="33" t="n">
        <v>7883</v>
      </c>
      <c r="D81" s="33" t="n">
        <f aca="false">C80-C81</f>
        <v>-6886</v>
      </c>
      <c r="E81" s="33" t="n">
        <v>345.6</v>
      </c>
      <c r="F81" s="33" t="n">
        <f aca="false">E80-E81</f>
        <v>-300.8</v>
      </c>
      <c r="G81" s="33" t="n">
        <v>5.68</v>
      </c>
      <c r="H81" s="33" t="n">
        <f aca="false">G81-G80</f>
        <v>4.96</v>
      </c>
      <c r="I81" s="33" t="n">
        <v>78</v>
      </c>
      <c r="J81" s="33" t="n">
        <f aca="false">I80-I81</f>
        <v>-68</v>
      </c>
    </row>
    <row r="82" customFormat="false" ht="13.8" hidden="false" customHeight="false" outlineLevel="0" collapsed="false">
      <c r="A82" s="33" t="n">
        <v>81</v>
      </c>
      <c r="B82" s="32" t="n">
        <v>44642</v>
      </c>
      <c r="C82" s="33" t="n">
        <v>5731</v>
      </c>
      <c r="D82" s="33" t="n">
        <f aca="false">C81-C82</f>
        <v>2152</v>
      </c>
      <c r="E82" s="33" t="n">
        <v>252</v>
      </c>
      <c r="F82" s="33" t="n">
        <f aca="false">E81-E82</f>
        <v>93.6</v>
      </c>
      <c r="G82" s="33" t="n">
        <v>4.13</v>
      </c>
      <c r="H82" s="33" t="n">
        <f aca="false">G82-G81</f>
        <v>-1.55</v>
      </c>
      <c r="I82" s="33" t="n">
        <v>57</v>
      </c>
      <c r="J82" s="33" t="n">
        <f aca="false">I81-I82</f>
        <v>21</v>
      </c>
    </row>
    <row r="83" customFormat="false" ht="13.8" hidden="false" customHeight="false" outlineLevel="0" collapsed="false">
      <c r="A83" s="1" t="n">
        <v>82</v>
      </c>
      <c r="B83" s="32" t="n">
        <v>44643</v>
      </c>
      <c r="C83" s="33" t="n">
        <v>7576</v>
      </c>
      <c r="D83" s="33" t="n">
        <f aca="false">C82-C83</f>
        <v>-1845</v>
      </c>
      <c r="E83" s="33" t="n">
        <v>329.9</v>
      </c>
      <c r="F83" s="33" t="n">
        <f aca="false">E82-E83</f>
        <v>-77.9</v>
      </c>
      <c r="G83" s="33" t="n">
        <v>5.45</v>
      </c>
      <c r="H83" s="33" t="n">
        <f aca="false">G83-G82</f>
        <v>1.32</v>
      </c>
      <c r="I83" s="33" t="n">
        <v>73</v>
      </c>
      <c r="J83" s="33" t="n">
        <f aca="false">I82-I83</f>
        <v>-16</v>
      </c>
    </row>
    <row r="84" customFormat="false" ht="13.8" hidden="false" customHeight="false" outlineLevel="0" collapsed="false">
      <c r="A84" s="33" t="n">
        <v>83</v>
      </c>
      <c r="B84" s="32" t="n">
        <v>44644</v>
      </c>
      <c r="C84" s="33" t="n">
        <v>8140</v>
      </c>
      <c r="D84" s="33" t="n">
        <f aca="false">C83-C84</f>
        <v>-564</v>
      </c>
      <c r="E84" s="33" t="n">
        <v>360.8</v>
      </c>
      <c r="F84" s="33" t="n">
        <f aca="false">E83-E84</f>
        <v>-30.9</v>
      </c>
      <c r="G84" s="33" t="n">
        <v>5.86</v>
      </c>
      <c r="H84" s="33" t="n">
        <f aca="false">G84-G83</f>
        <v>0.41</v>
      </c>
      <c r="I84" s="33" t="n">
        <v>82</v>
      </c>
      <c r="J84" s="33" t="n">
        <f aca="false">I83-I84</f>
        <v>-9</v>
      </c>
    </row>
    <row r="85" customFormat="false" ht="13.8" hidden="false" customHeight="false" outlineLevel="0" collapsed="false">
      <c r="A85" s="1" t="n">
        <v>84</v>
      </c>
      <c r="B85" s="32" t="n">
        <v>44645</v>
      </c>
      <c r="C85" s="33" t="n">
        <v>5965</v>
      </c>
      <c r="D85" s="33" t="n">
        <f aca="false">C84-C85</f>
        <v>2175</v>
      </c>
      <c r="E85" s="33" t="n">
        <v>264.1</v>
      </c>
      <c r="F85" s="33" t="n">
        <f aca="false">E84-E85</f>
        <v>96.7</v>
      </c>
      <c r="G85" s="33" t="n">
        <v>4.29</v>
      </c>
      <c r="H85" s="33" t="n">
        <f aca="false">G85-G84</f>
        <v>-1.57</v>
      </c>
      <c r="I85" s="33" t="n">
        <v>60</v>
      </c>
      <c r="J85" s="33" t="n">
        <f aca="false">I84-I85</f>
        <v>22</v>
      </c>
    </row>
    <row r="86" customFormat="false" ht="13.8" hidden="false" customHeight="false" outlineLevel="0" collapsed="false">
      <c r="A86" s="33" t="n">
        <v>85</v>
      </c>
      <c r="B86" s="32" t="n">
        <v>44646</v>
      </c>
      <c r="C86" s="33" t="n">
        <v>11629</v>
      </c>
      <c r="D86" s="33" t="n">
        <f aca="false">C85-C86</f>
        <v>-5664</v>
      </c>
      <c r="E86" s="33" t="n">
        <v>502.3</v>
      </c>
      <c r="F86" s="33" t="n">
        <f aca="false">E85-E86</f>
        <v>-238.2</v>
      </c>
      <c r="G86" s="33" t="n">
        <v>8.37</v>
      </c>
      <c r="H86" s="33" t="n">
        <f aca="false">G86-G85</f>
        <v>4.08</v>
      </c>
      <c r="I86" s="33" t="n">
        <v>109</v>
      </c>
      <c r="J86" s="33" t="n">
        <f aca="false">I85-I86</f>
        <v>-49</v>
      </c>
    </row>
    <row r="87" customFormat="false" ht="13.8" hidden="false" customHeight="false" outlineLevel="0" collapsed="false">
      <c r="A87" s="1" t="n">
        <v>86</v>
      </c>
      <c r="B87" s="32" t="n">
        <v>44647</v>
      </c>
      <c r="C87" s="33"/>
      <c r="D87" s="33" t="n">
        <f aca="false">C86-C87</f>
        <v>11629</v>
      </c>
      <c r="E87" s="33"/>
      <c r="F87" s="33" t="n">
        <f aca="false">E86-E87</f>
        <v>502.3</v>
      </c>
      <c r="G87" s="33"/>
      <c r="H87" s="33" t="n">
        <f aca="false">G87-G86</f>
        <v>-8.37</v>
      </c>
      <c r="I87" s="33"/>
      <c r="J87" s="33" t="n">
        <f aca="false">I86-I87</f>
        <v>109</v>
      </c>
    </row>
    <row r="88" customFormat="false" ht="13.8" hidden="false" customHeight="false" outlineLevel="0" collapsed="false">
      <c r="A88" s="33" t="n">
        <v>87</v>
      </c>
      <c r="B88" s="32" t="n">
        <v>44648</v>
      </c>
      <c r="C88" s="33"/>
      <c r="D88" s="33" t="n">
        <f aca="false">C87-C88</f>
        <v>0</v>
      </c>
      <c r="E88" s="33"/>
      <c r="F88" s="33" t="n">
        <f aca="false">E87-E88</f>
        <v>0</v>
      </c>
      <c r="G88" s="33"/>
      <c r="H88" s="33" t="n">
        <f aca="false">G88-G87</f>
        <v>0</v>
      </c>
      <c r="I88" s="33"/>
      <c r="J88" s="33" t="n">
        <f aca="false">I87-I88</f>
        <v>0</v>
      </c>
    </row>
    <row r="89" customFormat="false" ht="13.8" hidden="false" customHeight="false" outlineLevel="0" collapsed="false">
      <c r="A89" s="1" t="n">
        <v>88</v>
      </c>
      <c r="B89" s="32" t="n">
        <v>44649</v>
      </c>
      <c r="C89" s="33"/>
      <c r="D89" s="33" t="n">
        <f aca="false">C88-C89</f>
        <v>0</v>
      </c>
      <c r="E89" s="33"/>
      <c r="F89" s="33" t="n">
        <f aca="false">E88-E89</f>
        <v>0</v>
      </c>
      <c r="G89" s="33"/>
      <c r="H89" s="33" t="n">
        <f aca="false">G89-G88</f>
        <v>0</v>
      </c>
      <c r="I89" s="33"/>
      <c r="J89" s="33" t="n">
        <f aca="false">I88-I89</f>
        <v>0</v>
      </c>
    </row>
    <row r="90" customFormat="false" ht="13.8" hidden="false" customHeight="false" outlineLevel="0" collapsed="false">
      <c r="A90" s="33" t="n">
        <v>89</v>
      </c>
      <c r="B90" s="32" t="n">
        <v>44650</v>
      </c>
      <c r="C90" s="33"/>
      <c r="D90" s="33" t="n">
        <f aca="false">C89-C90</f>
        <v>0</v>
      </c>
      <c r="E90" s="33"/>
      <c r="F90" s="33" t="n">
        <f aca="false">E89-E90</f>
        <v>0</v>
      </c>
      <c r="G90" s="33"/>
      <c r="H90" s="33" t="n">
        <f aca="false">G90-G89</f>
        <v>0</v>
      </c>
      <c r="I90" s="33"/>
      <c r="J90" s="33" t="n">
        <f aca="false">I89-I90</f>
        <v>0</v>
      </c>
    </row>
    <row r="91" customFormat="false" ht="13.8" hidden="false" customHeight="false" outlineLevel="0" collapsed="false">
      <c r="A91" s="1" t="n">
        <v>90</v>
      </c>
      <c r="B91" s="32" t="n">
        <v>44651</v>
      </c>
      <c r="C91" s="33" t="n">
        <v>7385</v>
      </c>
      <c r="D91" s="33" t="n">
        <f aca="false">C90-C91</f>
        <v>-7385</v>
      </c>
      <c r="E91" s="33" t="n">
        <v>328.7</v>
      </c>
      <c r="F91" s="33" t="n">
        <f aca="false">E90-E91</f>
        <v>-328.7</v>
      </c>
      <c r="G91" s="33" t="n">
        <v>5.32</v>
      </c>
      <c r="H91" s="33" t="n">
        <f aca="false">G91-G90</f>
        <v>5.32</v>
      </c>
      <c r="I91" s="33" t="n">
        <v>75</v>
      </c>
      <c r="J91" s="33" t="n">
        <f aca="false">I90-I91</f>
        <v>-75</v>
      </c>
    </row>
    <row r="92" customFormat="false" ht="13.8" hidden="false" customHeight="false" outlineLevel="0" collapsed="false">
      <c r="A92" s="33" t="n">
        <v>91</v>
      </c>
      <c r="B92" s="32" t="n">
        <v>44652</v>
      </c>
      <c r="C92" s="33" t="n">
        <v>7461</v>
      </c>
      <c r="D92" s="33" t="n">
        <f aca="false">C91-C92</f>
        <v>-76</v>
      </c>
      <c r="E92" s="33" t="n">
        <v>335.4</v>
      </c>
      <c r="F92" s="33" t="n">
        <f aca="false">E91-E92</f>
        <v>-6.69999999999999</v>
      </c>
      <c r="G92" s="33" t="n">
        <v>5.37</v>
      </c>
      <c r="H92" s="33" t="n">
        <f aca="false">G92-G91</f>
        <v>0.0499999999999998</v>
      </c>
      <c r="I92" s="33" t="n">
        <v>77</v>
      </c>
      <c r="J92" s="33" t="n">
        <f aca="false">I91-I92</f>
        <v>-2</v>
      </c>
      <c r="L92" s="1" t="s">
        <v>2</v>
      </c>
      <c r="M92" s="1" t="s">
        <v>179</v>
      </c>
      <c r="N92" s="1" t="s">
        <v>175</v>
      </c>
      <c r="O92" s="1" t="s">
        <v>177</v>
      </c>
    </row>
    <row r="93" customFormat="false" ht="13.8" hidden="false" customHeight="false" outlineLevel="0" collapsed="false">
      <c r="A93" s="1" t="n">
        <v>92</v>
      </c>
      <c r="B93" s="32" t="n">
        <v>44653</v>
      </c>
      <c r="C93" s="33" t="n">
        <v>12292</v>
      </c>
      <c r="D93" s="33" t="n">
        <f aca="false">C92-C93</f>
        <v>-4831</v>
      </c>
      <c r="E93" s="33" t="n">
        <v>576.1</v>
      </c>
      <c r="F93" s="33" t="n">
        <f aca="false">E92-E93</f>
        <v>-240.7</v>
      </c>
      <c r="G93" s="33" t="n">
        <v>8.85</v>
      </c>
      <c r="H93" s="33" t="n">
        <f aca="false">G93-G92</f>
        <v>3.48</v>
      </c>
      <c r="I93" s="33" t="n">
        <v>141</v>
      </c>
      <c r="J93" s="33" t="n">
        <f aca="false">I92-I93</f>
        <v>-64</v>
      </c>
      <c r="K93" s="1" t="s">
        <v>8</v>
      </c>
      <c r="L93" s="1" t="n">
        <f aca="false">AVERAGE($C$92:$C$121)</f>
        <v>6686.16666666667</v>
      </c>
      <c r="M93" s="1" t="n">
        <f aca="false">AVERAGE($E$92:$E$121)</f>
        <v>312.11</v>
      </c>
      <c r="N93" s="1" t="n">
        <f aca="false">AVERAGE($G$92:$G$121)</f>
        <v>4.814</v>
      </c>
      <c r="O93" s="1" t="n">
        <f aca="false">AVERAGE($I$92:$I$121)</f>
        <v>76.0333333333333</v>
      </c>
    </row>
    <row r="94" customFormat="false" ht="13.8" hidden="false" customHeight="false" outlineLevel="0" collapsed="false">
      <c r="A94" s="33" t="n">
        <v>93</v>
      </c>
      <c r="B94" s="32" t="n">
        <v>44654</v>
      </c>
      <c r="C94" s="33" t="n">
        <v>4780</v>
      </c>
      <c r="D94" s="33" t="n">
        <f aca="false">C93-C94</f>
        <v>7512</v>
      </c>
      <c r="E94" s="33" t="n">
        <v>233.4</v>
      </c>
      <c r="F94" s="33" t="n">
        <f aca="false">E93-E94</f>
        <v>342.7</v>
      </c>
      <c r="G94" s="33" t="n">
        <v>3.44</v>
      </c>
      <c r="H94" s="33" t="n">
        <f aca="false">G94-G93</f>
        <v>-5.41</v>
      </c>
      <c r="I94" s="33" t="n">
        <v>59</v>
      </c>
      <c r="J94" s="33" t="n">
        <f aca="false">I93-I94</f>
        <v>82</v>
      </c>
      <c r="K94" s="1" t="s">
        <v>10</v>
      </c>
      <c r="L94" s="1" t="n">
        <f aca="false">SQRT(VAR($C$92:$C$121)/COUNT($C$92:$C$121))</f>
        <v>581.209128254438</v>
      </c>
      <c r="M94" s="1" t="n">
        <f aca="false">SQRT(VAR($E$92:$E$121)/COUNT($E$92:$E$121))</f>
        <v>26.7706608791798</v>
      </c>
      <c r="N94" s="1" t="n">
        <f aca="false">SQRT(VAR($G$92:$G$121)/COUNT($G$92:$G$121))</f>
        <v>0.418600459660027</v>
      </c>
      <c r="O94" s="1" t="n">
        <f aca="false">SQRT(VAR($I$92:$I$121)/COUNT($I$92:$I$121))</f>
        <v>6.42561027708265</v>
      </c>
    </row>
    <row r="95" customFormat="false" ht="13.8" hidden="false" customHeight="false" outlineLevel="0" collapsed="false">
      <c r="A95" s="1" t="n">
        <v>94</v>
      </c>
      <c r="B95" s="32" t="n">
        <v>44655</v>
      </c>
      <c r="C95" s="33" t="n">
        <v>4597</v>
      </c>
      <c r="D95" s="33" t="n">
        <f aca="false">C94-C95</f>
        <v>183</v>
      </c>
      <c r="E95" s="33" t="n">
        <v>216.4</v>
      </c>
      <c r="F95" s="33" t="n">
        <f aca="false">E94-E95</f>
        <v>17</v>
      </c>
      <c r="G95" s="33" t="n">
        <v>3.31</v>
      </c>
      <c r="H95" s="33" t="n">
        <f aca="false">G95-G94</f>
        <v>-0.13</v>
      </c>
      <c r="I95" s="33" t="n">
        <v>53</v>
      </c>
      <c r="J95" s="33" t="n">
        <f aca="false">I94-I95</f>
        <v>6</v>
      </c>
      <c r="K95" s="1" t="s">
        <v>14</v>
      </c>
      <c r="L95" s="1" t="e">
        <f aca="false">MODE($C$92:$C$121)</f>
        <v>#VALUE!</v>
      </c>
      <c r="M95" s="1" t="n">
        <f aca="false">MODE($E$92:$E$121)</f>
        <v>243.3</v>
      </c>
      <c r="N95" s="1" t="n">
        <f aca="false">MODE($G$92:$G$121)</f>
        <v>3.49</v>
      </c>
      <c r="O95" s="1" t="n">
        <f aca="false">MODE($I$92:$I$121)</f>
        <v>52</v>
      </c>
    </row>
    <row r="96" customFormat="false" ht="13.8" hidden="false" customHeight="false" outlineLevel="0" collapsed="false">
      <c r="A96" s="33" t="n">
        <v>95</v>
      </c>
      <c r="B96" s="32" t="n">
        <v>44656</v>
      </c>
      <c r="C96" s="33" t="n">
        <v>6460</v>
      </c>
      <c r="D96" s="33" t="n">
        <f aca="false">C95-C96</f>
        <v>-1863</v>
      </c>
      <c r="E96" s="33" t="n">
        <v>299.6</v>
      </c>
      <c r="F96" s="33" t="n">
        <f aca="false">E95-E96</f>
        <v>-83.2</v>
      </c>
      <c r="G96" s="33" t="n">
        <v>4.65</v>
      </c>
      <c r="H96" s="33" t="n">
        <f aca="false">G96-G95</f>
        <v>1.34</v>
      </c>
      <c r="I96" s="33" t="n">
        <v>73</v>
      </c>
      <c r="J96" s="33" t="n">
        <f aca="false">I95-I96</f>
        <v>-20</v>
      </c>
      <c r="K96" s="1" t="s">
        <v>12</v>
      </c>
      <c r="L96" s="1" t="n">
        <f aca="false">MEDIAN($C$92:$C$121)</f>
        <v>5850</v>
      </c>
      <c r="M96" s="1" t="n">
        <f aca="false">MEDIAN($E$92:$E$121)</f>
        <v>272.25</v>
      </c>
      <c r="N96" s="1" t="n">
        <f aca="false">MEDIAN($G$92:$G$121)</f>
        <v>4.21</v>
      </c>
      <c r="O96" s="1" t="n">
        <f aca="false">MEDIAN($I$92:$I$121)</f>
        <v>66</v>
      </c>
    </row>
    <row r="97" customFormat="false" ht="13.8" hidden="false" customHeight="false" outlineLevel="0" collapsed="false">
      <c r="A97" s="1" t="n">
        <v>96</v>
      </c>
      <c r="B97" s="32" t="n">
        <v>44657</v>
      </c>
      <c r="C97" s="33" t="n">
        <v>7104</v>
      </c>
      <c r="D97" s="33" t="n">
        <f aca="false">C96-C97</f>
        <v>-644</v>
      </c>
      <c r="E97" s="33" t="n">
        <v>334.5</v>
      </c>
      <c r="F97" s="33" t="n">
        <f aca="false">E96-E97</f>
        <v>-34.9</v>
      </c>
      <c r="G97" s="33" t="n">
        <v>5.11</v>
      </c>
      <c r="H97" s="33" t="n">
        <f aca="false">G97-G96</f>
        <v>0.46</v>
      </c>
      <c r="I97" s="33" t="n">
        <v>82</v>
      </c>
      <c r="J97" s="33" t="n">
        <f aca="false">I96-I97</f>
        <v>-9</v>
      </c>
      <c r="K97" s="1" t="s">
        <v>195</v>
      </c>
      <c r="L97" s="1" t="n">
        <f aca="false">QUARTILE($C$92:$C$121, 1)</f>
        <v>4846.5</v>
      </c>
      <c r="M97" s="1" t="n">
        <f aca="false">QUARTILE($E$92:$E$121, 1)</f>
        <v>229.425</v>
      </c>
      <c r="N97" s="1" t="n">
        <f aca="false">QUARTILE($G$92:$G$121, 1)</f>
        <v>3.49</v>
      </c>
      <c r="O97" s="1" t="n">
        <f aca="false">QUARTILE($I$92:$I$121, 1)</f>
        <v>56.25</v>
      </c>
    </row>
    <row r="98" customFormat="false" ht="13.8" hidden="false" customHeight="false" outlineLevel="0" collapsed="false">
      <c r="A98" s="33" t="n">
        <v>97</v>
      </c>
      <c r="B98" s="32" t="n">
        <v>44658</v>
      </c>
      <c r="C98" s="33" t="n">
        <v>5301</v>
      </c>
      <c r="D98" s="33" t="n">
        <f aca="false">C97-C98</f>
        <v>1803</v>
      </c>
      <c r="E98" s="33" t="n">
        <v>243.3</v>
      </c>
      <c r="F98" s="33" t="n">
        <f aca="false">E97-E98</f>
        <v>91.2</v>
      </c>
      <c r="G98" s="33" t="n">
        <v>3.82</v>
      </c>
      <c r="H98" s="33" t="n">
        <f aca="false">G98-G97</f>
        <v>-1.29</v>
      </c>
      <c r="I98" s="33" t="n">
        <v>58</v>
      </c>
      <c r="J98" s="33" t="n">
        <f aca="false">I97-I98</f>
        <v>24</v>
      </c>
      <c r="K98" s="1" t="s">
        <v>181</v>
      </c>
      <c r="L98" s="1" t="n">
        <f aca="false">QUARTILE($C$92:$C$121, 3)</f>
        <v>7143.75</v>
      </c>
      <c r="M98" s="1" t="n">
        <f aca="false">QUARTILE($E$92:$E$121, 3)</f>
        <v>333.85</v>
      </c>
      <c r="N98" s="1" t="n">
        <f aca="false">QUARTILE($G$92:$G$121, 3)</f>
        <v>5.14</v>
      </c>
      <c r="O98" s="1" t="n">
        <f aca="false">QUARTILE($I$92:$I$121, 3)</f>
        <v>80.75</v>
      </c>
    </row>
    <row r="99" customFormat="false" ht="13.8" hidden="false" customHeight="false" outlineLevel="0" collapsed="false">
      <c r="A99" s="1" t="n">
        <v>98</v>
      </c>
      <c r="B99" s="32" t="n">
        <v>44659</v>
      </c>
      <c r="C99" s="33" t="n">
        <v>6342</v>
      </c>
      <c r="D99" s="33" t="n">
        <f aca="false">C98-C99</f>
        <v>-1041</v>
      </c>
      <c r="E99" s="33" t="n">
        <v>305.9</v>
      </c>
      <c r="F99" s="33" t="n">
        <f aca="false">E98-E99</f>
        <v>-62.6</v>
      </c>
      <c r="G99" s="33" t="n">
        <v>4.57</v>
      </c>
      <c r="H99" s="33" t="n">
        <f aca="false">G99-G98</f>
        <v>0.75</v>
      </c>
      <c r="I99" s="33" t="n">
        <v>77</v>
      </c>
      <c r="J99" s="33" t="n">
        <f aca="false">I98-I99</f>
        <v>-19</v>
      </c>
      <c r="K99" s="1" t="s">
        <v>182</v>
      </c>
      <c r="L99" s="1" t="n">
        <f aca="false">VAR($C$92:$C$121)</f>
        <v>10134121.5229885</v>
      </c>
      <c r="M99" s="1" t="n">
        <f aca="false">VAR($E$92:$E$121)</f>
        <v>21500.0485172414</v>
      </c>
      <c r="N99" s="1" t="n">
        <f aca="false">VAR($G$92:$G$121)</f>
        <v>5.25679034482759</v>
      </c>
      <c r="O99" s="1" t="n">
        <f aca="false">VAR($I$92:$I$121)</f>
        <v>1238.65402298851</v>
      </c>
    </row>
    <row r="100" customFormat="false" ht="13.8" hidden="false" customHeight="false" outlineLevel="0" collapsed="false">
      <c r="A100" s="33" t="n">
        <v>99</v>
      </c>
      <c r="B100" s="32" t="n">
        <v>44660</v>
      </c>
      <c r="C100" s="33" t="n">
        <v>19730</v>
      </c>
      <c r="D100" s="33" t="n">
        <f aca="false">C99-C100</f>
        <v>-13388</v>
      </c>
      <c r="E100" s="33" t="n">
        <v>911.8</v>
      </c>
      <c r="F100" s="33" t="n">
        <f aca="false">E99-E100</f>
        <v>-605.9</v>
      </c>
      <c r="G100" s="33" t="n">
        <v>14.21</v>
      </c>
      <c r="H100" s="33" t="n">
        <f aca="false">G100-G99</f>
        <v>9.64</v>
      </c>
      <c r="I100" s="33" t="n">
        <v>219</v>
      </c>
      <c r="J100" s="33" t="n">
        <f aca="false">I99-I100</f>
        <v>-142</v>
      </c>
      <c r="K100" s="1" t="s">
        <v>16</v>
      </c>
      <c r="L100" s="1" t="n">
        <f aca="false">STDEV($C$92:$C$121)</f>
        <v>3183.41350172869</v>
      </c>
      <c r="M100" s="1" t="n">
        <f aca="false">STDEV($E$92:$E$121)</f>
        <v>146.628948428478</v>
      </c>
      <c r="N100" s="1" t="n">
        <f aca="false">STDEV($G$92:$G$121)</f>
        <v>2.29276914337828</v>
      </c>
      <c r="O100" s="1" t="n">
        <f aca="false">STDEV($I$92:$I$121)</f>
        <v>35.1945169449519</v>
      </c>
    </row>
    <row r="101" customFormat="false" ht="13.8" hidden="false" customHeight="false" outlineLevel="0" collapsed="false">
      <c r="A101" s="1" t="n">
        <v>100</v>
      </c>
      <c r="B101" s="32" t="n">
        <v>44661</v>
      </c>
      <c r="C101" s="33" t="n">
        <v>11771</v>
      </c>
      <c r="D101" s="33" t="n">
        <f aca="false">C100-C101</f>
        <v>7959</v>
      </c>
      <c r="E101" s="33" t="n">
        <v>548.9</v>
      </c>
      <c r="F101" s="33" t="n">
        <f aca="false">E100-E101</f>
        <v>362.9</v>
      </c>
      <c r="G101" s="33" t="n">
        <v>8.48</v>
      </c>
      <c r="H101" s="33" t="n">
        <f aca="false">G101-G100</f>
        <v>-5.73</v>
      </c>
      <c r="I101" s="33" t="n">
        <v>134</v>
      </c>
      <c r="J101" s="33" t="n">
        <f aca="false">I100-I101</f>
        <v>85</v>
      </c>
      <c r="K101" s="1" t="s">
        <v>20</v>
      </c>
      <c r="L101" s="1" t="n">
        <f aca="false">KURT($C$92:$C$121)</f>
        <v>9.43533519608887</v>
      </c>
      <c r="M101" s="1" t="n">
        <f aca="false">KURT($E$92:$E$121)</f>
        <v>9.39577035581547</v>
      </c>
      <c r="N101" s="1" t="n">
        <f aca="false">KURT($G$92:$G$121)</f>
        <v>9.4433413443148</v>
      </c>
      <c r="O101" s="1" t="n">
        <f aca="false">KURT($I$92:$I$121)</f>
        <v>9.14952000305364</v>
      </c>
    </row>
    <row r="102" customFormat="false" ht="13.8" hidden="false" customHeight="false" outlineLevel="0" collapsed="false">
      <c r="A102" s="33" t="n">
        <v>101</v>
      </c>
      <c r="B102" s="32" t="n">
        <v>44662</v>
      </c>
      <c r="C102" s="33" t="n">
        <v>5272</v>
      </c>
      <c r="D102" s="33" t="n">
        <f aca="false">C101-C102</f>
        <v>6499</v>
      </c>
      <c r="E102" s="33" t="n">
        <v>243.3</v>
      </c>
      <c r="F102" s="33" t="n">
        <f aca="false">E101-E102</f>
        <v>305.6</v>
      </c>
      <c r="G102" s="33" t="n">
        <v>3.8</v>
      </c>
      <c r="H102" s="33" t="n">
        <f aca="false">G102-G101</f>
        <v>-4.68</v>
      </c>
      <c r="I102" s="33" t="n">
        <v>59</v>
      </c>
      <c r="J102" s="33" t="n">
        <f aca="false">I101-I102</f>
        <v>75</v>
      </c>
      <c r="K102" s="1" t="s">
        <v>22</v>
      </c>
      <c r="L102" s="1" t="n">
        <f aca="false">SKEW($C$92:$C$121)</f>
        <v>2.7841122392207</v>
      </c>
      <c r="M102" s="1" t="n">
        <f aca="false">SKEW($E$92:$E$121)</f>
        <v>2.78880561009805</v>
      </c>
      <c r="N102" s="1" t="n">
        <f aca="false">SKEW($G$92:$G$121)</f>
        <v>2.78595412153671</v>
      </c>
      <c r="O102" s="1" t="n">
        <f aca="false">SKEW($I$92:$I$121)</f>
        <v>2.76236573607052</v>
      </c>
    </row>
    <row r="103" customFormat="false" ht="13.8" hidden="false" customHeight="false" outlineLevel="0" collapsed="false">
      <c r="A103" s="1" t="n">
        <v>102</v>
      </c>
      <c r="B103" s="32" t="n">
        <v>44663</v>
      </c>
      <c r="C103" s="33" t="n">
        <v>4374</v>
      </c>
      <c r="D103" s="33" t="n">
        <f aca="false">C102-C103</f>
        <v>898</v>
      </c>
      <c r="E103" s="33" t="n">
        <v>203.9</v>
      </c>
      <c r="F103" s="33" t="n">
        <f aca="false">E102-E103</f>
        <v>39.4</v>
      </c>
      <c r="G103" s="33" t="n">
        <v>3.15</v>
      </c>
      <c r="H103" s="33" t="n">
        <f aca="false">G103-G102</f>
        <v>-0.65</v>
      </c>
      <c r="I103" s="33" t="n">
        <v>50</v>
      </c>
      <c r="J103" s="33" t="n">
        <f aca="false">I102-I103</f>
        <v>9</v>
      </c>
      <c r="K103" s="1" t="s">
        <v>24</v>
      </c>
      <c r="L103" s="1" t="n">
        <f aca="false">MAX($C$92:$C$121)-MIN($C$92:$C$121)</f>
        <v>15844</v>
      </c>
      <c r="M103" s="1" t="n">
        <f aca="false">MAX($E$92:$E$121)-MIN($E$92:$E$121)</f>
        <v>729.2</v>
      </c>
      <c r="N103" s="1" t="n">
        <f aca="false">MAX($G$92:$G$121)-MIN($G$92:$G$121)</f>
        <v>11.41</v>
      </c>
      <c r="O103" s="1" t="n">
        <f aca="false">MAX($I$92:$I$121)-MIN($I$92:$I$121)</f>
        <v>174</v>
      </c>
    </row>
    <row r="104" customFormat="false" ht="13.8" hidden="false" customHeight="false" outlineLevel="0" collapsed="false">
      <c r="A104" s="33" t="n">
        <v>103</v>
      </c>
      <c r="B104" s="32" t="n">
        <v>44664</v>
      </c>
      <c r="C104" s="33" t="n">
        <v>4023</v>
      </c>
      <c r="D104" s="33" t="n">
        <f aca="false">C103-C104</f>
        <v>351</v>
      </c>
      <c r="E104" s="33" t="n">
        <v>188.9</v>
      </c>
      <c r="F104" s="33" t="n">
        <f aca="false">E103-E104</f>
        <v>15</v>
      </c>
      <c r="G104" s="33" t="n">
        <v>2.9</v>
      </c>
      <c r="H104" s="33" t="n">
        <f aca="false">G104-G103</f>
        <v>-0.25</v>
      </c>
      <c r="I104" s="33" t="n">
        <v>46</v>
      </c>
      <c r="J104" s="33" t="n">
        <f aca="false">I103-I104</f>
        <v>4</v>
      </c>
      <c r="K104" s="1" t="s">
        <v>26</v>
      </c>
      <c r="L104" s="1" t="n">
        <f aca="false">MIN($C$92:$C$121)</f>
        <v>3886</v>
      </c>
      <c r="M104" s="1" t="n">
        <f aca="false">MIN($E$92:$E$121)</f>
        <v>182.6</v>
      </c>
      <c r="N104" s="1" t="n">
        <f aca="false">MIN($G$92:$G$121)</f>
        <v>2.8</v>
      </c>
      <c r="O104" s="1" t="n">
        <f aca="false">MIN($I$92:$I$121)</f>
        <v>45</v>
      </c>
    </row>
    <row r="105" customFormat="false" ht="13.8" hidden="false" customHeight="false" outlineLevel="0" collapsed="false">
      <c r="A105" s="1" t="n">
        <v>104</v>
      </c>
      <c r="B105" s="32" t="n">
        <v>44665</v>
      </c>
      <c r="C105" s="33" t="n">
        <v>4854</v>
      </c>
      <c r="D105" s="33" t="n">
        <f aca="false">C104-C105</f>
        <v>-831</v>
      </c>
      <c r="E105" s="33" t="n">
        <v>228.1</v>
      </c>
      <c r="F105" s="33" t="n">
        <f aca="false">E104-E105</f>
        <v>-39.2</v>
      </c>
      <c r="G105" s="33" t="n">
        <v>3.49</v>
      </c>
      <c r="H105" s="33" t="n">
        <f aca="false">G105-G104</f>
        <v>0.59</v>
      </c>
      <c r="I105" s="33" t="n">
        <v>56</v>
      </c>
      <c r="J105" s="33" t="n">
        <f aca="false">I104-I105</f>
        <v>-10</v>
      </c>
      <c r="K105" s="1" t="s">
        <v>28</v>
      </c>
      <c r="L105" s="1" t="n">
        <f aca="false">MAX($C$92:$C$121)</f>
        <v>19730</v>
      </c>
      <c r="M105" s="1" t="n">
        <f aca="false">MAX($E$92:$E$121)</f>
        <v>911.8</v>
      </c>
      <c r="N105" s="1" t="n">
        <f aca="false">MAX($G$92:$G$121)</f>
        <v>14.21</v>
      </c>
      <c r="O105" s="1" t="n">
        <f aca="false">MAX($I$92:$I$121)</f>
        <v>219</v>
      </c>
    </row>
    <row r="106" customFormat="false" ht="13.8" hidden="false" customHeight="false" outlineLevel="0" collapsed="false">
      <c r="A106" s="33" t="n">
        <v>105</v>
      </c>
      <c r="B106" s="32" t="n">
        <v>44666</v>
      </c>
      <c r="C106" s="33" t="n">
        <v>5056</v>
      </c>
      <c r="D106" s="33" t="n">
        <f aca="false">C105-C106</f>
        <v>-202</v>
      </c>
      <c r="E106" s="33" t="n">
        <v>246.6</v>
      </c>
      <c r="F106" s="33" t="n">
        <f aca="false">E105-E106</f>
        <v>-18.5</v>
      </c>
      <c r="G106" s="33" t="n">
        <v>3.64</v>
      </c>
      <c r="H106" s="33" t="n">
        <f aca="false">G106-G105</f>
        <v>0.15</v>
      </c>
      <c r="I106" s="33" t="n">
        <v>63</v>
      </c>
      <c r="J106" s="33" t="n">
        <f aca="false">I105-I106</f>
        <v>-7</v>
      </c>
      <c r="K106" s="1" t="s">
        <v>30</v>
      </c>
      <c r="L106" s="1" t="n">
        <f aca="false">SUM($C$92:$C$121)</f>
        <v>200585</v>
      </c>
      <c r="M106" s="1" t="n">
        <f aca="false">SUM($E$92:$E$121)</f>
        <v>9363.3</v>
      </c>
      <c r="N106" s="1" t="n">
        <f aca="false">SUM($G$92:$G$121)</f>
        <v>144.42</v>
      </c>
      <c r="O106" s="1" t="n">
        <f aca="false">SUM($I$92:$I$121)</f>
        <v>2281</v>
      </c>
    </row>
    <row r="107" customFormat="false" ht="13.8" hidden="false" customHeight="false" outlineLevel="0" collapsed="false">
      <c r="A107" s="1" t="n">
        <v>106</v>
      </c>
      <c r="B107" s="32" t="n">
        <v>44667</v>
      </c>
      <c r="C107" s="33" t="n">
        <v>5149</v>
      </c>
      <c r="D107" s="33" t="n">
        <f aca="false">C106-C107</f>
        <v>-93</v>
      </c>
      <c r="E107" s="33" t="n">
        <v>238.2</v>
      </c>
      <c r="F107" s="33" t="n">
        <f aca="false">E106-E107</f>
        <v>8.40000000000001</v>
      </c>
      <c r="G107" s="33" t="n">
        <v>3.71</v>
      </c>
      <c r="H107" s="33" t="n">
        <f aca="false">G107-G106</f>
        <v>0.0699999999999998</v>
      </c>
      <c r="I107" s="33" t="n">
        <v>57</v>
      </c>
      <c r="J107" s="33" t="n">
        <f aca="false">I106-I107</f>
        <v>6</v>
      </c>
      <c r="K107" s="1" t="s">
        <v>32</v>
      </c>
      <c r="L107" s="1" t="n">
        <f aca="false">COUNT($C$92:$C$121)</f>
        <v>30</v>
      </c>
      <c r="M107" s="1" t="n">
        <f aca="false">COUNT($E$92:$E$121)</f>
        <v>30</v>
      </c>
      <c r="N107" s="1" t="n">
        <f aca="false">COUNT($G$92:$G$121)</f>
        <v>30</v>
      </c>
      <c r="O107" s="1" t="n">
        <f aca="false">COUNT($I$92:$I$121)</f>
        <v>30</v>
      </c>
    </row>
    <row r="108" customFormat="false" ht="13.8" hidden="false" customHeight="false" outlineLevel="0" collapsed="false">
      <c r="A108" s="33" t="n">
        <v>107</v>
      </c>
      <c r="B108" s="32" t="n">
        <v>44668</v>
      </c>
      <c r="C108" s="33" t="n">
        <v>3886</v>
      </c>
      <c r="D108" s="33" t="n">
        <f aca="false">C107-C108</f>
        <v>1263</v>
      </c>
      <c r="E108" s="33" t="n">
        <v>182.6</v>
      </c>
      <c r="F108" s="33" t="n">
        <f aca="false">E107-E108</f>
        <v>55.6</v>
      </c>
      <c r="G108" s="33" t="n">
        <v>2.8</v>
      </c>
      <c r="H108" s="33" t="n">
        <f aca="false">G108-G107</f>
        <v>-0.91</v>
      </c>
      <c r="I108" s="33" t="n">
        <v>45</v>
      </c>
      <c r="J108" s="33" t="n">
        <f aca="false">I107-I108</f>
        <v>12</v>
      </c>
    </row>
    <row r="109" customFormat="false" ht="13.8" hidden="false" customHeight="false" outlineLevel="0" collapsed="false">
      <c r="A109" s="1" t="n">
        <v>108</v>
      </c>
      <c r="B109" s="32" t="n">
        <v>44669</v>
      </c>
      <c r="C109" s="33" t="n">
        <v>4476</v>
      </c>
      <c r="D109" s="33" t="n">
        <f aca="false">C108-C109</f>
        <v>-590</v>
      </c>
      <c r="E109" s="33" t="n">
        <v>210.3</v>
      </c>
      <c r="F109" s="33" t="n">
        <f aca="false">E108-E109</f>
        <v>-27.7</v>
      </c>
      <c r="G109" s="33" t="n">
        <v>3.22</v>
      </c>
      <c r="H109" s="33" t="n">
        <f aca="false">G109-G108</f>
        <v>0.42</v>
      </c>
      <c r="I109" s="33" t="n">
        <v>52</v>
      </c>
      <c r="J109" s="33" t="n">
        <f aca="false">I108-I109</f>
        <v>-7</v>
      </c>
    </row>
    <row r="110" customFormat="false" ht="13.8" hidden="false" customHeight="false" outlineLevel="0" collapsed="false">
      <c r="A110" s="33" t="n">
        <v>109</v>
      </c>
      <c r="B110" s="32" t="n">
        <v>44670</v>
      </c>
      <c r="C110" s="33" t="n">
        <v>4844</v>
      </c>
      <c r="D110" s="33" t="n">
        <f aca="false">C109-C110</f>
        <v>-368</v>
      </c>
      <c r="E110" s="33" t="n">
        <v>220.5</v>
      </c>
      <c r="F110" s="33" t="n">
        <f aca="false">E109-E110</f>
        <v>-10.2</v>
      </c>
      <c r="G110" s="33" t="n">
        <v>3.49</v>
      </c>
      <c r="H110" s="33" t="n">
        <f aca="false">G110-G109</f>
        <v>0.27</v>
      </c>
      <c r="I110" s="33" t="n">
        <v>52</v>
      </c>
      <c r="J110" s="33" t="n">
        <f aca="false">I109-I110</f>
        <v>0</v>
      </c>
    </row>
    <row r="111" customFormat="false" ht="13.8" hidden="false" customHeight="false" outlineLevel="0" collapsed="false">
      <c r="A111" s="1" t="n">
        <v>110</v>
      </c>
      <c r="B111" s="32" t="n">
        <v>44671</v>
      </c>
      <c r="C111" s="33" t="n">
        <v>5672</v>
      </c>
      <c r="D111" s="33" t="n">
        <f aca="false">C110-C111</f>
        <v>-828</v>
      </c>
      <c r="E111" s="33" t="n">
        <v>264.4</v>
      </c>
      <c r="F111" s="33" t="n">
        <f aca="false">E110-E111</f>
        <v>-43.9</v>
      </c>
      <c r="G111" s="33" t="n">
        <v>4.08</v>
      </c>
      <c r="H111" s="33" t="n">
        <f aca="false">G111-G110</f>
        <v>0.59</v>
      </c>
      <c r="I111" s="33" t="n">
        <v>64</v>
      </c>
      <c r="J111" s="33" t="n">
        <f aca="false">I110-I111</f>
        <v>-12</v>
      </c>
    </row>
    <row r="112" customFormat="false" ht="13.8" hidden="false" customHeight="false" outlineLevel="0" collapsed="false">
      <c r="A112" s="33" t="n">
        <v>111</v>
      </c>
      <c r="B112" s="32" t="n">
        <v>44672</v>
      </c>
      <c r="C112" s="33" t="n">
        <v>6475</v>
      </c>
      <c r="D112" s="33" t="n">
        <f aca="false">C111-C112</f>
        <v>-803</v>
      </c>
      <c r="E112" s="33" t="n">
        <v>298.6</v>
      </c>
      <c r="F112" s="33" t="n">
        <f aca="false">E111-E112</f>
        <v>-34.2</v>
      </c>
      <c r="G112" s="33" t="n">
        <v>4.66</v>
      </c>
      <c r="H112" s="33" t="n">
        <f aca="false">G112-G111</f>
        <v>0.58</v>
      </c>
      <c r="I112" s="33" t="n">
        <v>72</v>
      </c>
      <c r="J112" s="33" t="n">
        <f aca="false">I111-I112</f>
        <v>-8</v>
      </c>
    </row>
    <row r="113" customFormat="false" ht="13.8" hidden="false" customHeight="false" outlineLevel="0" collapsed="false">
      <c r="A113" s="1" t="n">
        <v>112</v>
      </c>
      <c r="B113" s="32" t="n">
        <v>44673</v>
      </c>
      <c r="C113" s="33" t="n">
        <v>9428</v>
      </c>
      <c r="D113" s="33" t="n">
        <f aca="false">C112-C113</f>
        <v>-2953</v>
      </c>
      <c r="E113" s="33" t="n">
        <v>437.8</v>
      </c>
      <c r="F113" s="33" t="n">
        <f aca="false">E112-E113</f>
        <v>-139.2</v>
      </c>
      <c r="G113" s="33" t="n">
        <v>6.79</v>
      </c>
      <c r="H113" s="33" t="n">
        <f aca="false">G113-G112</f>
        <v>2.13</v>
      </c>
      <c r="I113" s="33" t="n">
        <v>106</v>
      </c>
      <c r="J113" s="33" t="n">
        <f aca="false">I112-I113</f>
        <v>-34</v>
      </c>
    </row>
    <row r="114" customFormat="false" ht="13.8" hidden="false" customHeight="false" outlineLevel="0" collapsed="false">
      <c r="A114" s="33" t="n">
        <v>113</v>
      </c>
      <c r="B114" s="32" t="n">
        <v>44674</v>
      </c>
      <c r="C114" s="33" t="n">
        <v>7649</v>
      </c>
      <c r="D114" s="33" t="n">
        <f aca="false">C113-C114</f>
        <v>1779</v>
      </c>
      <c r="E114" s="33" t="n">
        <v>344.4</v>
      </c>
      <c r="F114" s="33" t="n">
        <f aca="false">E113-E114</f>
        <v>93.4</v>
      </c>
      <c r="G114" s="33" t="n">
        <v>5.51</v>
      </c>
      <c r="H114" s="33" t="n">
        <f aca="false">G114-G113</f>
        <v>-1.28</v>
      </c>
      <c r="I114" s="33" t="n">
        <v>81</v>
      </c>
      <c r="J114" s="33" t="n">
        <f aca="false">I113-I114</f>
        <v>25</v>
      </c>
    </row>
    <row r="115" customFormat="false" ht="13.8" hidden="false" customHeight="false" outlineLevel="0" collapsed="false">
      <c r="A115" s="1" t="n">
        <v>114</v>
      </c>
      <c r="B115" s="32" t="n">
        <v>44675</v>
      </c>
      <c r="C115" s="33" t="n">
        <v>7201</v>
      </c>
      <c r="D115" s="33" t="n">
        <f aca="false">C114-C115</f>
        <v>448</v>
      </c>
      <c r="E115" s="33" t="n">
        <v>334.1</v>
      </c>
      <c r="F115" s="33" t="n">
        <f aca="false">E114-E115</f>
        <v>10.3</v>
      </c>
      <c r="G115" s="33" t="n">
        <v>5.18</v>
      </c>
      <c r="H115" s="33" t="n">
        <f aca="false">G115-G114</f>
        <v>-0.33</v>
      </c>
      <c r="I115" s="33" t="n">
        <v>81</v>
      </c>
      <c r="J115" s="33" t="n">
        <f aca="false">I114-I115</f>
        <v>0</v>
      </c>
    </row>
    <row r="116" customFormat="false" ht="13.8" hidden="false" customHeight="false" outlineLevel="0" collapsed="false">
      <c r="A116" s="33" t="n">
        <v>115</v>
      </c>
      <c r="B116" s="32" t="n">
        <v>44676</v>
      </c>
      <c r="C116" s="33" t="n">
        <v>7019</v>
      </c>
      <c r="D116" s="33" t="n">
        <f aca="false">C115-C116</f>
        <v>182</v>
      </c>
      <c r="E116" s="33" t="n">
        <v>333.1</v>
      </c>
      <c r="F116" s="33" t="n">
        <f aca="false">E115-E116</f>
        <v>1</v>
      </c>
      <c r="G116" s="33" t="n">
        <v>5.05</v>
      </c>
      <c r="H116" s="33" t="n">
        <f aca="false">G116-G115</f>
        <v>-0.13</v>
      </c>
      <c r="I116" s="33" t="n">
        <v>83</v>
      </c>
      <c r="J116" s="33" t="n">
        <f aca="false">I115-I116</f>
        <v>-2</v>
      </c>
    </row>
    <row r="117" customFormat="false" ht="13.8" hidden="false" customHeight="false" outlineLevel="0" collapsed="false">
      <c r="A117" s="1" t="n">
        <v>116</v>
      </c>
      <c r="B117" s="32" t="n">
        <v>44677</v>
      </c>
      <c r="C117" s="33" t="n">
        <v>5445</v>
      </c>
      <c r="D117" s="33" t="n">
        <f aca="false">C116-C117</f>
        <v>1574</v>
      </c>
      <c r="E117" s="33" t="n">
        <v>260.5</v>
      </c>
      <c r="F117" s="33" t="n">
        <f aca="false">E116-E117</f>
        <v>72.6</v>
      </c>
      <c r="G117" s="33" t="n">
        <v>3.92</v>
      </c>
      <c r="H117" s="33" t="n">
        <f aca="false">G117-G116</f>
        <v>-1.13</v>
      </c>
      <c r="I117" s="33" t="n">
        <v>65</v>
      </c>
      <c r="J117" s="33" t="n">
        <f aca="false">I116-I117</f>
        <v>18</v>
      </c>
    </row>
    <row r="118" customFormat="false" ht="13.8" hidden="false" customHeight="false" outlineLevel="0" collapsed="false">
      <c r="A118" s="33" t="n">
        <v>117</v>
      </c>
      <c r="B118" s="32" t="n">
        <v>44678</v>
      </c>
      <c r="C118" s="33" t="n">
        <v>4623</v>
      </c>
      <c r="D118" s="33" t="n">
        <f aca="false">C117-C118</f>
        <v>822</v>
      </c>
      <c r="E118" s="33" t="n">
        <v>222.4</v>
      </c>
      <c r="F118" s="33" t="n">
        <f aca="false">E117-E118</f>
        <v>38.1</v>
      </c>
      <c r="G118" s="33" t="n">
        <v>3.33</v>
      </c>
      <c r="H118" s="33" t="n">
        <f aca="false">G118-G117</f>
        <v>-0.59</v>
      </c>
      <c r="I118" s="33" t="n">
        <v>56</v>
      </c>
      <c r="J118" s="33" t="n">
        <f aca="false">I117-I118</f>
        <v>9</v>
      </c>
    </row>
    <row r="119" customFormat="false" ht="13.8" hidden="false" customHeight="false" outlineLevel="0" collapsed="false">
      <c r="A119" s="1" t="n">
        <v>118</v>
      </c>
      <c r="B119" s="32" t="n">
        <v>44679</v>
      </c>
      <c r="C119" s="33" t="n">
        <v>6116</v>
      </c>
      <c r="D119" s="33" t="n">
        <f aca="false">C118-C119</f>
        <v>-1493</v>
      </c>
      <c r="E119" s="33" t="n">
        <v>280.1</v>
      </c>
      <c r="F119" s="33" t="n">
        <f aca="false">E118-E119</f>
        <v>-57.7</v>
      </c>
      <c r="G119" s="33" t="n">
        <v>4.4</v>
      </c>
      <c r="H119" s="33" t="n">
        <f aca="false">G119-G118</f>
        <v>1.07</v>
      </c>
      <c r="I119" s="33" t="n">
        <v>67</v>
      </c>
      <c r="J119" s="33" t="n">
        <f aca="false">I118-I119</f>
        <v>-11</v>
      </c>
    </row>
    <row r="120" customFormat="false" ht="13.8" hidden="false" customHeight="false" outlineLevel="0" collapsed="false">
      <c r="A120" s="33" t="n">
        <v>119</v>
      </c>
      <c r="B120" s="32" t="n">
        <v>44680</v>
      </c>
      <c r="C120" s="33" t="n">
        <v>6028</v>
      </c>
      <c r="D120" s="33" t="n">
        <f aca="false">C119-C120</f>
        <v>88</v>
      </c>
      <c r="E120" s="33" t="n">
        <v>289.5</v>
      </c>
      <c r="F120" s="33" t="n">
        <f aca="false">E119-E120</f>
        <v>-9.39999999999998</v>
      </c>
      <c r="G120" s="33" t="n">
        <v>4.34</v>
      </c>
      <c r="H120" s="33" t="n">
        <f aca="false">G120-G119</f>
        <v>-0.0600000000000005</v>
      </c>
      <c r="I120" s="33" t="n">
        <v>73</v>
      </c>
      <c r="J120" s="33" t="n">
        <f aca="false">I119-I120</f>
        <v>-6</v>
      </c>
    </row>
    <row r="121" customFormat="false" ht="13.8" hidden="false" customHeight="false" outlineLevel="0" collapsed="false">
      <c r="A121" s="1" t="n">
        <v>120</v>
      </c>
      <c r="B121" s="32" t="n">
        <v>44681</v>
      </c>
      <c r="C121" s="33" t="n">
        <v>7157</v>
      </c>
      <c r="D121" s="33" t="n">
        <f aca="false">C120-C121</f>
        <v>-1129</v>
      </c>
      <c r="E121" s="33" t="n">
        <v>330.7</v>
      </c>
      <c r="F121" s="33" t="n">
        <f aca="false">E120-E121</f>
        <v>-41.2</v>
      </c>
      <c r="G121" s="33" t="n">
        <v>5.15</v>
      </c>
      <c r="H121" s="33" t="n">
        <f aca="false">G121-G120</f>
        <v>0.810000000000001</v>
      </c>
      <c r="I121" s="33" t="n">
        <v>80</v>
      </c>
      <c r="J121" s="33" t="n">
        <f aca="false">I120-I121</f>
        <v>-7</v>
      </c>
    </row>
    <row r="122" customFormat="false" ht="13.8" hidden="false" customHeight="false" outlineLevel="0" collapsed="false">
      <c r="A122" s="33" t="n">
        <v>121</v>
      </c>
      <c r="B122" s="32" t="n">
        <v>44682</v>
      </c>
      <c r="C122" s="33" t="n">
        <v>2978</v>
      </c>
      <c r="D122" s="33" t="n">
        <f aca="false">C121-C122</f>
        <v>4179</v>
      </c>
      <c r="E122" s="33" t="n">
        <v>139.3</v>
      </c>
      <c r="F122" s="33" t="n">
        <f aca="false">E121-E122</f>
        <v>191.4</v>
      </c>
      <c r="G122" s="33" t="n">
        <v>2.14</v>
      </c>
      <c r="H122" s="33" t="n">
        <f aca="false">G122-G121</f>
        <v>-3.01</v>
      </c>
      <c r="I122" s="33" t="n">
        <v>34</v>
      </c>
      <c r="J122" s="33" t="n">
        <f aca="false">I121-I122</f>
        <v>46</v>
      </c>
      <c r="L122" s="1" t="s">
        <v>2</v>
      </c>
      <c r="M122" s="1" t="s">
        <v>179</v>
      </c>
      <c r="N122" s="1" t="s">
        <v>175</v>
      </c>
      <c r="O122" s="1" t="s">
        <v>177</v>
      </c>
    </row>
    <row r="123" customFormat="false" ht="13.8" hidden="false" customHeight="false" outlineLevel="0" collapsed="false">
      <c r="A123" s="1" t="n">
        <v>122</v>
      </c>
      <c r="B123" s="32" t="n">
        <v>44683</v>
      </c>
      <c r="C123" s="33" t="n">
        <v>8036</v>
      </c>
      <c r="D123" s="33" t="n">
        <f aca="false">C122-C123</f>
        <v>-5058</v>
      </c>
      <c r="E123" s="33" t="n">
        <v>375.5</v>
      </c>
      <c r="F123" s="33" t="n">
        <f aca="false">E122-E123</f>
        <v>-236.2</v>
      </c>
      <c r="G123" s="33" t="n">
        <v>5.79</v>
      </c>
      <c r="H123" s="33" t="n">
        <f aca="false">G123-G122</f>
        <v>3.65</v>
      </c>
      <c r="I123" s="33" t="n">
        <v>92</v>
      </c>
      <c r="J123" s="33" t="n">
        <f aca="false">I122-I123</f>
        <v>-58</v>
      </c>
      <c r="K123" s="1" t="s">
        <v>8</v>
      </c>
      <c r="L123" s="1" t="n">
        <f aca="false">AVERAGE($C$122:$C$152)</f>
        <v>8055.54838709678</v>
      </c>
      <c r="M123" s="1" t="n">
        <f aca="false">AVERAGE($E$122:$E$152)</f>
        <v>370.912903225806</v>
      </c>
      <c r="N123" s="1" t="n">
        <f aca="false">AVERAGE($G$122:$G$152)</f>
        <v>5.8</v>
      </c>
      <c r="O123" s="1" t="n">
        <f aca="false">AVERAGE($I$122:$I$152)</f>
        <v>88.9677419354839</v>
      </c>
    </row>
    <row r="124" customFormat="false" ht="13.8" hidden="false" customHeight="false" outlineLevel="0" collapsed="false">
      <c r="A124" s="33" t="n">
        <v>123</v>
      </c>
      <c r="B124" s="32" t="n">
        <v>44684</v>
      </c>
      <c r="C124" s="33" t="n">
        <v>8805</v>
      </c>
      <c r="D124" s="33" t="n">
        <f aca="false">C123-C124</f>
        <v>-769</v>
      </c>
      <c r="E124" s="33" t="n">
        <v>405.6</v>
      </c>
      <c r="F124" s="33" t="n">
        <f aca="false">E123-E124</f>
        <v>-30.1</v>
      </c>
      <c r="G124" s="33" t="n">
        <v>6.34</v>
      </c>
      <c r="H124" s="33" t="n">
        <f aca="false">G124-G123</f>
        <v>0.55</v>
      </c>
      <c r="I124" s="33" t="n">
        <v>98</v>
      </c>
      <c r="J124" s="33" t="n">
        <f aca="false">I123-I124</f>
        <v>-6</v>
      </c>
      <c r="K124" s="1" t="s">
        <v>10</v>
      </c>
      <c r="L124" s="1" t="n">
        <f aca="false">SQRT(VAR($C$122:$C$152)/COUNT($C$122:$C$152))</f>
        <v>726.438901128301</v>
      </c>
      <c r="M124" s="1" t="n">
        <f aca="false">SQRT(VAR($E$122:$E$152)/COUNT($E$122:$E$152))</f>
        <v>32.6173846191944</v>
      </c>
      <c r="N124" s="1" t="n">
        <f aca="false">SQRT(VAR($G$122:$G$152)/COUNT($G$122:$G$152))</f>
        <v>0.52302120683171</v>
      </c>
      <c r="O124" s="1" t="n">
        <f aca="false">SQRT(VAR($I$122:$I$152)/COUNT($I$122:$I$152))</f>
        <v>7.65541257268315</v>
      </c>
    </row>
    <row r="125" customFormat="false" ht="13.8" hidden="false" customHeight="false" outlineLevel="0" collapsed="false">
      <c r="A125" s="1" t="n">
        <v>124</v>
      </c>
      <c r="B125" s="32" t="n">
        <v>44685</v>
      </c>
      <c r="C125" s="33" t="n">
        <v>5028</v>
      </c>
      <c r="D125" s="33" t="n">
        <f aca="false">C124-C125</f>
        <v>3777</v>
      </c>
      <c r="E125" s="33" t="n">
        <v>233.1</v>
      </c>
      <c r="F125" s="33" t="n">
        <f aca="false">E124-E125</f>
        <v>172.5</v>
      </c>
      <c r="G125" s="33" t="n">
        <v>3.62</v>
      </c>
      <c r="H125" s="33" t="n">
        <f aca="false">G125-G124</f>
        <v>-2.72</v>
      </c>
      <c r="I125" s="33" t="n">
        <v>56</v>
      </c>
      <c r="J125" s="33" t="n">
        <f aca="false">I124-I125</f>
        <v>42</v>
      </c>
      <c r="K125" s="1" t="s">
        <v>14</v>
      </c>
      <c r="L125" s="1" t="e">
        <f aca="false">MODE($C$122:$C$152)</f>
        <v>#VALUE!</v>
      </c>
      <c r="M125" s="1" t="e">
        <f aca="false">MODE($E$122:$E$152)</f>
        <v>#VALUE!</v>
      </c>
      <c r="N125" s="1" t="e">
        <f aca="false">MODE($G$122:$G$152)</f>
        <v>#VALUE!</v>
      </c>
      <c r="O125" s="1" t="n">
        <f aca="false">MODE($I$122:$I$152)</f>
        <v>70</v>
      </c>
    </row>
    <row r="126" customFormat="false" ht="13.8" hidden="false" customHeight="false" outlineLevel="0" collapsed="false">
      <c r="A126" s="33" t="n">
        <v>125</v>
      </c>
      <c r="B126" s="32" t="n">
        <v>44686</v>
      </c>
      <c r="C126" s="33" t="n">
        <v>3879</v>
      </c>
      <c r="D126" s="33" t="n">
        <f aca="false">C125-C126</f>
        <v>1149</v>
      </c>
      <c r="E126" s="33" t="n">
        <v>175.1</v>
      </c>
      <c r="F126" s="33" t="n">
        <f aca="false">E125-E126</f>
        <v>58</v>
      </c>
      <c r="G126" s="33" t="n">
        <v>2.79</v>
      </c>
      <c r="H126" s="33" t="n">
        <f aca="false">G126-G125</f>
        <v>-0.83</v>
      </c>
      <c r="I126" s="33" t="n">
        <v>41</v>
      </c>
      <c r="J126" s="33" t="n">
        <f aca="false">I125-I126</f>
        <v>15</v>
      </c>
      <c r="K126" s="1" t="s">
        <v>12</v>
      </c>
      <c r="L126" s="1" t="n">
        <f aca="false">MEDIAN($C$122:$C$152)</f>
        <v>6906</v>
      </c>
      <c r="M126" s="1" t="n">
        <f aca="false">MEDIAN($E$122:$E$152)</f>
        <v>321.2</v>
      </c>
      <c r="N126" s="1" t="n">
        <f aca="false">MEDIAN($G$122:$G$152)</f>
        <v>4.97</v>
      </c>
      <c r="O126" s="1" t="n">
        <f aca="false">MEDIAN($I$122:$I$152)</f>
        <v>77</v>
      </c>
    </row>
    <row r="127" customFormat="false" ht="13.8" hidden="false" customHeight="false" outlineLevel="0" collapsed="false">
      <c r="A127" s="1" t="n">
        <v>126</v>
      </c>
      <c r="B127" s="32" t="n">
        <v>44687</v>
      </c>
      <c r="C127" s="33" t="n">
        <v>14974</v>
      </c>
      <c r="D127" s="33" t="n">
        <f aca="false">C126-C127</f>
        <v>-11095</v>
      </c>
      <c r="E127" s="33" t="n">
        <v>690.1</v>
      </c>
      <c r="F127" s="33" t="n">
        <f aca="false">E126-E127</f>
        <v>-515</v>
      </c>
      <c r="G127" s="33" t="n">
        <v>10.78</v>
      </c>
      <c r="H127" s="33" t="n">
        <f aca="false">G127-G126</f>
        <v>7.99</v>
      </c>
      <c r="I127" s="33" t="n">
        <v>166</v>
      </c>
      <c r="J127" s="33" t="n">
        <f aca="false">I126-I127</f>
        <v>-125</v>
      </c>
      <c r="K127" s="1" t="s">
        <v>195</v>
      </c>
      <c r="L127" s="1" t="n">
        <f aca="false">QUARTILE($C$122:$C$152, 1)</f>
        <v>6163.5</v>
      </c>
      <c r="M127" s="1" t="n">
        <f aca="false">QUARTILE($E$122:$E$152, 1)</f>
        <v>285.35</v>
      </c>
      <c r="N127" s="1" t="n">
        <f aca="false">QUARTILE($G$122:$G$152, 1)</f>
        <v>4.44</v>
      </c>
      <c r="O127" s="1" t="n">
        <f aca="false">QUARTILE($I$122:$I$152, 1)</f>
        <v>70</v>
      </c>
    </row>
    <row r="128" customFormat="false" ht="13.8" hidden="false" customHeight="false" outlineLevel="0" collapsed="false">
      <c r="A128" s="33" t="n">
        <v>127</v>
      </c>
      <c r="B128" s="32" t="n">
        <v>44688</v>
      </c>
      <c r="C128" s="33" t="n">
        <v>12248</v>
      </c>
      <c r="D128" s="33" t="n">
        <f aca="false">C127-C128</f>
        <v>2726</v>
      </c>
      <c r="E128" s="33" t="n">
        <v>593.2</v>
      </c>
      <c r="F128" s="33" t="n">
        <f aca="false">E127-E128</f>
        <v>96.9</v>
      </c>
      <c r="G128" s="33" t="n">
        <v>8.82</v>
      </c>
      <c r="H128" s="33" t="n">
        <f aca="false">G128-G127</f>
        <v>-1.96</v>
      </c>
      <c r="I128" s="33" t="n">
        <v>151</v>
      </c>
      <c r="J128" s="33" t="n">
        <f aca="false">I127-I128</f>
        <v>15</v>
      </c>
      <c r="K128" s="1" t="s">
        <v>181</v>
      </c>
      <c r="L128" s="1" t="n">
        <f aca="false">QUARTILE($C$122:$C$152, 3)</f>
        <v>9285.5</v>
      </c>
      <c r="M128" s="1" t="n">
        <f aca="false">QUARTILE($E$122:$E$152, 3)</f>
        <v>427.3</v>
      </c>
      <c r="N128" s="1" t="n">
        <f aca="false">QUARTILE($G$122:$G$152, 3)</f>
        <v>6.69</v>
      </c>
      <c r="O128" s="1" t="n">
        <f aca="false">QUARTILE($I$122:$I$152, 3)</f>
        <v>102.5</v>
      </c>
    </row>
    <row r="129" customFormat="false" ht="13.8" hidden="false" customHeight="false" outlineLevel="0" collapsed="false">
      <c r="A129" s="1" t="n">
        <v>128</v>
      </c>
      <c r="B129" s="32" t="n">
        <v>44689</v>
      </c>
      <c r="C129" s="33" t="n">
        <v>6410</v>
      </c>
      <c r="D129" s="33" t="n">
        <f aca="false">C128-C129</f>
        <v>5838</v>
      </c>
      <c r="E129" s="33" t="n">
        <v>282.6</v>
      </c>
      <c r="F129" s="33" t="n">
        <f aca="false">E128-E129</f>
        <v>310.6</v>
      </c>
      <c r="G129" s="33" t="n">
        <v>4.62</v>
      </c>
      <c r="H129" s="33" t="n">
        <f aca="false">G129-G128</f>
        <v>-4.2</v>
      </c>
      <c r="I129" s="33" t="n">
        <v>64</v>
      </c>
      <c r="J129" s="33" t="n">
        <f aca="false">I128-I129</f>
        <v>87</v>
      </c>
      <c r="K129" s="1" t="s">
        <v>182</v>
      </c>
      <c r="L129" s="1" t="n">
        <f aca="false">VAR($C$122:$C$152)</f>
        <v>16359117.7892473</v>
      </c>
      <c r="M129" s="1" t="n">
        <f aca="false">VAR($E$122:$E$152)</f>
        <v>32980.7071612903</v>
      </c>
      <c r="N129" s="1" t="n">
        <f aca="false">VAR($G$122:$G$152)</f>
        <v>8.48008666666666</v>
      </c>
      <c r="O129" s="1" t="n">
        <f aca="false">VAR($I$122:$I$152)</f>
        <v>1816.76559139785</v>
      </c>
    </row>
    <row r="130" customFormat="false" ht="13.8" hidden="false" customHeight="false" outlineLevel="0" collapsed="false">
      <c r="A130" s="33" t="n">
        <v>129</v>
      </c>
      <c r="B130" s="32" t="n">
        <v>44690</v>
      </c>
      <c r="C130" s="33" t="n">
        <v>6657</v>
      </c>
      <c r="D130" s="33" t="n">
        <f aca="false">C129-C130</f>
        <v>-247</v>
      </c>
      <c r="E130" s="33" t="n">
        <v>309.6</v>
      </c>
      <c r="F130" s="33" t="n">
        <f aca="false">E129-E130</f>
        <v>-27</v>
      </c>
      <c r="G130" s="33" t="n">
        <v>4.79</v>
      </c>
      <c r="H130" s="33" t="n">
        <f aca="false">G130-G129</f>
        <v>0.17</v>
      </c>
      <c r="I130" s="33" t="n">
        <v>75</v>
      </c>
      <c r="J130" s="33" t="n">
        <f aca="false">I129-I130</f>
        <v>-11</v>
      </c>
      <c r="K130" s="1" t="s">
        <v>16</v>
      </c>
      <c r="L130" s="1" t="n">
        <f aca="false">STDEV($C$122:$C$152)</f>
        <v>4044.64062547556</v>
      </c>
      <c r="M130" s="1" t="n">
        <f aca="false">STDEV($E$122:$E$152)</f>
        <v>181.605911691471</v>
      </c>
      <c r="N130" s="1" t="n">
        <f aca="false">STDEV($G$122:$G$152)</f>
        <v>2.91205883640195</v>
      </c>
      <c r="O130" s="1" t="n">
        <f aca="false">STDEV($I$122:$I$152)</f>
        <v>42.6235333049461</v>
      </c>
    </row>
    <row r="131" customFormat="false" ht="13.8" hidden="false" customHeight="false" outlineLevel="0" collapsed="false">
      <c r="A131" s="1" t="n">
        <v>130</v>
      </c>
      <c r="B131" s="32" t="n">
        <v>44691</v>
      </c>
      <c r="C131" s="33" t="n">
        <v>5742</v>
      </c>
      <c r="D131" s="33" t="n">
        <f aca="false">C130-C131</f>
        <v>915</v>
      </c>
      <c r="E131" s="33" t="n">
        <v>265</v>
      </c>
      <c r="F131" s="33" t="n">
        <f aca="false">E130-E131</f>
        <v>44.6</v>
      </c>
      <c r="G131" s="33" t="n">
        <v>4.13</v>
      </c>
      <c r="H131" s="33" t="n">
        <f aca="false">G131-G130</f>
        <v>-0.66</v>
      </c>
      <c r="I131" s="33" t="n">
        <v>64</v>
      </c>
      <c r="J131" s="33" t="n">
        <f aca="false">I130-I131</f>
        <v>11</v>
      </c>
      <c r="K131" s="1" t="s">
        <v>20</v>
      </c>
      <c r="L131" s="1" t="n">
        <f aca="false">KURT($C$122:$C$152)</f>
        <v>4.05336372781777</v>
      </c>
      <c r="M131" s="1" t="n">
        <f aca="false">KURT($E$122:$E$152)</f>
        <v>3.71576752341685</v>
      </c>
      <c r="N131" s="1" t="n">
        <f aca="false">KURT($G$122:$G$152)</f>
        <v>4.04623635799621</v>
      </c>
      <c r="O131" s="1" t="n">
        <f aca="false">KURT($I$122:$I$152)</f>
        <v>3.24164760985215</v>
      </c>
    </row>
    <row r="132" customFormat="false" ht="13.8" hidden="false" customHeight="false" outlineLevel="0" collapsed="false">
      <c r="A132" s="33" t="n">
        <v>131</v>
      </c>
      <c r="B132" s="32" t="n">
        <v>44692</v>
      </c>
      <c r="C132" s="33" t="n">
        <v>6960</v>
      </c>
      <c r="D132" s="33" t="n">
        <f aca="false">C131-C132</f>
        <v>-1218</v>
      </c>
      <c r="E132" s="33" t="n">
        <v>321.2</v>
      </c>
      <c r="F132" s="33" t="n">
        <f aca="false">E131-E132</f>
        <v>-56.2</v>
      </c>
      <c r="G132" s="33" t="n">
        <v>5.01</v>
      </c>
      <c r="H132" s="33" t="n">
        <f aca="false">G132-G131</f>
        <v>0.88</v>
      </c>
      <c r="I132" s="33" t="n">
        <v>77</v>
      </c>
      <c r="J132" s="33" t="n">
        <f aca="false">I131-I132</f>
        <v>-13</v>
      </c>
      <c r="K132" s="1" t="s">
        <v>22</v>
      </c>
      <c r="L132" s="1" t="n">
        <f aca="false">SKEW($C$122:$C$152)</f>
        <v>1.58024528490334</v>
      </c>
      <c r="M132" s="1" t="n">
        <f aca="false">SKEW($E$122:$E$152)</f>
        <v>1.50559140556265</v>
      </c>
      <c r="N132" s="1" t="n">
        <f aca="false">SKEW($G$122:$G$152)</f>
        <v>1.57891878406416</v>
      </c>
      <c r="O132" s="1" t="n">
        <f aca="false">SKEW($I$122:$I$152)</f>
        <v>1.40936669947762</v>
      </c>
    </row>
    <row r="133" customFormat="false" ht="13.8" hidden="false" customHeight="false" outlineLevel="0" collapsed="false">
      <c r="A133" s="1" t="n">
        <v>132</v>
      </c>
      <c r="B133" s="32" t="n">
        <v>44693</v>
      </c>
      <c r="C133" s="33" t="n">
        <v>11879</v>
      </c>
      <c r="D133" s="33" t="n">
        <f aca="false">C132-C133</f>
        <v>-4919</v>
      </c>
      <c r="E133" s="33" t="n">
        <v>522.4</v>
      </c>
      <c r="F133" s="33" t="n">
        <f aca="false">E132-E133</f>
        <v>-201.2</v>
      </c>
      <c r="G133" s="33" t="n">
        <v>8.55</v>
      </c>
      <c r="H133" s="33" t="n">
        <f aca="false">G133-G132</f>
        <v>3.54</v>
      </c>
      <c r="I133" s="33" t="n">
        <v>118</v>
      </c>
      <c r="J133" s="33" t="n">
        <f aca="false">I132-I133</f>
        <v>-41</v>
      </c>
      <c r="K133" s="1" t="s">
        <v>24</v>
      </c>
      <c r="L133" s="1" t="n">
        <f aca="false">MAX($C$122:$C$152)-MIN($C$122:$C$152)</f>
        <v>20926</v>
      </c>
      <c r="M133" s="1" t="n">
        <f aca="false">MAX($E$122:$E$152)-MIN($E$122:$E$152)</f>
        <v>932.7</v>
      </c>
      <c r="N133" s="1" t="n">
        <f aca="false">MAX($G$122:$G$152)-MIN($G$122:$G$152)</f>
        <v>15.06</v>
      </c>
      <c r="O133" s="1" t="n">
        <f aca="false">MAX($I$122:$I$152)-MIN($I$122:$I$152)</f>
        <v>216</v>
      </c>
    </row>
    <row r="134" customFormat="false" ht="13.8" hidden="false" customHeight="false" outlineLevel="0" collapsed="false">
      <c r="A134" s="33" t="n">
        <v>133</v>
      </c>
      <c r="B134" s="32" t="n">
        <v>44694</v>
      </c>
      <c r="C134" s="33" t="n">
        <v>6541</v>
      </c>
      <c r="D134" s="33" t="n">
        <f aca="false">C133-C134</f>
        <v>5338</v>
      </c>
      <c r="E134" s="33" t="n">
        <v>309.2</v>
      </c>
      <c r="F134" s="33" t="n">
        <f aca="false">E133-E134</f>
        <v>213.2</v>
      </c>
      <c r="G134" s="33" t="n">
        <v>4.71</v>
      </c>
      <c r="H134" s="33" t="n">
        <f aca="false">G134-G133</f>
        <v>-3.84</v>
      </c>
      <c r="I134" s="33" t="n">
        <v>77</v>
      </c>
      <c r="J134" s="33" t="n">
        <f aca="false">I133-I134</f>
        <v>41</v>
      </c>
      <c r="K134" s="1" t="s">
        <v>26</v>
      </c>
      <c r="L134" s="1" t="n">
        <f aca="false">MIN($C$122:$C$152)</f>
        <v>1356</v>
      </c>
      <c r="M134" s="1" t="n">
        <f aca="false">MIN($E$122:$E$152)</f>
        <v>65.8</v>
      </c>
      <c r="N134" s="1" t="n">
        <f aca="false">MIN($G$122:$G$152)</f>
        <v>0.98</v>
      </c>
      <c r="O134" s="1" t="n">
        <f aca="false">MIN($I$122:$I$152)</f>
        <v>16</v>
      </c>
    </row>
    <row r="135" customFormat="false" ht="13.8" hidden="false" customHeight="false" outlineLevel="0" collapsed="false">
      <c r="A135" s="1" t="n">
        <v>134</v>
      </c>
      <c r="B135" s="32" t="n">
        <v>44695</v>
      </c>
      <c r="C135" s="33" t="n">
        <v>1356</v>
      </c>
      <c r="D135" s="33" t="n">
        <f aca="false">C134-C135</f>
        <v>5185</v>
      </c>
      <c r="E135" s="33" t="n">
        <v>65.8</v>
      </c>
      <c r="F135" s="33" t="n">
        <f aca="false">E134-E135</f>
        <v>243.4</v>
      </c>
      <c r="G135" s="33" t="n">
        <v>0.98</v>
      </c>
      <c r="H135" s="33" t="n">
        <f aca="false">G135-G134</f>
        <v>-3.73</v>
      </c>
      <c r="I135" s="33" t="n">
        <v>16</v>
      </c>
      <c r="J135" s="33" t="n">
        <f aca="false">I134-I135</f>
        <v>61</v>
      </c>
      <c r="K135" s="1" t="s">
        <v>28</v>
      </c>
      <c r="L135" s="1" t="n">
        <f aca="false">MAX($C$122:$C$152)</f>
        <v>22282</v>
      </c>
      <c r="M135" s="1" t="n">
        <f aca="false">MAX($E$122:$E$152)</f>
        <v>998.5</v>
      </c>
      <c r="N135" s="1" t="n">
        <f aca="false">MAX($G$122:$G$152)</f>
        <v>16.04</v>
      </c>
      <c r="O135" s="1" t="n">
        <f aca="false">MAX($I$122:$I$152)</f>
        <v>232</v>
      </c>
    </row>
    <row r="136" customFormat="false" ht="13.8" hidden="false" customHeight="false" outlineLevel="0" collapsed="false">
      <c r="A136" s="33" t="n">
        <v>135</v>
      </c>
      <c r="B136" s="32" t="n">
        <v>44696</v>
      </c>
      <c r="C136" s="33" t="n">
        <v>8939</v>
      </c>
      <c r="D136" s="33" t="n">
        <f aca="false">C135-C136</f>
        <v>-7583</v>
      </c>
      <c r="E136" s="33" t="n">
        <v>417.7</v>
      </c>
      <c r="F136" s="33" t="n">
        <f aca="false">E135-E136</f>
        <v>-351.9</v>
      </c>
      <c r="G136" s="33" t="n">
        <v>6.44</v>
      </c>
      <c r="H136" s="33" t="n">
        <f aca="false">G136-G135</f>
        <v>5.46</v>
      </c>
      <c r="I136" s="33" t="n">
        <v>102</v>
      </c>
      <c r="J136" s="33" t="n">
        <f aca="false">I135-I136</f>
        <v>-86</v>
      </c>
      <c r="K136" s="1" t="s">
        <v>30</v>
      </c>
      <c r="L136" s="1" t="n">
        <f aca="false">SUM($C$122:$C$152)</f>
        <v>249722</v>
      </c>
      <c r="M136" s="1" t="n">
        <f aca="false">SUM($E$122:$E$152)</f>
        <v>11498.3</v>
      </c>
      <c r="N136" s="1" t="n">
        <f aca="false">SUM($G$122:$G$152)</f>
        <v>179.8</v>
      </c>
      <c r="O136" s="1" t="n">
        <f aca="false">SUM($I$122:$I$152)</f>
        <v>2758</v>
      </c>
    </row>
    <row r="137" customFormat="false" ht="13.8" hidden="false" customHeight="false" outlineLevel="0" collapsed="false">
      <c r="A137" s="1" t="n">
        <v>136</v>
      </c>
      <c r="B137" s="32" t="n">
        <v>44697</v>
      </c>
      <c r="C137" s="33" t="n">
        <v>6181</v>
      </c>
      <c r="D137" s="33" t="n">
        <f aca="false">C136-C137</f>
        <v>2758</v>
      </c>
      <c r="E137" s="33" t="n">
        <v>288.6</v>
      </c>
      <c r="F137" s="33" t="n">
        <f aca="false">E136-E137</f>
        <v>129.1</v>
      </c>
      <c r="G137" s="33" t="n">
        <v>4.45</v>
      </c>
      <c r="H137" s="33" t="n">
        <f aca="false">G137-G136</f>
        <v>-1.99</v>
      </c>
      <c r="I137" s="33" t="n">
        <v>70</v>
      </c>
      <c r="J137" s="33" t="n">
        <f aca="false">I136-I137</f>
        <v>32</v>
      </c>
      <c r="K137" s="1" t="s">
        <v>32</v>
      </c>
      <c r="L137" s="1" t="n">
        <f aca="false">COUNT($C$122:$C$152)</f>
        <v>31</v>
      </c>
      <c r="M137" s="1" t="n">
        <f aca="false">COUNT($E$122:$E$152)</f>
        <v>31</v>
      </c>
      <c r="N137" s="1" t="n">
        <f aca="false">COUNT($G$122:$G$152)</f>
        <v>31</v>
      </c>
      <c r="O137" s="1" t="n">
        <f aca="false">COUNT($I$122:$I$152)</f>
        <v>31</v>
      </c>
    </row>
    <row r="138" customFormat="false" ht="13.8" hidden="false" customHeight="false" outlineLevel="0" collapsed="false">
      <c r="A138" s="33" t="n">
        <v>137</v>
      </c>
      <c r="B138" s="32" t="n">
        <v>44698</v>
      </c>
      <c r="C138" s="33" t="n">
        <v>5826</v>
      </c>
      <c r="D138" s="33" t="n">
        <f aca="false">C137-C138</f>
        <v>355</v>
      </c>
      <c r="E138" s="33" t="n">
        <v>278.2</v>
      </c>
      <c r="F138" s="33" t="n">
        <f aca="false">E137-E138</f>
        <v>10.4</v>
      </c>
      <c r="G138" s="33" t="n">
        <v>4.19</v>
      </c>
      <c r="H138" s="33" t="n">
        <f aca="false">G138-G137</f>
        <v>-0.26</v>
      </c>
      <c r="I138" s="33" t="n">
        <v>70</v>
      </c>
      <c r="J138" s="33" t="n">
        <f aca="false">I137-I138</f>
        <v>0</v>
      </c>
    </row>
    <row r="139" customFormat="false" ht="13.8" hidden="false" customHeight="false" outlineLevel="0" collapsed="false">
      <c r="A139" s="1" t="n">
        <v>138</v>
      </c>
      <c r="B139" s="32" t="n">
        <v>44699</v>
      </c>
      <c r="C139" s="33" t="n">
        <v>6485</v>
      </c>
      <c r="D139" s="33" t="n">
        <f aca="false">C138-C139</f>
        <v>-659</v>
      </c>
      <c r="E139" s="33" t="n">
        <v>308.7</v>
      </c>
      <c r="F139" s="33" t="n">
        <f aca="false">E138-E139</f>
        <v>-30.5</v>
      </c>
      <c r="G139" s="33" t="n">
        <v>4.67</v>
      </c>
      <c r="H139" s="33" t="n">
        <f aca="false">G139-G138</f>
        <v>0.48</v>
      </c>
      <c r="I139" s="33" t="n">
        <v>77</v>
      </c>
      <c r="J139" s="33" t="n">
        <f aca="false">I138-I139</f>
        <v>-7</v>
      </c>
    </row>
    <row r="140" customFormat="false" ht="13.8" hidden="false" customHeight="false" outlineLevel="0" collapsed="false">
      <c r="A140" s="33" t="n">
        <v>139</v>
      </c>
      <c r="B140" s="32" t="n">
        <v>44700</v>
      </c>
      <c r="C140" s="33" t="n">
        <v>7340</v>
      </c>
      <c r="D140" s="33" t="n">
        <f aca="false">C139-C140</f>
        <v>-855</v>
      </c>
      <c r="E140" s="33" t="n">
        <v>347.6</v>
      </c>
      <c r="F140" s="33" t="n">
        <f aca="false">E139-E140</f>
        <v>-38.9</v>
      </c>
      <c r="G140" s="33" t="n">
        <v>5.28</v>
      </c>
      <c r="H140" s="33" t="n">
        <f aca="false">G140-G139</f>
        <v>0.61</v>
      </c>
      <c r="I140" s="33" t="n">
        <v>86</v>
      </c>
      <c r="J140" s="33" t="n">
        <f aca="false">I139-I140</f>
        <v>-9</v>
      </c>
    </row>
    <row r="141" customFormat="false" ht="13.8" hidden="false" customHeight="false" outlineLevel="0" collapsed="false">
      <c r="A141" s="1" t="n">
        <v>140</v>
      </c>
      <c r="B141" s="32" t="n">
        <v>44701</v>
      </c>
      <c r="C141" s="33" t="n">
        <v>6368</v>
      </c>
      <c r="D141" s="33" t="n">
        <f aca="false">C140-C141</f>
        <v>972</v>
      </c>
      <c r="E141" s="33" t="n">
        <v>294.1</v>
      </c>
      <c r="F141" s="33" t="n">
        <f aca="false">E140-E141</f>
        <v>53.5</v>
      </c>
      <c r="G141" s="33" t="n">
        <v>4.58</v>
      </c>
      <c r="H141" s="33" t="n">
        <f aca="false">G141-G140</f>
        <v>-0.7</v>
      </c>
      <c r="I141" s="33" t="n">
        <v>71</v>
      </c>
      <c r="J141" s="33" t="n">
        <f aca="false">I140-I141</f>
        <v>15</v>
      </c>
    </row>
    <row r="142" customFormat="false" ht="13.8" hidden="false" customHeight="false" outlineLevel="0" collapsed="false">
      <c r="A142" s="33" t="n">
        <v>141</v>
      </c>
      <c r="B142" s="32" t="n">
        <v>44702</v>
      </c>
      <c r="C142" s="33" t="n">
        <v>13252</v>
      </c>
      <c r="D142" s="33" t="n">
        <f aca="false">C141-C142</f>
        <v>-6884</v>
      </c>
      <c r="E142" s="33" t="n">
        <v>580.9</v>
      </c>
      <c r="F142" s="33" t="n">
        <f aca="false">E141-E142</f>
        <v>-286.8</v>
      </c>
      <c r="G142" s="33" t="n">
        <v>9.54</v>
      </c>
      <c r="H142" s="33" t="n">
        <f aca="false">G142-G141</f>
        <v>4.96</v>
      </c>
      <c r="I142" s="33" t="n">
        <v>130</v>
      </c>
      <c r="J142" s="33" t="n">
        <f aca="false">I141-I142</f>
        <v>-59</v>
      </c>
    </row>
    <row r="143" customFormat="false" ht="13.8" hidden="false" customHeight="false" outlineLevel="0" collapsed="false">
      <c r="A143" s="1" t="n">
        <v>142</v>
      </c>
      <c r="B143" s="32" t="n">
        <v>44703</v>
      </c>
      <c r="C143" s="33" t="n">
        <v>12690</v>
      </c>
      <c r="D143" s="33" t="n">
        <f aca="false">C142-C143</f>
        <v>562</v>
      </c>
      <c r="E143" s="33" t="n">
        <v>593</v>
      </c>
      <c r="F143" s="33" t="n">
        <f aca="false">E142-E143</f>
        <v>-12.1</v>
      </c>
      <c r="G143" s="33" t="n">
        <v>9.14</v>
      </c>
      <c r="H143" s="33" t="n">
        <f aca="false">G143-G142</f>
        <v>-0.399999999999999</v>
      </c>
      <c r="I143" s="33" t="n">
        <v>146</v>
      </c>
      <c r="J143" s="33" t="n">
        <f aca="false">I142-I143</f>
        <v>-16</v>
      </c>
    </row>
    <row r="144" customFormat="false" ht="13.8" hidden="false" customHeight="false" outlineLevel="0" collapsed="false">
      <c r="A144" s="33" t="n">
        <v>143</v>
      </c>
      <c r="B144" s="32" t="n">
        <v>44704</v>
      </c>
      <c r="C144" s="33" t="n">
        <v>22282</v>
      </c>
      <c r="D144" s="33" t="n">
        <f aca="false">C143-C144</f>
        <v>-9592</v>
      </c>
      <c r="E144" s="33" t="n">
        <v>998.5</v>
      </c>
      <c r="F144" s="33" t="n">
        <f aca="false">E143-E144</f>
        <v>-405.5</v>
      </c>
      <c r="G144" s="33" t="n">
        <v>16.04</v>
      </c>
      <c r="H144" s="33" t="n">
        <f aca="false">G144-G143</f>
        <v>6.9</v>
      </c>
      <c r="I144" s="33" t="n">
        <v>232</v>
      </c>
      <c r="J144" s="33" t="n">
        <f aca="false">I143-I144</f>
        <v>-86</v>
      </c>
    </row>
    <row r="145" customFormat="false" ht="13.8" hidden="false" customHeight="false" outlineLevel="0" collapsed="false">
      <c r="A145" s="1" t="n">
        <v>144</v>
      </c>
      <c r="B145" s="32" t="n">
        <v>44705</v>
      </c>
      <c r="C145" s="33" t="n">
        <v>7107</v>
      </c>
      <c r="D145" s="33" t="n">
        <f aca="false">C144-C145</f>
        <v>15175</v>
      </c>
      <c r="E145" s="33" t="n">
        <v>334.1</v>
      </c>
      <c r="F145" s="33" t="n">
        <f aca="false">E144-E145</f>
        <v>664.4</v>
      </c>
      <c r="G145" s="33" t="n">
        <v>5.12</v>
      </c>
      <c r="H145" s="33" t="n">
        <f aca="false">G145-G144</f>
        <v>-10.92</v>
      </c>
      <c r="I145" s="33" t="n">
        <v>82</v>
      </c>
      <c r="J145" s="33" t="n">
        <f aca="false">I144-I145</f>
        <v>150</v>
      </c>
    </row>
    <row r="146" customFormat="false" ht="13.8" hidden="false" customHeight="false" outlineLevel="0" collapsed="false">
      <c r="A146" s="33" t="n">
        <v>145</v>
      </c>
      <c r="B146" s="32" t="n">
        <v>44706</v>
      </c>
      <c r="C146" s="33" t="n">
        <v>3915</v>
      </c>
      <c r="D146" s="33" t="n">
        <f aca="false">C145-C146</f>
        <v>3192</v>
      </c>
      <c r="E146" s="33" t="n">
        <v>184.2</v>
      </c>
      <c r="F146" s="33" t="n">
        <f aca="false">E145-E146</f>
        <v>149.9</v>
      </c>
      <c r="G146" s="33" t="n">
        <v>2.82</v>
      </c>
      <c r="H146" s="33" t="n">
        <f aca="false">G146-G145</f>
        <v>-2.3</v>
      </c>
      <c r="I146" s="33" t="n">
        <v>45</v>
      </c>
      <c r="J146" s="33" t="n">
        <f aca="false">I145-I146</f>
        <v>37</v>
      </c>
    </row>
    <row r="147" customFormat="false" ht="13.8" hidden="false" customHeight="false" outlineLevel="0" collapsed="false">
      <c r="A147" s="1" t="n">
        <v>146</v>
      </c>
      <c r="B147" s="32" t="n">
        <v>44707</v>
      </c>
      <c r="C147" s="33" t="n">
        <v>6146</v>
      </c>
      <c r="D147" s="33" t="n">
        <f aca="false">C146-C147</f>
        <v>-2231</v>
      </c>
      <c r="E147" s="33" t="n">
        <v>288.1</v>
      </c>
      <c r="F147" s="33" t="n">
        <f aca="false">E146-E147</f>
        <v>-103.9</v>
      </c>
      <c r="G147" s="33" t="n">
        <v>4.43</v>
      </c>
      <c r="H147" s="33" t="n">
        <f aca="false">G147-G146</f>
        <v>1.61</v>
      </c>
      <c r="I147" s="33" t="n">
        <v>70</v>
      </c>
      <c r="J147" s="33" t="n">
        <f aca="false">I146-I147</f>
        <v>-25</v>
      </c>
    </row>
    <row r="148" customFormat="false" ht="13.8" hidden="false" customHeight="false" outlineLevel="0" collapsed="false">
      <c r="A148" s="33" t="n">
        <v>147</v>
      </c>
      <c r="B148" s="32" t="n">
        <v>44708</v>
      </c>
      <c r="C148" s="33" t="n">
        <v>6906</v>
      </c>
      <c r="D148" s="33" t="n">
        <f aca="false">C147-C148</f>
        <v>-760</v>
      </c>
      <c r="E148" s="33" t="n">
        <v>328.8</v>
      </c>
      <c r="F148" s="33" t="n">
        <f aca="false">E147-E148</f>
        <v>-40.7</v>
      </c>
      <c r="G148" s="33" t="n">
        <v>4.97</v>
      </c>
      <c r="H148" s="33" t="n">
        <f aca="false">G148-G147</f>
        <v>0.54</v>
      </c>
      <c r="I148" s="33" t="n">
        <v>81</v>
      </c>
      <c r="J148" s="33" t="n">
        <f aca="false">I147-I148</f>
        <v>-11</v>
      </c>
    </row>
    <row r="149" customFormat="false" ht="13.8" hidden="false" customHeight="false" outlineLevel="0" collapsed="false">
      <c r="A149" s="1" t="n">
        <v>148</v>
      </c>
      <c r="B149" s="32" t="n">
        <v>44709</v>
      </c>
      <c r="C149" s="33" t="n">
        <v>9632</v>
      </c>
      <c r="D149" s="33" t="n">
        <f aca="false">C148-C149</f>
        <v>-2726</v>
      </c>
      <c r="E149" s="33" t="n">
        <v>436.9</v>
      </c>
      <c r="F149" s="33" t="n">
        <f aca="false">E148-E149</f>
        <v>-108.1</v>
      </c>
      <c r="G149" s="33" t="n">
        <v>6.94</v>
      </c>
      <c r="H149" s="33" t="n">
        <f aca="false">G149-G148</f>
        <v>1.97</v>
      </c>
      <c r="I149" s="33" t="n">
        <v>103</v>
      </c>
      <c r="J149" s="33" t="n">
        <f aca="false">I148-I149</f>
        <v>-22</v>
      </c>
    </row>
    <row r="150" customFormat="false" ht="13.8" hidden="false" customHeight="false" outlineLevel="0" collapsed="false">
      <c r="A150" s="33" t="n">
        <v>149</v>
      </c>
      <c r="B150" s="32" t="n">
        <v>44710</v>
      </c>
      <c r="C150" s="33" t="n">
        <v>10539</v>
      </c>
      <c r="D150" s="33" t="n">
        <f aca="false">C149-C150</f>
        <v>-907</v>
      </c>
      <c r="E150" s="33" t="n">
        <v>478.6</v>
      </c>
      <c r="F150" s="33" t="n">
        <f aca="false">E149-E150</f>
        <v>-41.7</v>
      </c>
      <c r="G150" s="33" t="n">
        <v>7.59</v>
      </c>
      <c r="H150" s="33" t="n">
        <f aca="false">G150-G149</f>
        <v>0.65</v>
      </c>
      <c r="I150" s="33" t="n">
        <v>113</v>
      </c>
      <c r="J150" s="33" t="n">
        <f aca="false">I149-I150</f>
        <v>-10</v>
      </c>
    </row>
    <row r="151" customFormat="false" ht="13.8" hidden="false" customHeight="false" outlineLevel="0" collapsed="false">
      <c r="A151" s="1" t="n">
        <v>150</v>
      </c>
      <c r="B151" s="32" t="n">
        <v>44711</v>
      </c>
      <c r="C151" s="33" t="n">
        <v>6751</v>
      </c>
      <c r="D151" s="33" t="n">
        <f aca="false">C150-C151</f>
        <v>3788</v>
      </c>
      <c r="E151" s="33" t="n">
        <v>305.2</v>
      </c>
      <c r="F151" s="33" t="n">
        <f aca="false">E150-E151</f>
        <v>173.4</v>
      </c>
      <c r="G151" s="33" t="n">
        <v>4.86</v>
      </c>
      <c r="H151" s="33" t="n">
        <f aca="false">G151-G150</f>
        <v>-2.73</v>
      </c>
      <c r="I151" s="33" t="n">
        <v>72</v>
      </c>
      <c r="J151" s="33" t="n">
        <f aca="false">I150-I151</f>
        <v>41</v>
      </c>
    </row>
    <row r="152" customFormat="false" ht="13.8" hidden="false" customHeight="false" outlineLevel="0" collapsed="false">
      <c r="A152" s="33" t="n">
        <v>151</v>
      </c>
      <c r="B152" s="32" t="n">
        <v>44712</v>
      </c>
      <c r="C152" s="33" t="n">
        <v>7870</v>
      </c>
      <c r="D152" s="33" t="n">
        <f aca="false">C151-C152</f>
        <v>-1119</v>
      </c>
      <c r="E152" s="33" t="n">
        <v>347.4</v>
      </c>
      <c r="F152" s="33" t="n">
        <f aca="false">E151-E152</f>
        <v>-42.2</v>
      </c>
      <c r="G152" s="33" t="n">
        <v>5.67</v>
      </c>
      <c r="H152" s="33" t="n">
        <f aca="false">G152-G151</f>
        <v>0.81</v>
      </c>
      <c r="I152" s="33" t="n">
        <v>79</v>
      </c>
      <c r="J152" s="33" t="n">
        <f aca="false">I151-I152</f>
        <v>-7</v>
      </c>
    </row>
    <row r="153" customFormat="false" ht="13.8" hidden="false" customHeight="false" outlineLevel="0" collapsed="false">
      <c r="A153" s="1" t="n">
        <v>152</v>
      </c>
      <c r="B153" s="32" t="n">
        <v>44713</v>
      </c>
      <c r="C153" s="33" t="n">
        <v>6889</v>
      </c>
      <c r="D153" s="33" t="n">
        <f aca="false">C152-C153</f>
        <v>981</v>
      </c>
      <c r="E153" s="33" t="n">
        <v>309.4</v>
      </c>
      <c r="F153" s="33" t="n">
        <f aca="false">E152-E153</f>
        <v>38</v>
      </c>
      <c r="G153" s="33" t="n">
        <v>4.96</v>
      </c>
      <c r="H153" s="33" t="n">
        <f aca="false">G153-G152</f>
        <v>-0.71</v>
      </c>
      <c r="I153" s="33" t="n">
        <v>72</v>
      </c>
      <c r="J153" s="33" t="n">
        <f aca="false">I152-I153</f>
        <v>7</v>
      </c>
      <c r="L153" s="1" t="s">
        <v>2</v>
      </c>
      <c r="M153" s="1" t="s">
        <v>179</v>
      </c>
      <c r="N153" s="1" t="s">
        <v>175</v>
      </c>
      <c r="O153" s="1" t="s">
        <v>177</v>
      </c>
    </row>
    <row r="154" customFormat="false" ht="13.8" hidden="false" customHeight="false" outlineLevel="0" collapsed="false">
      <c r="A154" s="33" t="n">
        <v>153</v>
      </c>
      <c r="B154" s="32" t="n">
        <v>44714</v>
      </c>
      <c r="C154" s="33" t="n">
        <v>7749</v>
      </c>
      <c r="D154" s="33" t="n">
        <f aca="false">C153-C154</f>
        <v>-860</v>
      </c>
      <c r="E154" s="33" t="n">
        <v>348.3</v>
      </c>
      <c r="F154" s="33" t="n">
        <f aca="false">E153-E154</f>
        <v>-38.9</v>
      </c>
      <c r="G154" s="33" t="n">
        <v>5.58</v>
      </c>
      <c r="H154" s="33" t="n">
        <f aca="false">G154-G153</f>
        <v>0.62</v>
      </c>
      <c r="I154" s="33" t="n">
        <v>80</v>
      </c>
      <c r="J154" s="33" t="n">
        <f aca="false">I153-I154</f>
        <v>-8</v>
      </c>
      <c r="K154" s="1" t="s">
        <v>8</v>
      </c>
      <c r="L154" s="1" t="n">
        <f aca="false">AVERAGE($C$153:$C$182)</f>
        <v>7603.06666666667</v>
      </c>
      <c r="M154" s="1" t="n">
        <f aca="false">AVERAGE($E$153:$E$182)</f>
        <v>348.166666666667</v>
      </c>
      <c r="N154" s="1" t="n">
        <f aca="false">AVERAGE($G$153:$G$182)</f>
        <v>5.474</v>
      </c>
      <c r="O154" s="1" t="n">
        <f aca="false">AVERAGE($I$153:$I$182)</f>
        <v>82.7333333333333</v>
      </c>
    </row>
    <row r="155" customFormat="false" ht="13.8" hidden="false" customHeight="false" outlineLevel="0" collapsed="false">
      <c r="A155" s="1" t="n">
        <v>154</v>
      </c>
      <c r="B155" s="32" t="n">
        <v>44715</v>
      </c>
      <c r="C155" s="33" t="n">
        <v>6187</v>
      </c>
      <c r="D155" s="33" t="n">
        <f aca="false">C154-C155</f>
        <v>1562</v>
      </c>
      <c r="E155" s="33" t="n">
        <v>279</v>
      </c>
      <c r="F155" s="33" t="n">
        <f aca="false">E154-E155</f>
        <v>69.3</v>
      </c>
      <c r="G155" s="33" t="n">
        <v>4.45</v>
      </c>
      <c r="H155" s="33" t="n">
        <f aca="false">G155-G154</f>
        <v>-1.13</v>
      </c>
      <c r="I155" s="33" t="n">
        <v>65</v>
      </c>
      <c r="J155" s="33" t="n">
        <f aca="false">I154-I155</f>
        <v>15</v>
      </c>
      <c r="K155" s="1" t="s">
        <v>10</v>
      </c>
      <c r="L155" s="1" t="n">
        <f aca="false">SQRT(VAR($C$153:$C$182)/COUNT($C$153:$C$182))</f>
        <v>522.015364932924</v>
      </c>
      <c r="M155" s="1" t="n">
        <f aca="false">SQRT(VAR($E$153:$E$182)/COUNT($E$153:$E$182))</f>
        <v>24.3655090373943</v>
      </c>
      <c r="N155" s="1" t="n">
        <f aca="false">SQRT(VAR($G$153:$G$182)/COUNT($G$153:$G$182))</f>
        <v>0.376016813025908</v>
      </c>
      <c r="O155" s="1" t="n">
        <f aca="false">SQRT(VAR($I$153:$I$182)/COUNT($I$153:$I$182))</f>
        <v>6.019304831236</v>
      </c>
    </row>
    <row r="156" customFormat="false" ht="13.8" hidden="false" customHeight="false" outlineLevel="0" collapsed="false">
      <c r="A156" s="33" t="n">
        <v>155</v>
      </c>
      <c r="B156" s="32" t="n">
        <v>44716</v>
      </c>
      <c r="C156" s="33" t="n">
        <v>16052</v>
      </c>
      <c r="D156" s="33" t="n">
        <f aca="false">C155-C156</f>
        <v>-9865</v>
      </c>
      <c r="E156" s="33" t="n">
        <v>757.8</v>
      </c>
      <c r="F156" s="33" t="n">
        <f aca="false">E155-E156</f>
        <v>-478.8</v>
      </c>
      <c r="G156" s="33" t="n">
        <v>11.56</v>
      </c>
      <c r="H156" s="33" t="n">
        <f aca="false">G156-G155</f>
        <v>7.11</v>
      </c>
      <c r="I156" s="33" t="n">
        <v>187</v>
      </c>
      <c r="J156" s="33" t="n">
        <f aca="false">I155-I156</f>
        <v>-122</v>
      </c>
      <c r="K156" s="1" t="s">
        <v>14</v>
      </c>
      <c r="L156" s="1" t="e">
        <f aca="false">MODE($C$153:$C$182)</f>
        <v>#VALUE!</v>
      </c>
      <c r="M156" s="1" t="n">
        <f aca="false">MODE($E$153:$E$182)</f>
        <v>348.3</v>
      </c>
      <c r="N156" s="1" t="n">
        <f aca="false">MODE($G$153:$G$182)</f>
        <v>5.1</v>
      </c>
      <c r="O156" s="1" t="n">
        <f aca="false">MODE($I$153:$I$182)</f>
        <v>80</v>
      </c>
    </row>
    <row r="157" customFormat="false" ht="13.8" hidden="false" customHeight="false" outlineLevel="0" collapsed="false">
      <c r="A157" s="1" t="n">
        <v>156</v>
      </c>
      <c r="B157" s="32" t="n">
        <v>44717</v>
      </c>
      <c r="C157" s="33" t="n">
        <v>2715</v>
      </c>
      <c r="D157" s="33" t="n">
        <f aca="false">C156-C157</f>
        <v>13337</v>
      </c>
      <c r="E157" s="33" t="n">
        <v>128.3</v>
      </c>
      <c r="F157" s="33" t="n">
        <f aca="false">E156-E157</f>
        <v>629.5</v>
      </c>
      <c r="G157" s="33" t="n">
        <v>1.95</v>
      </c>
      <c r="H157" s="33" t="n">
        <f aca="false">G157-G156</f>
        <v>-9.61</v>
      </c>
      <c r="I157" s="33" t="n">
        <v>32</v>
      </c>
      <c r="J157" s="33" t="n">
        <f aca="false">I156-I157</f>
        <v>155</v>
      </c>
      <c r="K157" s="1" t="s">
        <v>12</v>
      </c>
      <c r="L157" s="1" t="n">
        <f aca="false">MEDIAN($C$153:$C$182)</f>
        <v>7410.5</v>
      </c>
      <c r="M157" s="1" t="n">
        <f aca="false">MEDIAN($E$153:$E$182)</f>
        <v>333.45</v>
      </c>
      <c r="N157" s="1" t="n">
        <f aca="false">MEDIAN($G$153:$G$182)</f>
        <v>5.335</v>
      </c>
      <c r="O157" s="1" t="n">
        <f aca="false">MEDIAN($I$153:$I$182)</f>
        <v>79</v>
      </c>
    </row>
    <row r="158" customFormat="false" ht="13.8" hidden="false" customHeight="false" outlineLevel="0" collapsed="false">
      <c r="A158" s="33" t="n">
        <v>157</v>
      </c>
      <c r="B158" s="32" t="n">
        <v>44718</v>
      </c>
      <c r="C158" s="33" t="n">
        <v>7666</v>
      </c>
      <c r="D158" s="33" t="n">
        <f aca="false">C157-C158</f>
        <v>-4951</v>
      </c>
      <c r="E158" s="33" t="n">
        <v>348.3</v>
      </c>
      <c r="F158" s="33" t="n">
        <f aca="false">E157-E158</f>
        <v>-220</v>
      </c>
      <c r="G158" s="33" t="n">
        <v>5.52</v>
      </c>
      <c r="H158" s="33" t="n">
        <f aca="false">G158-G157</f>
        <v>3.57</v>
      </c>
      <c r="I158" s="33" t="n">
        <v>82</v>
      </c>
      <c r="J158" s="33" t="n">
        <f aca="false">I157-I158</f>
        <v>-50</v>
      </c>
      <c r="K158" s="1" t="s">
        <v>195</v>
      </c>
      <c r="L158" s="1" t="n">
        <f aca="false">QUARTILE($C$153:$C$182, 1)</f>
        <v>6308.5</v>
      </c>
      <c r="M158" s="1" t="n">
        <f aca="false">QUARTILE($E$153:$E$182, 1)</f>
        <v>282.75</v>
      </c>
      <c r="N158" s="1" t="n">
        <f aca="false">QUARTILE($G$153:$G$182, 1)</f>
        <v>4.545</v>
      </c>
      <c r="O158" s="1" t="n">
        <f aca="false">QUARTILE($I$153:$I$182, 1)</f>
        <v>66.25</v>
      </c>
    </row>
    <row r="159" customFormat="false" ht="13.8" hidden="false" customHeight="false" outlineLevel="0" collapsed="false">
      <c r="A159" s="1" t="n">
        <v>158</v>
      </c>
      <c r="B159" s="32" t="n">
        <v>44719</v>
      </c>
      <c r="C159" s="33" t="n">
        <v>10547</v>
      </c>
      <c r="D159" s="33" t="n">
        <f aca="false">C158-C159</f>
        <v>-2881</v>
      </c>
      <c r="E159" s="33" t="n">
        <v>475.8</v>
      </c>
      <c r="F159" s="33" t="n">
        <f aca="false">E158-E159</f>
        <v>-127.5</v>
      </c>
      <c r="G159" s="33" t="n">
        <v>7.59</v>
      </c>
      <c r="H159" s="33" t="n">
        <f aca="false">G159-G158</f>
        <v>2.07</v>
      </c>
      <c r="I159" s="33" t="n">
        <v>112</v>
      </c>
      <c r="J159" s="33" t="n">
        <f aca="false">I158-I159</f>
        <v>-30</v>
      </c>
      <c r="K159" s="1" t="s">
        <v>181</v>
      </c>
      <c r="L159" s="1" t="n">
        <f aca="false">QUARTILE($C$153:$C$182, 3)</f>
        <v>8909.5</v>
      </c>
      <c r="M159" s="1" t="n">
        <f aca="false">QUARTILE($E$153:$E$182, 3)</f>
        <v>399.825</v>
      </c>
      <c r="N159" s="1" t="n">
        <f aca="false">QUARTILE($G$153:$G$182, 3)</f>
        <v>6.4125</v>
      </c>
      <c r="O159" s="1" t="n">
        <f aca="false">QUARTILE($I$153:$I$182, 3)</f>
        <v>93</v>
      </c>
    </row>
    <row r="160" customFormat="false" ht="13.8" hidden="false" customHeight="false" outlineLevel="0" collapsed="false">
      <c r="A160" s="33" t="n">
        <v>159</v>
      </c>
      <c r="B160" s="32" t="n">
        <v>44720</v>
      </c>
      <c r="C160" s="33" t="n">
        <v>6334</v>
      </c>
      <c r="D160" s="33" t="n">
        <f aca="false">C159-C160</f>
        <v>4213</v>
      </c>
      <c r="E160" s="33" t="n">
        <v>281.8</v>
      </c>
      <c r="F160" s="33" t="n">
        <f aca="false">E159-E160</f>
        <v>194</v>
      </c>
      <c r="G160" s="33" t="n">
        <v>4.56</v>
      </c>
      <c r="H160" s="33" t="n">
        <f aca="false">G160-G159</f>
        <v>-3.03</v>
      </c>
      <c r="I160" s="33" t="n">
        <v>64</v>
      </c>
      <c r="J160" s="33" t="n">
        <f aca="false">I159-I160</f>
        <v>48</v>
      </c>
      <c r="K160" s="1" t="s">
        <v>182</v>
      </c>
      <c r="L160" s="1" t="n">
        <f aca="false">VAR($C$153:$C$182)</f>
        <v>8175001.23678161</v>
      </c>
      <c r="M160" s="1" t="n">
        <f aca="false">VAR($E$153:$E$182)</f>
        <v>17810.3409195402</v>
      </c>
      <c r="N160" s="1" t="n">
        <f aca="false">VAR($G$153:$G$182)</f>
        <v>4.24165931034483</v>
      </c>
      <c r="O160" s="1" t="n">
        <f aca="false">VAR($I$153:$I$182)</f>
        <v>1086.96091954023</v>
      </c>
    </row>
    <row r="161" customFormat="false" ht="13.8" hidden="false" customHeight="false" outlineLevel="0" collapsed="false">
      <c r="A161" s="1" t="n">
        <v>160</v>
      </c>
      <c r="B161" s="32" t="n">
        <v>44721</v>
      </c>
      <c r="C161" s="33" t="n">
        <v>7883</v>
      </c>
      <c r="D161" s="33" t="n">
        <f aca="false">C160-C161</f>
        <v>-1549</v>
      </c>
      <c r="E161" s="33" t="n">
        <v>349.5</v>
      </c>
      <c r="F161" s="33" t="n">
        <f aca="false">E160-E161</f>
        <v>-67.7</v>
      </c>
      <c r="G161" s="33" t="n">
        <v>5.68</v>
      </c>
      <c r="H161" s="33" t="n">
        <f aca="false">G161-G160</f>
        <v>1.12</v>
      </c>
      <c r="I161" s="33" t="n">
        <v>80</v>
      </c>
      <c r="J161" s="33" t="n">
        <f aca="false">I160-I161</f>
        <v>-16</v>
      </c>
      <c r="K161" s="1" t="s">
        <v>16</v>
      </c>
      <c r="L161" s="1" t="n">
        <f aca="false">STDEV($C$153:$C$182)</f>
        <v>2859.19590738054</v>
      </c>
      <c r="M161" s="1" t="n">
        <f aca="false">STDEV($E$153:$E$182)</f>
        <v>133.455389248768</v>
      </c>
      <c r="N161" s="1" t="n">
        <f aca="false">STDEV($G$153:$G$182)</f>
        <v>2.05952890495492</v>
      </c>
      <c r="O161" s="1" t="n">
        <f aca="false">STDEV($I$153:$I$182)</f>
        <v>32.9690903656778</v>
      </c>
    </row>
    <row r="162" customFormat="false" ht="13.8" hidden="false" customHeight="false" outlineLevel="0" collapsed="false">
      <c r="A162" s="33" t="n">
        <v>161</v>
      </c>
      <c r="B162" s="32" t="n">
        <v>44722</v>
      </c>
      <c r="C162" s="33" t="n">
        <v>7155</v>
      </c>
      <c r="D162" s="33" t="n">
        <f aca="false">C161-C162</f>
        <v>728</v>
      </c>
      <c r="E162" s="33" t="n">
        <v>331.6</v>
      </c>
      <c r="F162" s="33" t="n">
        <f aca="false">E161-E162</f>
        <v>17.9</v>
      </c>
      <c r="G162" s="33" t="n">
        <v>5.15</v>
      </c>
      <c r="H162" s="33" t="n">
        <f aca="false">G162-G161</f>
        <v>-0.529999999999999</v>
      </c>
      <c r="I162" s="33" t="n">
        <v>80</v>
      </c>
      <c r="J162" s="33" t="n">
        <f aca="false">I161-I162</f>
        <v>0</v>
      </c>
      <c r="K162" s="1" t="s">
        <v>20</v>
      </c>
      <c r="L162" s="1" t="n">
        <f aca="false">KURT($C$153:$C$182)</f>
        <v>2.26625915609638</v>
      </c>
      <c r="M162" s="1" t="n">
        <f aca="false">KURT($E$153:$E$182)</f>
        <v>2.56685723591896</v>
      </c>
      <c r="N162" s="1" t="n">
        <f aca="false">KURT($G$153:$G$182)</f>
        <v>2.26437294392506</v>
      </c>
      <c r="O162" s="1" t="n">
        <f aca="false">KURT($I$153:$I$182)</f>
        <v>2.80901233324413</v>
      </c>
    </row>
    <row r="163" customFormat="false" ht="13.8" hidden="false" customHeight="false" outlineLevel="0" collapsed="false">
      <c r="A163" s="1" t="n">
        <v>162</v>
      </c>
      <c r="B163" s="32" t="n">
        <v>44723</v>
      </c>
      <c r="C163" s="33" t="n">
        <v>6683</v>
      </c>
      <c r="D163" s="33" t="n">
        <f aca="false">C162-C163</f>
        <v>472</v>
      </c>
      <c r="E163" s="33" t="n">
        <v>312.3</v>
      </c>
      <c r="F163" s="33" t="n">
        <f aca="false">E162-E163</f>
        <v>19.3</v>
      </c>
      <c r="G163" s="33" t="n">
        <v>4.81</v>
      </c>
      <c r="H163" s="33" t="n">
        <f aca="false">G163-G162</f>
        <v>-0.340000000000001</v>
      </c>
      <c r="I163" s="33" t="n">
        <v>76</v>
      </c>
      <c r="J163" s="33" t="n">
        <f aca="false">I162-I163</f>
        <v>4</v>
      </c>
      <c r="K163" s="1" t="s">
        <v>22</v>
      </c>
      <c r="L163" s="1" t="n">
        <f aca="false">SKEW($C$153:$C$182)</f>
        <v>0.399027327621461</v>
      </c>
      <c r="M163" s="1" t="n">
        <f aca="false">SKEW($E$153:$E$182)</f>
        <v>0.603114243205434</v>
      </c>
      <c r="N163" s="1" t="n">
        <f aca="false">SKEW($G$153:$G$182)</f>
        <v>0.399734285495885</v>
      </c>
      <c r="O163" s="1" t="n">
        <f aca="false">SKEW($I$153:$I$182)</f>
        <v>0.83624955410405</v>
      </c>
    </row>
    <row r="164" customFormat="false" ht="13.8" hidden="false" customHeight="false" outlineLevel="0" collapsed="false">
      <c r="A164" s="33" t="n">
        <v>163</v>
      </c>
      <c r="B164" s="32" t="n">
        <v>44724</v>
      </c>
      <c r="C164" s="33" t="n">
        <v>666</v>
      </c>
      <c r="D164" s="33" t="n">
        <f aca="false">C163-C164</f>
        <v>6017</v>
      </c>
      <c r="E164" s="33" t="n">
        <v>33.3</v>
      </c>
      <c r="F164" s="33" t="n">
        <f aca="false">E163-E164</f>
        <v>279</v>
      </c>
      <c r="G164" s="33" t="n">
        <v>0.48</v>
      </c>
      <c r="H164" s="33" t="n">
        <f aca="false">G164-G163</f>
        <v>-4.33</v>
      </c>
      <c r="I164" s="33" t="n">
        <v>8</v>
      </c>
      <c r="J164" s="33" t="n">
        <f aca="false">I163-I164</f>
        <v>68</v>
      </c>
      <c r="K164" s="1" t="s">
        <v>24</v>
      </c>
      <c r="L164" s="1" t="n">
        <f aca="false">MAX($C$153:$C$182)-MIN($C$153:$C$182)</f>
        <v>15386</v>
      </c>
      <c r="M164" s="1" t="n">
        <f aca="false">MAX($E$153:$E$182)-MIN($E$153:$E$182)</f>
        <v>724.5</v>
      </c>
      <c r="N164" s="1" t="n">
        <f aca="false">MAX($G$153:$G$182)-MIN($G$153:$G$182)</f>
        <v>11.08</v>
      </c>
      <c r="O164" s="1" t="n">
        <f aca="false">MAX($I$153:$I$182)-MIN($I$153:$I$182)</f>
        <v>179</v>
      </c>
    </row>
    <row r="165" customFormat="false" ht="13.8" hidden="false" customHeight="false" outlineLevel="0" collapsed="false">
      <c r="A165" s="1" t="n">
        <v>164</v>
      </c>
      <c r="B165" s="32" t="n">
        <v>44725</v>
      </c>
      <c r="C165" s="33" t="n">
        <v>6300</v>
      </c>
      <c r="D165" s="33" t="n">
        <f aca="false">C164-C165</f>
        <v>-5634</v>
      </c>
      <c r="E165" s="33" t="n">
        <v>285.6</v>
      </c>
      <c r="F165" s="33" t="n">
        <f aca="false">E164-E165</f>
        <v>-252.3</v>
      </c>
      <c r="G165" s="33" t="n">
        <v>4.54</v>
      </c>
      <c r="H165" s="33" t="n">
        <f aca="false">G165-G164</f>
        <v>4.06</v>
      </c>
      <c r="I165" s="33" t="n">
        <v>67</v>
      </c>
      <c r="J165" s="33" t="n">
        <f aca="false">I164-I165</f>
        <v>-59</v>
      </c>
      <c r="K165" s="1" t="s">
        <v>26</v>
      </c>
      <c r="L165" s="1" t="n">
        <f aca="false">MIN($C$153:$C$182)</f>
        <v>666</v>
      </c>
      <c r="M165" s="1" t="n">
        <f aca="false">MIN($E$153:$E$182)</f>
        <v>33.3</v>
      </c>
      <c r="N165" s="1" t="n">
        <f aca="false">MIN($G$153:$G$182)</f>
        <v>0.48</v>
      </c>
      <c r="O165" s="1" t="n">
        <f aca="false">MIN($I$153:$I$182)</f>
        <v>8</v>
      </c>
    </row>
    <row r="166" customFormat="false" ht="13.8" hidden="false" customHeight="false" outlineLevel="0" collapsed="false">
      <c r="A166" s="33" t="n">
        <v>165</v>
      </c>
      <c r="B166" s="32" t="n">
        <v>44726</v>
      </c>
      <c r="C166" s="33" t="n">
        <v>5240</v>
      </c>
      <c r="D166" s="33" t="n">
        <f aca="false">C165-C166</f>
        <v>1060</v>
      </c>
      <c r="E166" s="33" t="n">
        <v>233.4</v>
      </c>
      <c r="F166" s="33" t="n">
        <f aca="false">E165-E166</f>
        <v>52.2</v>
      </c>
      <c r="G166" s="33" t="n">
        <v>3.77</v>
      </c>
      <c r="H166" s="33" t="n">
        <f aca="false">G166-G165</f>
        <v>-0.77</v>
      </c>
      <c r="I166" s="33" t="n">
        <v>53</v>
      </c>
      <c r="J166" s="33" t="n">
        <f aca="false">I165-I166</f>
        <v>14</v>
      </c>
      <c r="K166" s="1" t="s">
        <v>28</v>
      </c>
      <c r="L166" s="1" t="n">
        <f aca="false">MAX($C$153:$C$182)</f>
        <v>16052</v>
      </c>
      <c r="M166" s="1" t="n">
        <f aca="false">MAX($E$153:$E$182)</f>
        <v>757.8</v>
      </c>
      <c r="N166" s="1" t="n">
        <f aca="false">MAX($G$153:$G$182)</f>
        <v>11.56</v>
      </c>
      <c r="O166" s="1" t="n">
        <f aca="false">MAX($I$153:$I$182)</f>
        <v>187</v>
      </c>
    </row>
    <row r="167" customFormat="false" ht="13.8" hidden="false" customHeight="false" outlineLevel="0" collapsed="false">
      <c r="A167" s="1" t="n">
        <v>166</v>
      </c>
      <c r="B167" s="32" t="n">
        <v>44727</v>
      </c>
      <c r="C167" s="33" t="n">
        <v>9032</v>
      </c>
      <c r="D167" s="33" t="n">
        <f aca="false">C166-C167</f>
        <v>-3792</v>
      </c>
      <c r="E167" s="33" t="n">
        <v>403.2</v>
      </c>
      <c r="F167" s="33" t="n">
        <f aca="false">E166-E167</f>
        <v>-169.8</v>
      </c>
      <c r="G167" s="33" t="n">
        <v>6.5</v>
      </c>
      <c r="H167" s="33" t="n">
        <f aca="false">G167-G166</f>
        <v>2.73</v>
      </c>
      <c r="I167" s="33" t="n">
        <v>93</v>
      </c>
      <c r="J167" s="33" t="n">
        <f aca="false">I166-I167</f>
        <v>-40</v>
      </c>
      <c r="K167" s="1" t="s">
        <v>30</v>
      </c>
      <c r="L167" s="1" t="n">
        <f aca="false">SUM($C$153:$C$182)</f>
        <v>228092</v>
      </c>
      <c r="M167" s="1" t="n">
        <f aca="false">SUM($E$153:$E$182)</f>
        <v>10445</v>
      </c>
      <c r="N167" s="1" t="n">
        <f aca="false">SUM($G$153:$G$182)</f>
        <v>164.22</v>
      </c>
      <c r="O167" s="1" t="n">
        <f aca="false">SUM($I$153:$I$182)</f>
        <v>2482</v>
      </c>
    </row>
    <row r="168" customFormat="false" ht="13.8" hidden="false" customHeight="false" outlineLevel="0" collapsed="false">
      <c r="A168" s="33" t="n">
        <v>167</v>
      </c>
      <c r="B168" s="32" t="n">
        <v>44728</v>
      </c>
      <c r="C168" s="33" t="n">
        <v>8124</v>
      </c>
      <c r="D168" s="33" t="n">
        <f aca="false">C167-C168</f>
        <v>908</v>
      </c>
      <c r="E168" s="33" t="n">
        <v>359.4</v>
      </c>
      <c r="F168" s="33" t="n">
        <f aca="false">E167-E168</f>
        <v>43.8</v>
      </c>
      <c r="G168" s="33" t="n">
        <v>5.85</v>
      </c>
      <c r="H168" s="33" t="n">
        <f aca="false">G168-G167</f>
        <v>-0.65</v>
      </c>
      <c r="I168" s="33" t="n">
        <v>81</v>
      </c>
      <c r="J168" s="33" t="n">
        <f aca="false">I167-I168</f>
        <v>12</v>
      </c>
      <c r="K168" s="1" t="s">
        <v>32</v>
      </c>
      <c r="L168" s="1" t="n">
        <f aca="false">COUNT($C$153:$C$182)</f>
        <v>30</v>
      </c>
      <c r="M168" s="1" t="n">
        <f aca="false">COUNT($E$153:$E$182)</f>
        <v>30</v>
      </c>
      <c r="N168" s="1" t="n">
        <f aca="false">COUNT($G$153:$G$182)</f>
        <v>30</v>
      </c>
      <c r="O168" s="1" t="n">
        <f aca="false">COUNT($I$153:$I$182)</f>
        <v>30</v>
      </c>
    </row>
    <row r="169" customFormat="false" ht="13.8" hidden="false" customHeight="false" outlineLevel="0" collapsed="false">
      <c r="A169" s="1" t="n">
        <v>168</v>
      </c>
      <c r="B169" s="32" t="n">
        <v>44729</v>
      </c>
      <c r="C169" s="33" t="n">
        <v>6548</v>
      </c>
      <c r="D169" s="33" t="n">
        <f aca="false">C168-C169</f>
        <v>1576</v>
      </c>
      <c r="E169" s="33" t="n">
        <v>299.8</v>
      </c>
      <c r="F169" s="33" t="n">
        <f aca="false">E168-E169</f>
        <v>59.6</v>
      </c>
      <c r="G169" s="33" t="n">
        <v>4.71</v>
      </c>
      <c r="H169" s="33" t="n">
        <f aca="false">G169-G168</f>
        <v>-1.14</v>
      </c>
      <c r="I169" s="33" t="n">
        <v>71</v>
      </c>
      <c r="J169" s="33" t="n">
        <f aca="false">I168-I169</f>
        <v>10</v>
      </c>
    </row>
    <row r="170" customFormat="false" ht="13.8" hidden="false" customHeight="false" outlineLevel="0" collapsed="false">
      <c r="A170" s="33" t="n">
        <v>169</v>
      </c>
      <c r="B170" s="32" t="n">
        <v>44730</v>
      </c>
      <c r="C170" s="33" t="n">
        <v>9771</v>
      </c>
      <c r="D170" s="33" t="n">
        <f aca="false">C169-C170</f>
        <v>-3223</v>
      </c>
      <c r="E170" s="33" t="n">
        <v>474</v>
      </c>
      <c r="F170" s="33" t="n">
        <f aca="false">E169-E170</f>
        <v>-174.2</v>
      </c>
      <c r="G170" s="33" t="n">
        <v>7.04</v>
      </c>
      <c r="H170" s="33" t="n">
        <f aca="false">G170-G169</f>
        <v>2.33</v>
      </c>
      <c r="I170" s="33" t="n">
        <v>121</v>
      </c>
      <c r="J170" s="33" t="n">
        <f aca="false">I169-I170</f>
        <v>-50</v>
      </c>
    </row>
    <row r="171" customFormat="false" ht="13.8" hidden="false" customHeight="false" outlineLevel="0" collapsed="false">
      <c r="A171" s="1" t="n">
        <v>170</v>
      </c>
      <c r="B171" s="32" t="n">
        <v>44731</v>
      </c>
      <c r="C171" s="33" t="n">
        <v>4205</v>
      </c>
      <c r="D171" s="33" t="n">
        <f aca="false">C170-C171</f>
        <v>5566</v>
      </c>
      <c r="E171" s="33" t="n">
        <v>205.9</v>
      </c>
      <c r="F171" s="33" t="n">
        <f aca="false">E170-E171</f>
        <v>268.1</v>
      </c>
      <c r="G171" s="33" t="n">
        <v>3.03</v>
      </c>
      <c r="H171" s="33" t="n">
        <f aca="false">G171-G170</f>
        <v>-4.01</v>
      </c>
      <c r="I171" s="33" t="n">
        <v>53</v>
      </c>
      <c r="J171" s="33" t="n">
        <f aca="false">I170-I171</f>
        <v>68</v>
      </c>
    </row>
    <row r="172" customFormat="false" ht="13.8" hidden="false" customHeight="false" outlineLevel="0" collapsed="false">
      <c r="A172" s="33" t="n">
        <v>171</v>
      </c>
      <c r="B172" s="32" t="n">
        <v>44732</v>
      </c>
      <c r="C172" s="33" t="n">
        <v>8074</v>
      </c>
      <c r="D172" s="33" t="n">
        <f aca="false">C171-C172</f>
        <v>-3869</v>
      </c>
      <c r="E172" s="33" t="n">
        <v>369.6</v>
      </c>
      <c r="F172" s="33" t="n">
        <f aca="false">E171-E172</f>
        <v>-163.7</v>
      </c>
      <c r="G172" s="33" t="n">
        <v>5.81</v>
      </c>
      <c r="H172" s="33" t="n">
        <f aca="false">G172-G171</f>
        <v>2.78</v>
      </c>
      <c r="I172" s="33" t="n">
        <v>88</v>
      </c>
      <c r="J172" s="33" t="n">
        <f aca="false">I171-I172</f>
        <v>-35</v>
      </c>
    </row>
    <row r="173" customFormat="false" ht="13.8" hidden="false" customHeight="false" outlineLevel="0" collapsed="false">
      <c r="A173" s="1" t="n">
        <v>172</v>
      </c>
      <c r="B173" s="32" t="n">
        <v>44733</v>
      </c>
      <c r="C173" s="33" t="n">
        <v>8542</v>
      </c>
      <c r="D173" s="33" t="n">
        <f aca="false">C172-C173</f>
        <v>-468</v>
      </c>
      <c r="E173" s="33" t="n">
        <v>389.7</v>
      </c>
      <c r="F173" s="33" t="n">
        <f aca="false">E172-E173</f>
        <v>-20.1</v>
      </c>
      <c r="G173" s="33" t="n">
        <v>6.15</v>
      </c>
      <c r="H173" s="33" t="n">
        <f aca="false">G173-G172</f>
        <v>0.340000000000001</v>
      </c>
      <c r="I173" s="33" t="n">
        <v>93</v>
      </c>
      <c r="J173" s="33" t="n">
        <f aca="false">I172-I173</f>
        <v>-5</v>
      </c>
    </row>
    <row r="174" customFormat="false" ht="13.8" hidden="false" customHeight="false" outlineLevel="0" collapsed="false">
      <c r="A174" s="33" t="n">
        <v>173</v>
      </c>
      <c r="B174" s="32" t="n">
        <v>44734</v>
      </c>
      <c r="C174" s="33" t="n">
        <v>10886</v>
      </c>
      <c r="D174" s="33" t="n">
        <f aca="false">C173-C174</f>
        <v>-2344</v>
      </c>
      <c r="E174" s="33" t="n">
        <v>493.2</v>
      </c>
      <c r="F174" s="33" t="n">
        <f aca="false">E173-E174</f>
        <v>-103.5</v>
      </c>
      <c r="G174" s="33" t="n">
        <v>7.84</v>
      </c>
      <c r="H174" s="33" t="n">
        <f aca="false">G174-G173</f>
        <v>1.69</v>
      </c>
      <c r="I174" s="33" t="n">
        <v>116</v>
      </c>
      <c r="J174" s="33" t="n">
        <f aca="false">I173-I174</f>
        <v>-23</v>
      </c>
    </row>
    <row r="175" customFormat="false" ht="13.8" hidden="false" customHeight="false" outlineLevel="0" collapsed="false">
      <c r="A175" s="1" t="n">
        <v>174</v>
      </c>
      <c r="B175" s="32" t="n">
        <v>44735</v>
      </c>
      <c r="C175" s="33" t="n">
        <v>10204</v>
      </c>
      <c r="D175" s="33" t="n">
        <f aca="false">C174-C175</f>
        <v>682</v>
      </c>
      <c r="E175" s="33" t="n">
        <v>459.9</v>
      </c>
      <c r="F175" s="33" t="n">
        <f aca="false">E174-E175</f>
        <v>33.3</v>
      </c>
      <c r="G175" s="33" t="n">
        <v>7.35</v>
      </c>
      <c r="H175" s="33" t="n">
        <f aca="false">G175-G174</f>
        <v>-0.49</v>
      </c>
      <c r="I175" s="33" t="n">
        <v>108</v>
      </c>
      <c r="J175" s="33" t="n">
        <f aca="false">I174-I175</f>
        <v>8</v>
      </c>
    </row>
    <row r="176" customFormat="false" ht="13.8" hidden="false" customHeight="false" outlineLevel="0" collapsed="false">
      <c r="A176" s="33" t="n">
        <v>175</v>
      </c>
      <c r="B176" s="32" t="n">
        <v>44736</v>
      </c>
      <c r="C176" s="33" t="n">
        <v>5170</v>
      </c>
      <c r="D176" s="33" t="n">
        <f aca="false">C175-C176</f>
        <v>5034</v>
      </c>
      <c r="E176" s="33" t="n">
        <v>242.1</v>
      </c>
      <c r="F176" s="33" t="n">
        <f aca="false">E175-E176</f>
        <v>217.8</v>
      </c>
      <c r="G176" s="33" t="n">
        <v>3.72</v>
      </c>
      <c r="H176" s="33" t="n">
        <f aca="false">G176-G175</f>
        <v>-3.63</v>
      </c>
      <c r="I176" s="33" t="n">
        <v>59</v>
      </c>
      <c r="J176" s="33" t="n">
        <f aca="false">I175-I176</f>
        <v>49</v>
      </c>
    </row>
    <row r="177" customFormat="false" ht="13.8" hidden="false" customHeight="false" outlineLevel="0" collapsed="false">
      <c r="A177" s="1" t="n">
        <v>176</v>
      </c>
      <c r="B177" s="32" t="n">
        <v>44737</v>
      </c>
      <c r="C177" s="33" t="n">
        <v>5697</v>
      </c>
      <c r="D177" s="33" t="n">
        <f aca="false">C176-C177</f>
        <v>-527</v>
      </c>
      <c r="E177" s="33" t="n">
        <v>268.3</v>
      </c>
      <c r="F177" s="33" t="n">
        <f aca="false">E176-E177</f>
        <v>-26.2</v>
      </c>
      <c r="G177" s="33" t="n">
        <v>4.1</v>
      </c>
      <c r="H177" s="33" t="n">
        <f aca="false">G177-G176</f>
        <v>0.379999999999999</v>
      </c>
      <c r="I177" s="33" t="n">
        <v>66</v>
      </c>
      <c r="J177" s="33" t="n">
        <f aca="false">I176-I177</f>
        <v>-7</v>
      </c>
    </row>
    <row r="178" customFormat="false" ht="13.8" hidden="false" customHeight="false" outlineLevel="0" collapsed="false">
      <c r="A178" s="33" t="n">
        <v>177</v>
      </c>
      <c r="B178" s="32" t="n">
        <v>44738</v>
      </c>
      <c r="C178" s="33" t="n">
        <v>7691</v>
      </c>
      <c r="D178" s="33" t="n">
        <f aca="false">C177-C178</f>
        <v>-1994</v>
      </c>
      <c r="E178" s="33" t="n">
        <v>335.3</v>
      </c>
      <c r="F178" s="33" t="n">
        <f aca="false">E177-E178</f>
        <v>-67</v>
      </c>
      <c r="G178" s="33" t="n">
        <v>5.54</v>
      </c>
      <c r="H178" s="33" t="n">
        <f aca="false">G178-G177</f>
        <v>1.44</v>
      </c>
      <c r="I178" s="33" t="n">
        <v>73</v>
      </c>
      <c r="J178" s="33" t="n">
        <f aca="false">I177-I178</f>
        <v>-7</v>
      </c>
    </row>
    <row r="179" customFormat="false" ht="13.8" hidden="false" customHeight="false" outlineLevel="0" collapsed="false">
      <c r="A179" s="1" t="n">
        <v>178</v>
      </c>
      <c r="B179" s="32" t="n">
        <v>44739</v>
      </c>
      <c r="C179" s="33" t="n">
        <v>11829</v>
      </c>
      <c r="D179" s="33" t="n">
        <f aca="false">C178-C179</f>
        <v>-4138</v>
      </c>
      <c r="E179" s="33" t="n">
        <v>544.1</v>
      </c>
      <c r="F179" s="33" t="n">
        <f aca="false">E178-E179</f>
        <v>-208.8</v>
      </c>
      <c r="G179" s="33" t="n">
        <v>8.52</v>
      </c>
      <c r="H179" s="33" t="n">
        <f aca="false">G179-G178</f>
        <v>2.98</v>
      </c>
      <c r="I179" s="33" t="n">
        <v>131</v>
      </c>
      <c r="J179" s="33" t="n">
        <f aca="false">I178-I179</f>
        <v>-58</v>
      </c>
    </row>
    <row r="180" customFormat="false" ht="13.8" hidden="false" customHeight="false" outlineLevel="0" collapsed="false">
      <c r="A180" s="33" t="n">
        <v>179</v>
      </c>
      <c r="B180" s="32" t="n">
        <v>44740</v>
      </c>
      <c r="C180" s="33" t="n">
        <v>10087</v>
      </c>
      <c r="D180" s="33" t="n">
        <f aca="false">C179-C180</f>
        <v>1742</v>
      </c>
      <c r="E180" s="33" t="n">
        <v>490.3</v>
      </c>
      <c r="F180" s="33" t="n">
        <f aca="false">E179-E180</f>
        <v>53.8</v>
      </c>
      <c r="G180" s="33" t="n">
        <v>7.26</v>
      </c>
      <c r="H180" s="33" t="n">
        <f aca="false">G180-G179</f>
        <v>-1.26</v>
      </c>
      <c r="I180" s="33" t="n">
        <v>124</v>
      </c>
      <c r="J180" s="33" t="n">
        <f aca="false">I179-I180</f>
        <v>7</v>
      </c>
    </row>
    <row r="181" customFormat="false" ht="13.8" hidden="false" customHeight="false" outlineLevel="0" collapsed="false">
      <c r="A181" s="1" t="n">
        <v>180</v>
      </c>
      <c r="B181" s="32" t="n">
        <v>44741</v>
      </c>
      <c r="C181" s="33" t="n">
        <v>7080</v>
      </c>
      <c r="D181" s="33" t="n">
        <f aca="false">C180-C181</f>
        <v>3007</v>
      </c>
      <c r="E181" s="33" t="n">
        <v>324.9</v>
      </c>
      <c r="F181" s="33" t="n">
        <f aca="false">E180-E181</f>
        <v>165.4</v>
      </c>
      <c r="G181" s="33" t="n">
        <v>5.1</v>
      </c>
      <c r="H181" s="33" t="n">
        <f aca="false">G181-G180</f>
        <v>-2.16</v>
      </c>
      <c r="I181" s="33" t="n">
        <v>78</v>
      </c>
      <c r="J181" s="33" t="n">
        <f aca="false">I180-I181</f>
        <v>46</v>
      </c>
    </row>
    <row r="182" customFormat="false" ht="13.8" hidden="false" customHeight="false" outlineLevel="0" collapsed="false">
      <c r="A182" s="33" t="n">
        <v>181</v>
      </c>
      <c r="B182" s="32" t="n">
        <v>44742</v>
      </c>
      <c r="C182" s="33" t="n">
        <v>7086</v>
      </c>
      <c r="D182" s="33" t="n">
        <f aca="false">C181-C182</f>
        <v>-6</v>
      </c>
      <c r="E182" s="33" t="n">
        <v>310.9</v>
      </c>
      <c r="F182" s="33" t="n">
        <f aca="false">E181-E182</f>
        <v>14</v>
      </c>
      <c r="G182" s="33" t="n">
        <v>5.1</v>
      </c>
      <c r="H182" s="33" t="n">
        <f aca="false">G182-G181</f>
        <v>0</v>
      </c>
      <c r="I182" s="33" t="n">
        <v>69</v>
      </c>
      <c r="J182" s="33" t="n">
        <f aca="false">I181-I182</f>
        <v>9</v>
      </c>
    </row>
    <row r="183" customFormat="false" ht="13.8" hidden="false" customHeight="false" outlineLevel="0" collapsed="false">
      <c r="A183" s="1" t="n">
        <v>182</v>
      </c>
      <c r="B183" s="32" t="n">
        <v>44743</v>
      </c>
      <c r="C183" s="33" t="n">
        <v>6990</v>
      </c>
      <c r="D183" s="33" t="n">
        <f aca="false">C182-C183</f>
        <v>96</v>
      </c>
      <c r="E183" s="33" t="n">
        <v>307.2</v>
      </c>
      <c r="F183" s="33" t="n">
        <f aca="false">E182-E183</f>
        <v>3.69999999999999</v>
      </c>
      <c r="G183" s="33" t="n">
        <v>5.03</v>
      </c>
      <c r="H183" s="33" t="n">
        <f aca="false">G183-G182</f>
        <v>-0.0699999999999994</v>
      </c>
      <c r="I183" s="33" t="n">
        <v>69</v>
      </c>
      <c r="J183" s="33" t="n">
        <f aca="false">I182-I183</f>
        <v>0</v>
      </c>
      <c r="L183" s="1" t="s">
        <v>2</v>
      </c>
      <c r="M183" s="1" t="s">
        <v>179</v>
      </c>
      <c r="N183" s="1" t="s">
        <v>175</v>
      </c>
      <c r="O183" s="1" t="s">
        <v>177</v>
      </c>
    </row>
    <row r="184" customFormat="false" ht="13.8" hidden="false" customHeight="false" outlineLevel="0" collapsed="false">
      <c r="A184" s="33" t="n">
        <v>183</v>
      </c>
      <c r="B184" s="32" t="n">
        <v>44744</v>
      </c>
      <c r="C184" s="33" t="n">
        <v>7879</v>
      </c>
      <c r="D184" s="33" t="n">
        <f aca="false">C183-C184</f>
        <v>-889</v>
      </c>
      <c r="E184" s="33" t="n">
        <v>353.1</v>
      </c>
      <c r="F184" s="33" t="n">
        <f aca="false">E183-E184</f>
        <v>-45.9</v>
      </c>
      <c r="G184" s="33" t="n">
        <v>5.67</v>
      </c>
      <c r="H184" s="33" t="n">
        <f aca="false">G184-G183</f>
        <v>0.64</v>
      </c>
      <c r="I184" s="33" t="n">
        <v>82</v>
      </c>
      <c r="J184" s="33" t="n">
        <f aca="false">I183-I184</f>
        <v>-13</v>
      </c>
      <c r="K184" s="1" t="s">
        <v>8</v>
      </c>
      <c r="L184" s="1" t="n">
        <f aca="false">AVERAGE($C$183:$C$213)</f>
        <v>7782.74193548387</v>
      </c>
      <c r="M184" s="1" t="n">
        <f aca="false">AVERAGE($E$183:$E$213)</f>
        <v>355.4</v>
      </c>
      <c r="N184" s="1" t="n">
        <f aca="false">AVERAGE($G$183:$G$213)</f>
        <v>5.60387096774194</v>
      </c>
      <c r="O184" s="1" t="n">
        <f aca="false">AVERAGE($I$183:$I$213)</f>
        <v>83.9032258064516</v>
      </c>
    </row>
    <row r="185" customFormat="false" ht="13.8" hidden="false" customHeight="false" outlineLevel="0" collapsed="false">
      <c r="A185" s="1" t="n">
        <v>184</v>
      </c>
      <c r="B185" s="32" t="n">
        <v>44745</v>
      </c>
      <c r="C185" s="33" t="n">
        <v>18807</v>
      </c>
      <c r="D185" s="33" t="n">
        <f aca="false">C184-C185</f>
        <v>-10928</v>
      </c>
      <c r="E185" s="33" t="n">
        <v>831.3</v>
      </c>
      <c r="F185" s="33" t="n">
        <f aca="false">E184-E185</f>
        <v>-478.2</v>
      </c>
      <c r="G185" s="33" t="n">
        <v>13.54</v>
      </c>
      <c r="H185" s="33" t="n">
        <f aca="false">G185-G184</f>
        <v>7.87</v>
      </c>
      <c r="I185" s="33" t="n">
        <v>182</v>
      </c>
      <c r="J185" s="33" t="n">
        <f aca="false">I184-I185</f>
        <v>-100</v>
      </c>
      <c r="K185" s="1" t="s">
        <v>10</v>
      </c>
      <c r="L185" s="1" t="n">
        <f aca="false">SQRT(VAR($C$183:$C$213)/COUNT($C$183:$C$213))</f>
        <v>646.59269220124</v>
      </c>
      <c r="M185" s="1" t="n">
        <f aca="false">SQRT(VAR($E$183:$E$213)/COUNT($E$183:$E$213))</f>
        <v>29.3530354166659</v>
      </c>
      <c r="N185" s="1" t="n">
        <f aca="false">SQRT(VAR($G$183:$G$213)/COUNT($G$183:$G$213))</f>
        <v>0.465408983610832</v>
      </c>
      <c r="O185" s="1" t="n">
        <f aca="false">SQRT(VAR($I$183:$I$213)/COUNT($I$183:$I$213))</f>
        <v>6.86542762159304</v>
      </c>
    </row>
    <row r="186" customFormat="false" ht="13.8" hidden="false" customHeight="false" outlineLevel="0" collapsed="false">
      <c r="A186" s="33" t="n">
        <v>185</v>
      </c>
      <c r="B186" s="32" t="n">
        <v>44746</v>
      </c>
      <c r="C186" s="33" t="n">
        <v>9418</v>
      </c>
      <c r="D186" s="33" t="n">
        <f aca="false">C185-C186</f>
        <v>9389</v>
      </c>
      <c r="E186" s="33" t="n">
        <v>435.4</v>
      </c>
      <c r="F186" s="33" t="n">
        <f aca="false">E185-E186</f>
        <v>395.9</v>
      </c>
      <c r="G186" s="33" t="n">
        <v>6.78</v>
      </c>
      <c r="H186" s="33" t="n">
        <f aca="false">G186-G185</f>
        <v>-6.76</v>
      </c>
      <c r="I186" s="33" t="n">
        <v>104</v>
      </c>
      <c r="J186" s="33" t="n">
        <f aca="false">I185-I186</f>
        <v>78</v>
      </c>
      <c r="K186" s="1" t="s">
        <v>14</v>
      </c>
      <c r="L186" s="1" t="e">
        <f aca="false">MODE($C$183:$C$213)</f>
        <v>#VALUE!</v>
      </c>
      <c r="M186" s="1" t="e">
        <f aca="false">MODE($E$183:$E$213)</f>
        <v>#VALUE!</v>
      </c>
      <c r="N186" s="1" t="n">
        <f aca="false">MODE($G$183:$G$213)</f>
        <v>5.08</v>
      </c>
      <c r="O186" s="1" t="n">
        <f aca="false">MODE($I$183:$I$213)</f>
        <v>66</v>
      </c>
    </row>
    <row r="187" customFormat="false" ht="13.8" hidden="false" customHeight="false" outlineLevel="0" collapsed="false">
      <c r="A187" s="1" t="n">
        <v>186</v>
      </c>
      <c r="B187" s="32" t="n">
        <v>44747</v>
      </c>
      <c r="C187" s="33" t="n">
        <v>10137</v>
      </c>
      <c r="D187" s="33" t="n">
        <f aca="false">C186-C187</f>
        <v>-719</v>
      </c>
      <c r="E187" s="33" t="n">
        <v>451.7</v>
      </c>
      <c r="F187" s="33" t="n">
        <f aca="false">E186-E187</f>
        <v>-16.3</v>
      </c>
      <c r="G187" s="33" t="n">
        <v>7.3</v>
      </c>
      <c r="H187" s="33" t="n">
        <f aca="false">G187-G186</f>
        <v>0.52</v>
      </c>
      <c r="I187" s="33" t="n">
        <v>104</v>
      </c>
      <c r="J187" s="33" t="n">
        <f aca="false">I186-I187</f>
        <v>0</v>
      </c>
      <c r="K187" s="1" t="s">
        <v>12</v>
      </c>
      <c r="L187" s="1" t="n">
        <f aca="false">MEDIAN($C$183:$C$213)</f>
        <v>7258</v>
      </c>
      <c r="M187" s="1" t="n">
        <f aca="false">MEDIAN($E$183:$E$213)</f>
        <v>331.3</v>
      </c>
      <c r="N187" s="1" t="n">
        <f aca="false">MEDIAN($G$183:$G$213)</f>
        <v>5.23</v>
      </c>
      <c r="O187" s="1" t="n">
        <f aca="false">MEDIAN($I$183:$I$213)</f>
        <v>78</v>
      </c>
    </row>
    <row r="188" customFormat="false" ht="13.8" hidden="false" customHeight="false" outlineLevel="0" collapsed="false">
      <c r="A188" s="33" t="n">
        <v>187</v>
      </c>
      <c r="B188" s="32" t="n">
        <v>44748</v>
      </c>
      <c r="C188" s="33" t="n">
        <v>7477</v>
      </c>
      <c r="D188" s="33" t="n">
        <f aca="false">C187-C188</f>
        <v>2660</v>
      </c>
      <c r="E188" s="33" t="n">
        <v>334.1</v>
      </c>
      <c r="F188" s="33" t="n">
        <f aca="false">E187-E188</f>
        <v>117.6</v>
      </c>
      <c r="G188" s="33" t="n">
        <v>5.38</v>
      </c>
      <c r="H188" s="33" t="n">
        <f aca="false">G188-G187</f>
        <v>-1.92</v>
      </c>
      <c r="I188" s="33" t="n">
        <v>77</v>
      </c>
      <c r="J188" s="33" t="n">
        <f aca="false">I187-I188</f>
        <v>27</v>
      </c>
      <c r="K188" s="1" t="s">
        <v>195</v>
      </c>
      <c r="L188" s="1" t="n">
        <f aca="false">QUARTILE($C$183:$C$213, 1)</f>
        <v>6495</v>
      </c>
      <c r="M188" s="1" t="n">
        <f aca="false">QUARTILE($E$183:$E$213, 1)</f>
        <v>299.95</v>
      </c>
      <c r="N188" s="1" t="n">
        <f aca="false">QUARTILE($G$183:$G$213, 1)</f>
        <v>4.675</v>
      </c>
      <c r="O188" s="1" t="n">
        <f aca="false">QUARTILE($I$183:$I$213, 1)</f>
        <v>70.5</v>
      </c>
    </row>
    <row r="189" customFormat="false" ht="13.8" hidden="false" customHeight="false" outlineLevel="0" collapsed="false">
      <c r="A189" s="1" t="n">
        <v>188</v>
      </c>
      <c r="B189" s="32" t="n">
        <v>44749</v>
      </c>
      <c r="C189" s="33" t="n">
        <v>10425</v>
      </c>
      <c r="D189" s="33" t="n">
        <f aca="false">C188-C189</f>
        <v>-2948</v>
      </c>
      <c r="E189" s="33" t="n">
        <v>466.2</v>
      </c>
      <c r="F189" s="33" t="n">
        <f aca="false">E188-E189</f>
        <v>-132.1</v>
      </c>
      <c r="G189" s="33" t="n">
        <v>7.51</v>
      </c>
      <c r="H189" s="33" t="n">
        <f aca="false">G189-G188</f>
        <v>2.13</v>
      </c>
      <c r="I189" s="33" t="n">
        <v>108</v>
      </c>
      <c r="J189" s="33" t="n">
        <f aca="false">I188-I189</f>
        <v>-31</v>
      </c>
      <c r="K189" s="1" t="s">
        <v>181</v>
      </c>
      <c r="L189" s="1" t="n">
        <f aca="false">QUARTILE($C$183:$C$213, 3)</f>
        <v>9004.5</v>
      </c>
      <c r="M189" s="1" t="n">
        <f aca="false">QUARTILE($E$183:$E$213, 3)</f>
        <v>411.45</v>
      </c>
      <c r="N189" s="1" t="n">
        <f aca="false">QUARTILE($G$183:$G$213, 3)</f>
        <v>6.485</v>
      </c>
      <c r="O189" s="1" t="n">
        <f aca="false">QUARTILE($I$183:$I$213, 3)</f>
        <v>98</v>
      </c>
    </row>
    <row r="190" customFormat="false" ht="13.8" hidden="false" customHeight="false" outlineLevel="0" collapsed="false">
      <c r="A190" s="33" t="n">
        <v>189</v>
      </c>
      <c r="B190" s="32" t="n">
        <v>44750</v>
      </c>
      <c r="C190" s="33" t="n">
        <v>3844</v>
      </c>
      <c r="D190" s="33" t="n">
        <f aca="false">C189-C190</f>
        <v>6581</v>
      </c>
      <c r="E190" s="33" t="n">
        <v>186.3</v>
      </c>
      <c r="F190" s="33" t="n">
        <f aca="false">E189-E190</f>
        <v>279.9</v>
      </c>
      <c r="G190" s="33" t="n">
        <v>2.77</v>
      </c>
      <c r="H190" s="33" t="n">
        <f aca="false">G190-G189</f>
        <v>-4.74</v>
      </c>
      <c r="I190" s="33" t="n">
        <v>47</v>
      </c>
      <c r="J190" s="33" t="n">
        <f aca="false">I189-I190</f>
        <v>61</v>
      </c>
      <c r="K190" s="1" t="s">
        <v>182</v>
      </c>
      <c r="L190" s="1" t="n">
        <f aca="false">VAR($C$183:$C$213)</f>
        <v>12960545.3978495</v>
      </c>
      <c r="M190" s="1" t="n">
        <f aca="false">VAR($E$183:$E$213)</f>
        <v>26709.6213333333</v>
      </c>
      <c r="N190" s="1" t="n">
        <f aca="false">VAR($G$183:$G$213)</f>
        <v>6.7147711827957</v>
      </c>
      <c r="O190" s="1" t="n">
        <f aca="false">VAR($I$183:$I$213)</f>
        <v>1461.15698924731</v>
      </c>
    </row>
    <row r="191" customFormat="false" ht="13.8" hidden="false" customHeight="false" outlineLevel="0" collapsed="false">
      <c r="A191" s="1" t="n">
        <v>190</v>
      </c>
      <c r="B191" s="32" t="n">
        <v>44751</v>
      </c>
      <c r="C191" s="33" t="n">
        <v>785</v>
      </c>
      <c r="D191" s="33" t="n">
        <f aca="false">C190-C191</f>
        <v>3059</v>
      </c>
      <c r="E191" s="33" t="n">
        <v>36.6</v>
      </c>
      <c r="F191" s="33" t="n">
        <f aca="false">E190-E191</f>
        <v>149.7</v>
      </c>
      <c r="G191" s="33" t="n">
        <v>0.57</v>
      </c>
      <c r="H191" s="33" t="n">
        <f aca="false">G191-G190</f>
        <v>-2.2</v>
      </c>
      <c r="I191" s="33" t="n">
        <v>9</v>
      </c>
      <c r="J191" s="33" t="n">
        <f aca="false">I190-I191</f>
        <v>38</v>
      </c>
      <c r="K191" s="1" t="s">
        <v>16</v>
      </c>
      <c r="L191" s="1" t="n">
        <f aca="false">STDEV($C$183:$C$213)</f>
        <v>3600.07574890439</v>
      </c>
      <c r="M191" s="1" t="n">
        <f aca="false">STDEV($E$183:$E$213)</f>
        <v>163.4307845338</v>
      </c>
      <c r="N191" s="1" t="n">
        <f aca="false">STDEV($G$183:$G$213)</f>
        <v>2.59128755308933</v>
      </c>
      <c r="O191" s="1" t="n">
        <f aca="false">STDEV($I$183:$I$213)</f>
        <v>38.2250832470946</v>
      </c>
    </row>
    <row r="192" customFormat="false" ht="13.8" hidden="false" customHeight="false" outlineLevel="0" collapsed="false">
      <c r="A192" s="33" t="n">
        <v>191</v>
      </c>
      <c r="B192" s="32" t="n">
        <v>44752</v>
      </c>
      <c r="C192" s="33" t="n">
        <v>4055</v>
      </c>
      <c r="D192" s="33" t="n">
        <f aca="false">C191-C192</f>
        <v>-3270</v>
      </c>
      <c r="E192" s="33" t="n">
        <v>196.2</v>
      </c>
      <c r="F192" s="33" t="n">
        <f aca="false">E191-E192</f>
        <v>-159.6</v>
      </c>
      <c r="G192" s="33" t="n">
        <v>2.92</v>
      </c>
      <c r="H192" s="33" t="n">
        <f aca="false">G192-G191</f>
        <v>2.35</v>
      </c>
      <c r="I192" s="33" t="n">
        <v>49</v>
      </c>
      <c r="J192" s="33" t="n">
        <f aca="false">I191-I192</f>
        <v>-40</v>
      </c>
      <c r="K192" s="1" t="s">
        <v>20</v>
      </c>
      <c r="L192" s="1" t="n">
        <f aca="false">KURT($C$183:$C$213)</f>
        <v>3.39919458371819</v>
      </c>
      <c r="M192" s="1" t="n">
        <f aca="false">KURT($E$183:$E$213)</f>
        <v>3.52270408398121</v>
      </c>
      <c r="N192" s="1" t="n">
        <f aca="false">KURT($G$183:$G$213)</f>
        <v>3.40019716350454</v>
      </c>
      <c r="O192" s="1" t="n">
        <f aca="false">KURT($I$183:$I$213)</f>
        <v>3.87993198040572</v>
      </c>
    </row>
    <row r="193" customFormat="false" ht="13.8" hidden="false" customHeight="false" outlineLevel="0" collapsed="false">
      <c r="A193" s="1" t="n">
        <v>192</v>
      </c>
      <c r="B193" s="32" t="n">
        <v>44753</v>
      </c>
      <c r="C193" s="33" t="n">
        <v>6749</v>
      </c>
      <c r="D193" s="33" t="n">
        <f aca="false">C192-C193</f>
        <v>-2694</v>
      </c>
      <c r="E193" s="33" t="n">
        <v>318.8</v>
      </c>
      <c r="F193" s="33" t="n">
        <f aca="false">E192-E193</f>
        <v>-122.6</v>
      </c>
      <c r="G193" s="33" t="n">
        <v>4.86</v>
      </c>
      <c r="H193" s="33" t="n">
        <f aca="false">G193-G192</f>
        <v>1.94</v>
      </c>
      <c r="I193" s="33" t="n">
        <v>79</v>
      </c>
      <c r="J193" s="33" t="n">
        <f aca="false">I192-I193</f>
        <v>-30</v>
      </c>
      <c r="K193" s="1" t="s">
        <v>22</v>
      </c>
      <c r="L193" s="1" t="n">
        <f aca="false">SKEW($C$183:$C$213)</f>
        <v>0.93100940198824</v>
      </c>
      <c r="M193" s="1" t="n">
        <f aca="false">SKEW($E$183:$E$213)</f>
        <v>0.982027425652933</v>
      </c>
      <c r="N193" s="1" t="n">
        <f aca="false">SKEW($G$183:$G$213)</f>
        <v>0.931956571222971</v>
      </c>
      <c r="O193" s="1" t="n">
        <f aca="false">SKEW($I$183:$I$213)</f>
        <v>1.01525126016204</v>
      </c>
    </row>
    <row r="194" customFormat="false" ht="13.8" hidden="false" customHeight="false" outlineLevel="0" collapsed="false">
      <c r="A194" s="33" t="n">
        <v>193</v>
      </c>
      <c r="B194" s="32" t="n">
        <v>44754</v>
      </c>
      <c r="C194" s="33" t="n">
        <v>9630</v>
      </c>
      <c r="D194" s="33" t="n">
        <f aca="false">C193-C194</f>
        <v>-2881</v>
      </c>
      <c r="E194" s="33" t="n">
        <v>451.6</v>
      </c>
      <c r="F194" s="33" t="n">
        <f aca="false">E193-E194</f>
        <v>-132.8</v>
      </c>
      <c r="G194" s="33" t="n">
        <v>6.93</v>
      </c>
      <c r="H194" s="33" t="n">
        <f aca="false">G194-G193</f>
        <v>2.07</v>
      </c>
      <c r="I194" s="33" t="n">
        <v>109</v>
      </c>
      <c r="J194" s="33" t="n">
        <f aca="false">I193-I194</f>
        <v>-30</v>
      </c>
      <c r="K194" s="1" t="s">
        <v>24</v>
      </c>
      <c r="L194" s="1" t="n">
        <f aca="false">MAX($C$183:$C$213)-MIN($C$183:$C$213)</f>
        <v>18656</v>
      </c>
      <c r="M194" s="1" t="n">
        <f aca="false">MAX($E$183:$E$213)-MIN($E$183:$E$213)</f>
        <v>823.8</v>
      </c>
      <c r="N194" s="1" t="n">
        <f aca="false">MAX($G$183:$G$213)-MIN($G$183:$G$213)</f>
        <v>13.43</v>
      </c>
      <c r="O194" s="1" t="n">
        <f aca="false">MAX($I$183:$I$213)-MIN($I$183:$I$213)</f>
        <v>202</v>
      </c>
    </row>
    <row r="195" customFormat="false" ht="13.8" hidden="false" customHeight="false" outlineLevel="0" collapsed="false">
      <c r="A195" s="1" t="n">
        <v>194</v>
      </c>
      <c r="B195" s="32" t="n">
        <v>44755</v>
      </c>
      <c r="C195" s="33" t="n">
        <v>7239</v>
      </c>
      <c r="D195" s="33" t="n">
        <f aca="false">C194-C195</f>
        <v>2391</v>
      </c>
      <c r="E195" s="33" t="n">
        <v>325.2</v>
      </c>
      <c r="F195" s="33" t="n">
        <f aca="false">E194-E195</f>
        <v>126.4</v>
      </c>
      <c r="G195" s="33" t="n">
        <v>5.21</v>
      </c>
      <c r="H195" s="33" t="n">
        <f aca="false">G195-G194</f>
        <v>-1.72</v>
      </c>
      <c r="I195" s="33" t="n">
        <v>76</v>
      </c>
      <c r="J195" s="33" t="n">
        <f aca="false">I194-I195</f>
        <v>33</v>
      </c>
      <c r="K195" s="1" t="s">
        <v>26</v>
      </c>
      <c r="L195" s="1" t="n">
        <f aca="false">MIN($C$183:$C$213)</f>
        <v>151</v>
      </c>
      <c r="M195" s="1" t="n">
        <f aca="false">MIN($E$183:$E$213)</f>
        <v>7.5</v>
      </c>
      <c r="N195" s="1" t="n">
        <f aca="false">MIN($G$183:$G$213)</f>
        <v>0.11</v>
      </c>
      <c r="O195" s="1" t="n">
        <f aca="false">MIN($I$183:$I$213)</f>
        <v>1</v>
      </c>
    </row>
    <row r="196" customFormat="false" ht="13.8" hidden="false" customHeight="false" outlineLevel="0" collapsed="false">
      <c r="A196" s="33" t="n">
        <v>195</v>
      </c>
      <c r="B196" s="32" t="n">
        <v>44756</v>
      </c>
      <c r="C196" s="33" t="n">
        <v>8591</v>
      </c>
      <c r="D196" s="33" t="n">
        <f aca="false">C195-C196</f>
        <v>-1352</v>
      </c>
      <c r="E196" s="33" t="n">
        <v>387.5</v>
      </c>
      <c r="F196" s="33" t="n">
        <f aca="false">E195-E196</f>
        <v>-62.3</v>
      </c>
      <c r="G196" s="33" t="n">
        <v>6.19</v>
      </c>
      <c r="H196" s="33" t="n">
        <f aca="false">G196-G195</f>
        <v>0.98</v>
      </c>
      <c r="I196" s="33" t="n">
        <v>90</v>
      </c>
      <c r="J196" s="33" t="n">
        <f aca="false">I195-I196</f>
        <v>-14</v>
      </c>
      <c r="K196" s="1" t="s">
        <v>28</v>
      </c>
      <c r="L196" s="1" t="n">
        <f aca="false">MAX($C$183:$C$213)</f>
        <v>18807</v>
      </c>
      <c r="M196" s="1" t="n">
        <f aca="false">MAX($E$183:$E$213)</f>
        <v>831.3</v>
      </c>
      <c r="N196" s="1" t="n">
        <f aca="false">MAX($G$183:$G$213)</f>
        <v>13.54</v>
      </c>
      <c r="O196" s="1" t="n">
        <f aca="false">MAX($I$183:$I$213)</f>
        <v>203</v>
      </c>
    </row>
    <row r="197" customFormat="false" ht="13.8" hidden="false" customHeight="false" outlineLevel="0" collapsed="false">
      <c r="A197" s="1" t="n">
        <v>196</v>
      </c>
      <c r="B197" s="32" t="n">
        <v>44757</v>
      </c>
      <c r="C197" s="33" t="n">
        <v>6029</v>
      </c>
      <c r="D197" s="33" t="n">
        <f aca="false">C196-C197</f>
        <v>2562</v>
      </c>
      <c r="E197" s="33" t="n">
        <v>276.9</v>
      </c>
      <c r="F197" s="33" t="n">
        <f aca="false">E196-E197</f>
        <v>110.6</v>
      </c>
      <c r="G197" s="33" t="n">
        <v>4.34</v>
      </c>
      <c r="H197" s="33" t="n">
        <f aca="false">G197-G196</f>
        <v>-1.85</v>
      </c>
      <c r="I197" s="33" t="n">
        <v>66</v>
      </c>
      <c r="J197" s="33" t="n">
        <f aca="false">I196-I197</f>
        <v>24</v>
      </c>
      <c r="K197" s="1" t="s">
        <v>30</v>
      </c>
      <c r="L197" s="1" t="n">
        <f aca="false">SUM($C$183:$C$213)</f>
        <v>241265</v>
      </c>
      <c r="M197" s="1" t="n">
        <f aca="false">SUM($E$183:$E$213)</f>
        <v>11017.4</v>
      </c>
      <c r="N197" s="1" t="n">
        <f aca="false">SUM($G$183:$G$213)</f>
        <v>173.72</v>
      </c>
      <c r="O197" s="1" t="n">
        <f aca="false">SUM($I$183:$I$213)</f>
        <v>2601</v>
      </c>
    </row>
    <row r="198" customFormat="false" ht="13.8" hidden="false" customHeight="false" outlineLevel="0" collapsed="false">
      <c r="A198" s="33" t="n">
        <v>197</v>
      </c>
      <c r="B198" s="32" t="n">
        <v>44758</v>
      </c>
      <c r="C198" s="33" t="n">
        <v>151</v>
      </c>
      <c r="D198" s="33" t="n">
        <f aca="false">C197-C198</f>
        <v>5878</v>
      </c>
      <c r="E198" s="33" t="n">
        <v>7.5</v>
      </c>
      <c r="F198" s="33" t="n">
        <f aca="false">E197-E198</f>
        <v>269.4</v>
      </c>
      <c r="G198" s="33" t="n">
        <v>0.11</v>
      </c>
      <c r="H198" s="33" t="n">
        <f aca="false">G198-G197</f>
        <v>-4.23</v>
      </c>
      <c r="I198" s="33" t="n">
        <v>1</v>
      </c>
      <c r="J198" s="33" t="n">
        <f aca="false">I197-I198</f>
        <v>65</v>
      </c>
      <c r="K198" s="1" t="s">
        <v>32</v>
      </c>
      <c r="L198" s="1" t="n">
        <f aca="false">COUNT($C$183:$C$213)</f>
        <v>31</v>
      </c>
      <c r="M198" s="1" t="n">
        <f aca="false">COUNT($E$183:$E$213)</f>
        <v>31</v>
      </c>
      <c r="N198" s="1" t="n">
        <f aca="false">COUNT($G$183:$G$213)</f>
        <v>31</v>
      </c>
      <c r="O198" s="1" t="n">
        <f aca="false">COUNT($I$183:$I$213)</f>
        <v>31</v>
      </c>
    </row>
    <row r="199" customFormat="false" ht="13.8" hidden="false" customHeight="false" outlineLevel="0" collapsed="false">
      <c r="A199" s="1" t="n">
        <v>198</v>
      </c>
      <c r="B199" s="32" t="n">
        <v>44759</v>
      </c>
      <c r="C199" s="33" t="n">
        <v>6241</v>
      </c>
      <c r="D199" s="33" t="n">
        <f aca="false">C198-C199</f>
        <v>-6090</v>
      </c>
      <c r="E199" s="33" t="n">
        <v>292.7</v>
      </c>
      <c r="F199" s="33" t="n">
        <f aca="false">E198-E199</f>
        <v>-285.2</v>
      </c>
      <c r="G199" s="33" t="n">
        <v>4.49</v>
      </c>
      <c r="H199" s="33" t="n">
        <f aca="false">G199-G198</f>
        <v>4.38</v>
      </c>
      <c r="I199" s="33" t="n">
        <v>72</v>
      </c>
      <c r="J199" s="33" t="n">
        <f aca="false">I198-I199</f>
        <v>-71</v>
      </c>
    </row>
    <row r="200" customFormat="false" ht="13.8" hidden="false" customHeight="false" outlineLevel="0" collapsed="false">
      <c r="A200" s="33" t="n">
        <v>199</v>
      </c>
      <c r="B200" s="32" t="n">
        <v>44760</v>
      </c>
      <c r="C200" s="33" t="n">
        <v>7052</v>
      </c>
      <c r="D200" s="33" t="n">
        <f aca="false">C199-C200</f>
        <v>-811</v>
      </c>
      <c r="E200" s="33" t="n">
        <v>315.2</v>
      </c>
      <c r="F200" s="33" t="n">
        <f aca="false">E199-E200</f>
        <v>-22.5</v>
      </c>
      <c r="G200" s="33" t="n">
        <v>5.08</v>
      </c>
      <c r="H200" s="33" t="n">
        <f aca="false">G200-G199</f>
        <v>0.59</v>
      </c>
      <c r="I200" s="33" t="n">
        <v>73</v>
      </c>
      <c r="J200" s="33" t="n">
        <f aca="false">I199-I200</f>
        <v>-1</v>
      </c>
    </row>
    <row r="201" customFormat="false" ht="13.8" hidden="false" customHeight="false" outlineLevel="0" collapsed="false">
      <c r="A201" s="1" t="n">
        <v>200</v>
      </c>
      <c r="B201" s="32" t="n">
        <v>44761</v>
      </c>
      <c r="C201" s="33" t="n">
        <v>8339</v>
      </c>
      <c r="D201" s="33" t="n">
        <f aca="false">C200-C201</f>
        <v>-1287</v>
      </c>
      <c r="E201" s="33" t="n">
        <v>383</v>
      </c>
      <c r="F201" s="33" t="n">
        <f aca="false">E200-E201</f>
        <v>-67.8</v>
      </c>
      <c r="G201" s="33" t="n">
        <v>6</v>
      </c>
      <c r="H201" s="33" t="n">
        <f aca="false">G201-G200</f>
        <v>0.92</v>
      </c>
      <c r="I201" s="33" t="n">
        <v>92</v>
      </c>
      <c r="J201" s="33" t="n">
        <f aca="false">I200-I201</f>
        <v>-19</v>
      </c>
    </row>
    <row r="202" customFormat="false" ht="13.8" hidden="false" customHeight="false" outlineLevel="0" collapsed="false">
      <c r="A202" s="33" t="n">
        <v>201</v>
      </c>
      <c r="B202" s="32" t="n">
        <v>44762</v>
      </c>
      <c r="C202" s="33" t="n">
        <v>7258</v>
      </c>
      <c r="D202" s="33" t="n">
        <f aca="false">C201-C202</f>
        <v>1081</v>
      </c>
      <c r="E202" s="33" t="n">
        <v>330.5</v>
      </c>
      <c r="F202" s="33" t="n">
        <f aca="false">E201-E202</f>
        <v>52.5</v>
      </c>
      <c r="G202" s="33" t="n">
        <v>5.23</v>
      </c>
      <c r="H202" s="33" t="n">
        <f aca="false">G202-G201</f>
        <v>-0.77</v>
      </c>
      <c r="I202" s="33" t="n">
        <v>78</v>
      </c>
      <c r="J202" s="33" t="n">
        <f aca="false">I201-I202</f>
        <v>14</v>
      </c>
    </row>
    <row r="203" customFormat="false" ht="13.8" hidden="false" customHeight="false" outlineLevel="0" collapsed="false">
      <c r="A203" s="1" t="n">
        <v>202</v>
      </c>
      <c r="B203" s="32" t="n">
        <v>44763</v>
      </c>
      <c r="C203" s="33" t="n">
        <v>7053</v>
      </c>
      <c r="D203" s="33" t="n">
        <f aca="false">C202-C203</f>
        <v>205</v>
      </c>
      <c r="E203" s="33" t="n">
        <v>322.3</v>
      </c>
      <c r="F203" s="33" t="n">
        <f aca="false">E202-E203</f>
        <v>8.19999999999999</v>
      </c>
      <c r="G203" s="33" t="n">
        <v>5.08</v>
      </c>
      <c r="H203" s="33" t="n">
        <f aca="false">G203-G202</f>
        <v>-0.15</v>
      </c>
      <c r="I203" s="33" t="n">
        <v>77</v>
      </c>
      <c r="J203" s="33" t="n">
        <f aca="false">I202-I203</f>
        <v>1</v>
      </c>
    </row>
    <row r="204" customFormat="false" ht="13.8" hidden="false" customHeight="false" outlineLevel="0" collapsed="false">
      <c r="A204" s="33" t="n">
        <v>203</v>
      </c>
      <c r="B204" s="32" t="n">
        <v>44764</v>
      </c>
      <c r="C204" s="33" t="n">
        <v>5952</v>
      </c>
      <c r="D204" s="33" t="n">
        <f aca="false">C203-C204</f>
        <v>1101</v>
      </c>
      <c r="E204" s="33" t="n">
        <v>275.4</v>
      </c>
      <c r="F204" s="33" t="n">
        <f aca="false">E203-E204</f>
        <v>46.9</v>
      </c>
      <c r="G204" s="33" t="n">
        <v>4.29</v>
      </c>
      <c r="H204" s="33" t="n">
        <f aca="false">G204-G203</f>
        <v>-0.79</v>
      </c>
      <c r="I204" s="33" t="n">
        <v>66</v>
      </c>
      <c r="J204" s="33" t="n">
        <f aca="false">I203-I204</f>
        <v>11</v>
      </c>
    </row>
    <row r="205" customFormat="false" ht="13.8" hidden="false" customHeight="false" outlineLevel="0" collapsed="false">
      <c r="A205" s="1" t="n">
        <v>204</v>
      </c>
      <c r="B205" s="32" t="n">
        <v>44765</v>
      </c>
      <c r="C205" s="33" t="n">
        <v>16766</v>
      </c>
      <c r="D205" s="33" t="n">
        <f aca="false">C204-C205</f>
        <v>-10814</v>
      </c>
      <c r="E205" s="33" t="n">
        <v>806.7</v>
      </c>
      <c r="F205" s="33" t="n">
        <f aca="false">E204-E205</f>
        <v>-531.3</v>
      </c>
      <c r="G205" s="33" t="n">
        <v>12.07</v>
      </c>
      <c r="H205" s="33" t="n">
        <f aca="false">G205-G204</f>
        <v>7.78</v>
      </c>
      <c r="I205" s="33" t="n">
        <v>203</v>
      </c>
      <c r="J205" s="33" t="n">
        <f aca="false">I204-I205</f>
        <v>-137</v>
      </c>
    </row>
    <row r="206" customFormat="false" ht="13.8" hidden="false" customHeight="false" outlineLevel="0" collapsed="false">
      <c r="A206" s="33" t="n">
        <v>205</v>
      </c>
      <c r="B206" s="32" t="n">
        <v>44766</v>
      </c>
      <c r="C206" s="33" t="n">
        <v>6975</v>
      </c>
      <c r="D206" s="33" t="n">
        <f aca="false">C205-C206</f>
        <v>9791</v>
      </c>
      <c r="E206" s="33" t="n">
        <v>342</v>
      </c>
      <c r="F206" s="33" t="n">
        <f aca="false">E205-E206</f>
        <v>464.7</v>
      </c>
      <c r="G206" s="33" t="n">
        <v>5.02</v>
      </c>
      <c r="H206" s="33" t="n">
        <f aca="false">G206-G205</f>
        <v>-7.05</v>
      </c>
      <c r="I206" s="33" t="n">
        <v>88</v>
      </c>
      <c r="J206" s="33" t="n">
        <f aca="false">I205-I206</f>
        <v>115</v>
      </c>
    </row>
    <row r="207" customFormat="false" ht="13.8" hidden="false" customHeight="false" outlineLevel="0" collapsed="false">
      <c r="A207" s="1" t="n">
        <v>206</v>
      </c>
      <c r="B207" s="32" t="n">
        <v>44767</v>
      </c>
      <c r="C207" s="33" t="n">
        <v>7740</v>
      </c>
      <c r="D207" s="33" t="n">
        <f aca="false">C206-C207</f>
        <v>-765</v>
      </c>
      <c r="E207" s="33" t="n">
        <v>359.2</v>
      </c>
      <c r="F207" s="33" t="n">
        <f aca="false">E206-E207</f>
        <v>-17.2</v>
      </c>
      <c r="G207" s="33" t="n">
        <v>5.57</v>
      </c>
      <c r="H207" s="33" t="n">
        <f aca="false">G207-G206</f>
        <v>0.550000000000001</v>
      </c>
      <c r="I207" s="33" t="n">
        <v>87</v>
      </c>
      <c r="J207" s="33" t="n">
        <f aca="false">I206-I207</f>
        <v>1</v>
      </c>
    </row>
    <row r="208" customFormat="false" ht="13.8" hidden="false" customHeight="false" outlineLevel="0" collapsed="false">
      <c r="A208" s="33" t="n">
        <v>207</v>
      </c>
      <c r="B208" s="32" t="n">
        <v>44768</v>
      </c>
      <c r="C208" s="33" t="n">
        <v>10075</v>
      </c>
      <c r="D208" s="33" t="n">
        <f aca="false">C207-C208</f>
        <v>-2335</v>
      </c>
      <c r="E208" s="33" t="n">
        <v>452.5</v>
      </c>
      <c r="F208" s="33" t="n">
        <f aca="false">E207-E208</f>
        <v>-93.3</v>
      </c>
      <c r="G208" s="33" t="n">
        <v>7.25</v>
      </c>
      <c r="H208" s="33" t="n">
        <f aca="false">G208-G207</f>
        <v>1.68</v>
      </c>
      <c r="I208" s="33" t="n">
        <v>106</v>
      </c>
      <c r="J208" s="33" t="n">
        <f aca="false">I207-I208</f>
        <v>-19</v>
      </c>
    </row>
    <row r="209" customFormat="false" ht="13.8" hidden="false" customHeight="false" outlineLevel="0" collapsed="false">
      <c r="A209" s="1" t="n">
        <v>208</v>
      </c>
      <c r="B209" s="32" t="n">
        <v>44769</v>
      </c>
      <c r="C209" s="33" t="n">
        <v>10634</v>
      </c>
      <c r="D209" s="33" t="n">
        <f aca="false">C208-C209</f>
        <v>-559</v>
      </c>
      <c r="E209" s="33" t="n">
        <v>467.2</v>
      </c>
      <c r="F209" s="33" t="n">
        <f aca="false">E208-E209</f>
        <v>-14.7</v>
      </c>
      <c r="G209" s="33" t="n">
        <v>7.66</v>
      </c>
      <c r="H209" s="33" t="n">
        <f aca="false">G209-G208</f>
        <v>0.41</v>
      </c>
      <c r="I209" s="33" t="n">
        <v>105</v>
      </c>
      <c r="J209" s="33" t="n">
        <f aca="false">I208-I209</f>
        <v>1</v>
      </c>
    </row>
    <row r="210" customFormat="false" ht="13.8" hidden="false" customHeight="false" outlineLevel="0" collapsed="false">
      <c r="A210" s="33" t="n">
        <v>209</v>
      </c>
      <c r="B210" s="32" t="n">
        <v>44770</v>
      </c>
      <c r="C210" s="33" t="n">
        <v>6119</v>
      </c>
      <c r="D210" s="33" t="n">
        <f aca="false">C209-C210</f>
        <v>4515</v>
      </c>
      <c r="E210" s="33" t="n">
        <v>282.1</v>
      </c>
      <c r="F210" s="33" t="n">
        <f aca="false">E209-E210</f>
        <v>185.1</v>
      </c>
      <c r="G210" s="33" t="n">
        <v>4.41</v>
      </c>
      <c r="H210" s="33" t="n">
        <f aca="false">G210-G209</f>
        <v>-3.25</v>
      </c>
      <c r="I210" s="33" t="n">
        <v>68</v>
      </c>
      <c r="J210" s="33" t="n">
        <f aca="false">I209-I210</f>
        <v>37</v>
      </c>
    </row>
    <row r="211" customFormat="false" ht="13.8" hidden="false" customHeight="false" outlineLevel="0" collapsed="false">
      <c r="A211" s="1" t="n">
        <v>210</v>
      </c>
      <c r="B211" s="32" t="n">
        <v>44771</v>
      </c>
      <c r="C211" s="33" t="n">
        <v>8414</v>
      </c>
      <c r="D211" s="33" t="n">
        <f aca="false">C210-C211</f>
        <v>-2295</v>
      </c>
      <c r="E211" s="33" t="n">
        <v>380.6</v>
      </c>
      <c r="F211" s="33" t="n">
        <f aca="false">E210-E211</f>
        <v>-98.5</v>
      </c>
      <c r="G211" s="33" t="n">
        <v>6.06</v>
      </c>
      <c r="H211" s="33" t="n">
        <f aca="false">G211-G210</f>
        <v>1.65</v>
      </c>
      <c r="I211" s="33" t="n">
        <v>89</v>
      </c>
      <c r="J211" s="33" t="n">
        <f aca="false">I210-I211</f>
        <v>-21</v>
      </c>
    </row>
    <row r="212" customFormat="false" ht="13.8" hidden="false" customHeight="false" outlineLevel="0" collapsed="false">
      <c r="A212" s="33" t="n">
        <v>211</v>
      </c>
      <c r="B212" s="32" t="n">
        <v>44772</v>
      </c>
      <c r="C212" s="33" t="n">
        <v>7614</v>
      </c>
      <c r="D212" s="33" t="n">
        <f aca="false">C211-C212</f>
        <v>800</v>
      </c>
      <c r="E212" s="33" t="n">
        <v>331.3</v>
      </c>
      <c r="F212" s="33" t="n">
        <f aca="false">E211-E212</f>
        <v>49.3</v>
      </c>
      <c r="G212" s="33" t="n">
        <v>5.48</v>
      </c>
      <c r="H212" s="33" t="n">
        <f aca="false">G212-G211</f>
        <v>-0.579999999999999</v>
      </c>
      <c r="I212" s="33" t="n">
        <v>72</v>
      </c>
      <c r="J212" s="33" t="n">
        <f aca="false">I211-I212</f>
        <v>17</v>
      </c>
    </row>
    <row r="213" customFormat="false" ht="13.8" hidden="false" customHeight="false" outlineLevel="0" collapsed="false">
      <c r="A213" s="1" t="n">
        <v>212</v>
      </c>
      <c r="B213" s="32" t="n">
        <v>44773</v>
      </c>
      <c r="C213" s="33" t="n">
        <v>6827</v>
      </c>
      <c r="D213" s="33" t="n">
        <f aca="false">C212-C213</f>
        <v>787</v>
      </c>
      <c r="E213" s="33" t="n">
        <v>311.1</v>
      </c>
      <c r="F213" s="33" t="n">
        <f aca="false">E212-E213</f>
        <v>20.2</v>
      </c>
      <c r="G213" s="33" t="n">
        <v>4.92</v>
      </c>
      <c r="H213" s="33" t="n">
        <f aca="false">G213-G212</f>
        <v>-0.560000000000001</v>
      </c>
      <c r="I213" s="33" t="n">
        <v>73</v>
      </c>
      <c r="J213" s="33" t="n">
        <f aca="false">I212-I213</f>
        <v>-1</v>
      </c>
    </row>
    <row r="214" customFormat="false" ht="13.8" hidden="false" customHeight="false" outlineLevel="0" collapsed="false">
      <c r="A214" s="33" t="n">
        <v>213</v>
      </c>
      <c r="B214" s="32" t="n">
        <v>44774</v>
      </c>
      <c r="C214" s="33" t="n">
        <v>6232</v>
      </c>
      <c r="D214" s="33" t="n">
        <f aca="false">C213-C214</f>
        <v>595</v>
      </c>
      <c r="E214" s="33" t="n">
        <v>311.1</v>
      </c>
      <c r="F214" s="33" t="n">
        <f aca="false">E213-E214</f>
        <v>0</v>
      </c>
      <c r="G214" s="33" t="n">
        <v>4.49</v>
      </c>
      <c r="H214" s="33" t="n">
        <f aca="false">G214-G213</f>
        <v>-0.43</v>
      </c>
      <c r="I214" s="33" t="n">
        <v>62</v>
      </c>
      <c r="J214" s="33" t="n">
        <f aca="false">I213-I214</f>
        <v>11</v>
      </c>
      <c r="L214" s="1" t="s">
        <v>2</v>
      </c>
      <c r="M214" s="1" t="s">
        <v>179</v>
      </c>
      <c r="N214" s="1" t="s">
        <v>175</v>
      </c>
      <c r="O214" s="1" t="s">
        <v>177</v>
      </c>
    </row>
    <row r="215" customFormat="false" ht="13.8" hidden="false" customHeight="false" outlineLevel="0" collapsed="false">
      <c r="A215" s="1" t="n">
        <v>214</v>
      </c>
      <c r="B215" s="32" t="n">
        <v>44775</v>
      </c>
      <c r="C215" s="33" t="n">
        <v>6344</v>
      </c>
      <c r="D215" s="33" t="n">
        <f aca="false">C214-C215</f>
        <v>-112</v>
      </c>
      <c r="E215" s="33" t="n">
        <v>287.4</v>
      </c>
      <c r="F215" s="33" t="n">
        <f aca="false">E214-E215</f>
        <v>23.7</v>
      </c>
      <c r="G215" s="33" t="n">
        <v>4.57</v>
      </c>
      <c r="H215" s="33" t="n">
        <f aca="false">G215-G214</f>
        <v>0.0800000000000001</v>
      </c>
      <c r="I215" s="33" t="n">
        <v>68</v>
      </c>
      <c r="J215" s="33" t="n">
        <f aca="false">I214-I215</f>
        <v>-6</v>
      </c>
      <c r="K215" s="1" t="s">
        <v>8</v>
      </c>
      <c r="L215" s="1" t="n">
        <f aca="false">AVERAGE($C$214:$C$244)</f>
        <v>5549.25806451613</v>
      </c>
      <c r="M215" s="1" t="n">
        <f aca="false">AVERAGE($E$214:$E$244)</f>
        <v>255.348387096774</v>
      </c>
      <c r="N215" s="1" t="n">
        <f aca="false">AVERAGE($G$214:$G$244)</f>
        <v>3.99483870967742</v>
      </c>
      <c r="O215" s="1" t="n">
        <f aca="false">AVERAGE($I$214:$I$244)</f>
        <v>59.4193548387097</v>
      </c>
    </row>
    <row r="216" customFormat="false" ht="13.8" hidden="false" customHeight="false" outlineLevel="0" collapsed="false">
      <c r="A216" s="33" t="n">
        <v>215</v>
      </c>
      <c r="B216" s="32" t="n">
        <v>44776</v>
      </c>
      <c r="C216" s="33" t="n">
        <v>8861</v>
      </c>
      <c r="D216" s="33" t="n">
        <f aca="false">C215-C216</f>
        <v>-2517</v>
      </c>
      <c r="E216" s="33" t="n">
        <v>397.4</v>
      </c>
      <c r="F216" s="33" t="n">
        <f aca="false">E215-E216</f>
        <v>-110</v>
      </c>
      <c r="G216" s="33" t="n">
        <v>6.38</v>
      </c>
      <c r="H216" s="33" t="n">
        <f aca="false">G216-G215</f>
        <v>1.81</v>
      </c>
      <c r="I216" s="33" t="n">
        <v>92</v>
      </c>
      <c r="J216" s="33" t="n">
        <f aca="false">I215-I216</f>
        <v>-24</v>
      </c>
      <c r="K216" s="1" t="s">
        <v>10</v>
      </c>
      <c r="L216" s="1" t="n">
        <f aca="false">SQRT(VAR($C$214:$C$244)/COUNT($C$214:$C$244))</f>
        <v>500.29390064981</v>
      </c>
      <c r="M216" s="1" t="n">
        <f aca="false">SQRT(VAR($E$214:$E$244)/COUNT($E$214:$E$244))</f>
        <v>21.9646499331876</v>
      </c>
      <c r="N216" s="1" t="n">
        <f aca="false">SQRT(VAR($G$214:$G$244)/COUNT($G$214:$G$244))</f>
        <v>0.360143899247378</v>
      </c>
      <c r="O216" s="1" t="n">
        <f aca="false">SQRT(VAR($I$214:$I$244)/COUNT($I$214:$I$244))</f>
        <v>4.86545297729796</v>
      </c>
    </row>
    <row r="217" customFormat="false" ht="13.8" hidden="false" customHeight="false" outlineLevel="0" collapsed="false">
      <c r="A217" s="1" t="n">
        <v>216</v>
      </c>
      <c r="B217" s="32" t="n">
        <v>44777</v>
      </c>
      <c r="C217" s="33" t="n">
        <v>8144</v>
      </c>
      <c r="D217" s="33" t="n">
        <f aca="false">C216-C217</f>
        <v>717</v>
      </c>
      <c r="E217" s="33" t="n">
        <v>361.1</v>
      </c>
      <c r="F217" s="33" t="n">
        <f aca="false">E216-E217</f>
        <v>36.3</v>
      </c>
      <c r="G217" s="33" t="n">
        <v>5.86</v>
      </c>
      <c r="H217" s="33" t="n">
        <f aca="false">G217-G216</f>
        <v>-0.52</v>
      </c>
      <c r="I217" s="33" t="n">
        <v>81</v>
      </c>
      <c r="J217" s="33" t="n">
        <f aca="false">I216-I217</f>
        <v>11</v>
      </c>
      <c r="K217" s="1" t="s">
        <v>14</v>
      </c>
      <c r="L217" s="1" t="e">
        <f aca="false">MODE($C$214:$C$244)</f>
        <v>#VALUE!</v>
      </c>
      <c r="M217" s="1" t="e">
        <f aca="false">MODE($E$214:$E$244)</f>
        <v>#VALUE!</v>
      </c>
      <c r="N217" s="1" t="n">
        <f aca="false">MODE($G$214:$G$244)</f>
        <v>0.87</v>
      </c>
      <c r="O217" s="1" t="n">
        <f aca="false">MODE($I$214:$I$244)</f>
        <v>46</v>
      </c>
    </row>
    <row r="218" customFormat="false" ht="13.8" hidden="false" customHeight="false" outlineLevel="0" collapsed="false">
      <c r="A218" s="33" t="n">
        <v>217</v>
      </c>
      <c r="B218" s="32" t="n">
        <v>44778</v>
      </c>
      <c r="C218" s="33" t="n">
        <v>8950</v>
      </c>
      <c r="D218" s="33" t="n">
        <f aca="false">C217-C218</f>
        <v>-806</v>
      </c>
      <c r="E218" s="33" t="n">
        <v>389.5</v>
      </c>
      <c r="F218" s="33" t="n">
        <f aca="false">E217-E218</f>
        <v>-28.4</v>
      </c>
      <c r="G218" s="33" t="n">
        <v>6.44</v>
      </c>
      <c r="H218" s="33" t="n">
        <f aca="false">G218-G217</f>
        <v>0.58</v>
      </c>
      <c r="I218" s="33" t="n">
        <v>81</v>
      </c>
      <c r="J218" s="33" t="n">
        <f aca="false">I217-I218</f>
        <v>0</v>
      </c>
      <c r="K218" s="1" t="s">
        <v>12</v>
      </c>
      <c r="L218" s="1" t="n">
        <f aca="false">MEDIAN($C$214:$C$244)</f>
        <v>6153</v>
      </c>
      <c r="M218" s="1" t="n">
        <f aca="false">MEDIAN($E$214:$E$244)</f>
        <v>279.8</v>
      </c>
      <c r="N218" s="1" t="n">
        <f aca="false">MEDIAN($G$214:$G$244)</f>
        <v>4.43</v>
      </c>
      <c r="O218" s="1" t="n">
        <f aca="false">MEDIAN($I$214:$I$244)</f>
        <v>62</v>
      </c>
    </row>
    <row r="219" customFormat="false" ht="13.8" hidden="false" customHeight="false" outlineLevel="0" collapsed="false">
      <c r="A219" s="1" t="n">
        <v>218</v>
      </c>
      <c r="B219" s="32" t="n">
        <v>44779</v>
      </c>
      <c r="C219" s="33" t="n">
        <v>8877</v>
      </c>
      <c r="D219" s="33" t="n">
        <f aca="false">C218-C219</f>
        <v>73</v>
      </c>
      <c r="E219" s="33" t="n">
        <v>394.3</v>
      </c>
      <c r="F219" s="33" t="n">
        <f aca="false">E218-E219</f>
        <v>-4.80000000000001</v>
      </c>
      <c r="G219" s="33" t="n">
        <v>6.39</v>
      </c>
      <c r="H219" s="33" t="n">
        <f aca="false">G219-G218</f>
        <v>-0.0500000000000007</v>
      </c>
      <c r="I219" s="33" t="n">
        <v>90</v>
      </c>
      <c r="J219" s="33" t="n">
        <f aca="false">I218-I219</f>
        <v>-9</v>
      </c>
      <c r="K219" s="1" t="s">
        <v>195</v>
      </c>
      <c r="L219" s="1" t="n">
        <f aca="false">QUARTILE($C$214:$C$244, 1)</f>
        <v>3791</v>
      </c>
      <c r="M219" s="1" t="n">
        <f aca="false">QUARTILE($E$214:$E$244, 1)</f>
        <v>176.35</v>
      </c>
      <c r="N219" s="1" t="n">
        <f aca="false">QUARTILE($G$214:$G$244, 1)</f>
        <v>2.73</v>
      </c>
      <c r="O219" s="1" t="n">
        <f aca="false">QUARTILE($I$214:$I$244, 1)</f>
        <v>42</v>
      </c>
    </row>
    <row r="220" customFormat="false" ht="13.8" hidden="false" customHeight="false" outlineLevel="0" collapsed="false">
      <c r="A220" s="33" t="n">
        <v>219</v>
      </c>
      <c r="B220" s="32" t="n">
        <v>44780</v>
      </c>
      <c r="C220" s="33" t="n">
        <v>6616</v>
      </c>
      <c r="D220" s="33" t="n">
        <f aca="false">C219-C220</f>
        <v>2261</v>
      </c>
      <c r="E220" s="33" t="n">
        <v>294</v>
      </c>
      <c r="F220" s="33" t="n">
        <f aca="false">E219-E220</f>
        <v>100.3</v>
      </c>
      <c r="G220" s="33" t="n">
        <v>4.76</v>
      </c>
      <c r="H220" s="33" t="n">
        <f aca="false">G220-G219</f>
        <v>-1.63</v>
      </c>
      <c r="I220" s="33" t="n">
        <v>67</v>
      </c>
      <c r="J220" s="33" t="n">
        <f aca="false">I219-I220</f>
        <v>23</v>
      </c>
      <c r="K220" s="1" t="s">
        <v>181</v>
      </c>
      <c r="L220" s="1" t="n">
        <f aca="false">QUARTILE($C$214:$C$244, 3)</f>
        <v>7538</v>
      </c>
      <c r="M220" s="1" t="n">
        <f aca="false">QUARTILE($E$214:$E$244, 3)</f>
        <v>346.85</v>
      </c>
      <c r="N220" s="1" t="n">
        <f aca="false">QUARTILE($G$214:$G$244, 3)</f>
        <v>5.425</v>
      </c>
      <c r="O220" s="1" t="n">
        <f aca="false">QUARTILE($I$214:$I$244, 3)</f>
        <v>78.5</v>
      </c>
    </row>
    <row r="221" customFormat="false" ht="13.8" hidden="false" customHeight="false" outlineLevel="0" collapsed="false">
      <c r="A221" s="1" t="n">
        <v>220</v>
      </c>
      <c r="B221" s="32" t="n">
        <v>44781</v>
      </c>
      <c r="C221" s="33" t="n">
        <v>2727</v>
      </c>
      <c r="D221" s="33" t="n">
        <f aca="false">C220-C221</f>
        <v>3889</v>
      </c>
      <c r="E221" s="33" t="n">
        <v>130.7</v>
      </c>
      <c r="F221" s="33" t="n">
        <f aca="false">E220-E221</f>
        <v>163.3</v>
      </c>
      <c r="G221" s="33" t="n">
        <v>1.96</v>
      </c>
      <c r="H221" s="33" t="n">
        <f aca="false">G221-G220</f>
        <v>-2.8</v>
      </c>
      <c r="I221" s="33" t="n">
        <v>32</v>
      </c>
      <c r="J221" s="33" t="n">
        <f aca="false">I220-I221</f>
        <v>35</v>
      </c>
      <c r="K221" s="1" t="s">
        <v>182</v>
      </c>
      <c r="L221" s="1" t="n">
        <f aca="false">VAR($C$214:$C$244)</f>
        <v>7759113.59784946</v>
      </c>
      <c r="M221" s="1" t="n">
        <f aca="false">VAR($E$214:$E$244)</f>
        <v>14955.8212473118</v>
      </c>
      <c r="N221" s="1" t="n">
        <f aca="false">VAR($G$214:$G$244)</f>
        <v>4.02081247311828</v>
      </c>
      <c r="O221" s="1" t="n">
        <f aca="false">VAR($I$214:$I$244)</f>
        <v>733.851612903226</v>
      </c>
    </row>
    <row r="222" customFormat="false" ht="13.8" hidden="false" customHeight="false" outlineLevel="0" collapsed="false">
      <c r="A222" s="33" t="n">
        <v>221</v>
      </c>
      <c r="B222" s="32" t="n">
        <v>44782</v>
      </c>
      <c r="C222" s="33" t="n">
        <v>3908</v>
      </c>
      <c r="D222" s="33" t="n">
        <f aca="false">C221-C222</f>
        <v>-1181</v>
      </c>
      <c r="E222" s="33" t="n">
        <v>184.4</v>
      </c>
      <c r="F222" s="33" t="n">
        <f aca="false">E221-E222</f>
        <v>-53.7</v>
      </c>
      <c r="G222" s="33" t="n">
        <v>2.81</v>
      </c>
      <c r="H222" s="33" t="n">
        <f aca="false">G222-G221</f>
        <v>0.85</v>
      </c>
      <c r="I222" s="33" t="n">
        <v>45</v>
      </c>
      <c r="J222" s="33" t="n">
        <f aca="false">I221-I222</f>
        <v>-13</v>
      </c>
      <c r="K222" s="1" t="s">
        <v>16</v>
      </c>
      <c r="L222" s="1" t="n">
        <f aca="false">STDEV($C$214:$C$244)</f>
        <v>2785.51855097924</v>
      </c>
      <c r="M222" s="1" t="n">
        <f aca="false">STDEV($E$214:$E$244)</f>
        <v>122.293995140039</v>
      </c>
      <c r="N222" s="1" t="n">
        <f aca="false">STDEV($G$214:$G$244)</f>
        <v>2.0051963677202</v>
      </c>
      <c r="O222" s="1" t="n">
        <f aca="false">STDEV($I$214:$I$244)</f>
        <v>27.0896956960248</v>
      </c>
    </row>
    <row r="223" customFormat="false" ht="13.8" hidden="false" customHeight="false" outlineLevel="0" collapsed="false">
      <c r="A223" s="1" t="n">
        <v>222</v>
      </c>
      <c r="B223" s="32" t="n">
        <v>44783</v>
      </c>
      <c r="C223" s="33" t="n">
        <v>7695</v>
      </c>
      <c r="D223" s="33" t="n">
        <f aca="false">C222-C223</f>
        <v>-3787</v>
      </c>
      <c r="E223" s="33" t="n">
        <v>356.1</v>
      </c>
      <c r="F223" s="33" t="n">
        <f aca="false">E222-E223</f>
        <v>-171.7</v>
      </c>
      <c r="G223" s="33" t="n">
        <v>5.54</v>
      </c>
      <c r="H223" s="33" t="n">
        <f aca="false">G223-G222</f>
        <v>2.73</v>
      </c>
      <c r="I223" s="33" t="n">
        <v>76</v>
      </c>
      <c r="J223" s="33" t="n">
        <f aca="false">I222-I223</f>
        <v>-31</v>
      </c>
      <c r="K223" s="1" t="s">
        <v>20</v>
      </c>
      <c r="L223" s="1" t="n">
        <f aca="false">KURT($C$214:$C$244)</f>
        <v>-0.8777148000285</v>
      </c>
      <c r="M223" s="1" t="n">
        <f aca="false">KURT($E$214:$E$244)</f>
        <v>-0.881924519833698</v>
      </c>
      <c r="N223" s="1" t="n">
        <f aca="false">KURT($G$214:$G$244)</f>
        <v>-0.878702430557011</v>
      </c>
      <c r="O223" s="1" t="n">
        <f aca="false">KURT($I$214:$I$244)</f>
        <v>-0.585110775986094</v>
      </c>
    </row>
    <row r="224" customFormat="false" ht="13.8" hidden="false" customHeight="false" outlineLevel="0" collapsed="false">
      <c r="A224" s="33" t="n">
        <v>223</v>
      </c>
      <c r="B224" s="32" t="n">
        <v>44784</v>
      </c>
      <c r="C224" s="33" t="n">
        <v>7381</v>
      </c>
      <c r="D224" s="33" t="n">
        <f aca="false">C223-C224</f>
        <v>314</v>
      </c>
      <c r="E224" s="33" t="n">
        <v>337.6</v>
      </c>
      <c r="F224" s="33" t="n">
        <f aca="false">E223-E224</f>
        <v>18.5</v>
      </c>
      <c r="G224" s="33" t="n">
        <v>5.31</v>
      </c>
      <c r="H224" s="33" t="n">
        <f aca="false">G224-G223</f>
        <v>-0.23</v>
      </c>
      <c r="I224" s="33" t="n">
        <v>70</v>
      </c>
      <c r="J224" s="33" t="n">
        <f aca="false">I223-I224</f>
        <v>6</v>
      </c>
      <c r="K224" s="1" t="s">
        <v>22</v>
      </c>
      <c r="L224" s="1" t="n">
        <f aca="false">SKEW($C$214:$C$244)</f>
        <v>0.145471701599006</v>
      </c>
      <c r="M224" s="1" t="n">
        <f aca="false">SKEW($E$214:$E$244)</f>
        <v>0.072562580255422</v>
      </c>
      <c r="N224" s="1" t="n">
        <f aca="false">SKEW($G$214:$G$244)</f>
        <v>0.144437088220342</v>
      </c>
      <c r="O224" s="1" t="n">
        <f aca="false">SKEW($I$214:$I$244)</f>
        <v>0.117357387931015</v>
      </c>
    </row>
    <row r="225" customFormat="false" ht="13.8" hidden="false" customHeight="false" outlineLevel="0" collapsed="false">
      <c r="A225" s="1" t="n">
        <v>224</v>
      </c>
      <c r="B225" s="32" t="n">
        <v>44785</v>
      </c>
      <c r="C225" s="33" t="n">
        <v>2229</v>
      </c>
      <c r="D225" s="33" t="n">
        <f aca="false">C224-C225</f>
        <v>5152</v>
      </c>
      <c r="E225" s="33" t="n">
        <v>112.1</v>
      </c>
      <c r="F225" s="33" t="n">
        <f aca="false">E224-E225</f>
        <v>225.5</v>
      </c>
      <c r="G225" s="33" t="n">
        <v>1.6</v>
      </c>
      <c r="H225" s="33" t="n">
        <f aca="false">G225-G224</f>
        <v>-3.71</v>
      </c>
      <c r="I225" s="33" t="n">
        <v>29</v>
      </c>
      <c r="J225" s="33" t="n">
        <f aca="false">I224-I225</f>
        <v>41</v>
      </c>
      <c r="K225" s="1" t="s">
        <v>24</v>
      </c>
      <c r="L225" s="1" t="n">
        <f aca="false">MAX($C$214:$C$244)-MIN($C$214:$C$244)</f>
        <v>10286</v>
      </c>
      <c r="M225" s="1" t="n">
        <f aca="false">MAX($E$214:$E$244)-MIN($E$214:$E$244)</f>
        <v>456.5</v>
      </c>
      <c r="N225" s="1" t="n">
        <f aca="false">MAX($G$214:$G$244)-MIN($G$214:$G$244)</f>
        <v>7.4</v>
      </c>
      <c r="O225" s="1" t="n">
        <f aca="false">MAX($I$214:$I$244)-MIN($I$214:$I$244)</f>
        <v>106</v>
      </c>
    </row>
    <row r="226" customFormat="false" ht="13.8" hidden="false" customHeight="false" outlineLevel="0" collapsed="false">
      <c r="A226" s="33" t="n">
        <v>225</v>
      </c>
      <c r="B226" s="32" t="n">
        <v>44786</v>
      </c>
      <c r="C226" s="33" t="n">
        <v>1209</v>
      </c>
      <c r="D226" s="33" t="n">
        <f aca="false">C225-C226</f>
        <v>1020</v>
      </c>
      <c r="E226" s="33" t="n">
        <v>63.4</v>
      </c>
      <c r="F226" s="33" t="n">
        <f aca="false">E225-E226</f>
        <v>48.7</v>
      </c>
      <c r="G226" s="33" t="n">
        <v>0.87</v>
      </c>
      <c r="H226" s="33" t="n">
        <f aca="false">G226-G225</f>
        <v>-0.73</v>
      </c>
      <c r="I226" s="33" t="n">
        <v>17</v>
      </c>
      <c r="J226" s="33" t="n">
        <f aca="false">I225-I226</f>
        <v>12</v>
      </c>
      <c r="K226" s="1" t="s">
        <v>26</v>
      </c>
      <c r="L226" s="1" t="n">
        <f aca="false">MIN($C$214:$C$244)</f>
        <v>884</v>
      </c>
      <c r="M226" s="1" t="n">
        <f aca="false">MIN($E$214:$E$244)</f>
        <v>42.6</v>
      </c>
      <c r="N226" s="1" t="n">
        <f aca="false">MIN($G$214:$G$244)</f>
        <v>0.64</v>
      </c>
      <c r="O226" s="1" t="n">
        <f aca="false">MIN($I$214:$I$244)</f>
        <v>10</v>
      </c>
    </row>
    <row r="227" customFormat="false" ht="13.8" hidden="false" customHeight="false" outlineLevel="0" collapsed="false">
      <c r="A227" s="1" t="n">
        <v>226</v>
      </c>
      <c r="B227" s="32" t="n">
        <v>44787</v>
      </c>
      <c r="C227" s="33" t="n">
        <v>4440</v>
      </c>
      <c r="D227" s="33" t="n">
        <f aca="false">C226-C227</f>
        <v>-3231</v>
      </c>
      <c r="E227" s="33" t="n">
        <v>215.3</v>
      </c>
      <c r="F227" s="33" t="n">
        <f aca="false">E226-E227</f>
        <v>-151.9</v>
      </c>
      <c r="G227" s="33" t="n">
        <v>3.2</v>
      </c>
      <c r="H227" s="33" t="n">
        <f aca="false">G227-G226</f>
        <v>2.33</v>
      </c>
      <c r="I227" s="33" t="n">
        <v>54</v>
      </c>
      <c r="J227" s="33" t="n">
        <f aca="false">I226-I227</f>
        <v>-37</v>
      </c>
      <c r="K227" s="1" t="s">
        <v>28</v>
      </c>
      <c r="L227" s="1" t="n">
        <f aca="false">MAX($C$214:$C$244)</f>
        <v>11170</v>
      </c>
      <c r="M227" s="1" t="n">
        <f aca="false">MAX($E$214:$E$244)</f>
        <v>499.1</v>
      </c>
      <c r="N227" s="1" t="n">
        <f aca="false">MAX($G$214:$G$244)</f>
        <v>8.04</v>
      </c>
      <c r="O227" s="1" t="n">
        <f aca="false">MAX($I$214:$I$244)</f>
        <v>116</v>
      </c>
    </row>
    <row r="228" customFormat="false" ht="13.8" hidden="false" customHeight="false" outlineLevel="0" collapsed="false">
      <c r="A228" s="33" t="n">
        <v>227</v>
      </c>
      <c r="B228" s="32" t="n">
        <v>44788</v>
      </c>
      <c r="C228" s="33" t="n">
        <v>1213</v>
      </c>
      <c r="D228" s="33" t="n">
        <f aca="false">C227-C228</f>
        <v>3227</v>
      </c>
      <c r="E228" s="33" t="n">
        <v>59.4</v>
      </c>
      <c r="F228" s="33" t="n">
        <f aca="false">E227-E228</f>
        <v>155.9</v>
      </c>
      <c r="G228" s="33" t="n">
        <v>0.87</v>
      </c>
      <c r="H228" s="33" t="n">
        <f aca="false">G228-G227</f>
        <v>-2.33</v>
      </c>
      <c r="I228" s="33" t="n">
        <v>15</v>
      </c>
      <c r="J228" s="33" t="n">
        <f aca="false">I227-I228</f>
        <v>39</v>
      </c>
      <c r="K228" s="1" t="s">
        <v>30</v>
      </c>
      <c r="L228" s="1" t="n">
        <f aca="false">SUM($C$214:$C$244)</f>
        <v>172027</v>
      </c>
      <c r="M228" s="1" t="n">
        <f aca="false">SUM($E$214:$E$244)</f>
        <v>7915.8</v>
      </c>
      <c r="N228" s="1" t="n">
        <f aca="false">SUM($G$214:$G$244)</f>
        <v>123.84</v>
      </c>
      <c r="O228" s="1" t="n">
        <f aca="false">SUM($I$214:$I$244)</f>
        <v>1842</v>
      </c>
    </row>
    <row r="229" customFormat="false" ht="13.8" hidden="false" customHeight="false" outlineLevel="0" collapsed="false">
      <c r="A229" s="1" t="n">
        <v>228</v>
      </c>
      <c r="B229" s="32" t="n">
        <v>44789</v>
      </c>
      <c r="C229" s="33" t="n">
        <v>6153</v>
      </c>
      <c r="D229" s="33" t="n">
        <f aca="false">C228-C229</f>
        <v>-4940</v>
      </c>
      <c r="E229" s="33" t="n">
        <v>286.3</v>
      </c>
      <c r="F229" s="33" t="n">
        <f aca="false">E228-E229</f>
        <v>-226.9</v>
      </c>
      <c r="G229" s="33" t="n">
        <v>4.43</v>
      </c>
      <c r="H229" s="33" t="n">
        <f aca="false">G229-G228</f>
        <v>3.56</v>
      </c>
      <c r="I229" s="33" t="n">
        <v>70</v>
      </c>
      <c r="J229" s="33" t="n">
        <f aca="false">I228-I229</f>
        <v>-55</v>
      </c>
      <c r="K229" s="1" t="s">
        <v>32</v>
      </c>
      <c r="L229" s="1" t="n">
        <f aca="false">COUNT($C$214:$C$244)</f>
        <v>31</v>
      </c>
      <c r="M229" s="1" t="n">
        <f aca="false">COUNT($E$214:$E$244)</f>
        <v>31</v>
      </c>
      <c r="N229" s="1" t="n">
        <f aca="false">COUNT($G$214:$G$244)</f>
        <v>31</v>
      </c>
      <c r="O229" s="1" t="n">
        <f aca="false">COUNT($I$214:$I$244)</f>
        <v>31</v>
      </c>
    </row>
    <row r="230" customFormat="false" ht="13.8" hidden="false" customHeight="false" outlineLevel="0" collapsed="false">
      <c r="A230" s="33" t="n">
        <v>229</v>
      </c>
      <c r="B230" s="32" t="n">
        <v>44790</v>
      </c>
      <c r="C230" s="33" t="n">
        <v>3818</v>
      </c>
      <c r="D230" s="33" t="n">
        <f aca="false">C229-C230</f>
        <v>2335</v>
      </c>
      <c r="E230" s="33" t="n">
        <v>182.7</v>
      </c>
      <c r="F230" s="33" t="n">
        <f aca="false">E229-E230</f>
        <v>103.6</v>
      </c>
      <c r="G230" s="33" t="n">
        <v>2.75</v>
      </c>
      <c r="H230" s="33" t="n">
        <f aca="false">G230-G229</f>
        <v>-1.68</v>
      </c>
      <c r="I230" s="33" t="n">
        <v>46</v>
      </c>
      <c r="J230" s="33" t="n">
        <f aca="false">I229-I230</f>
        <v>24</v>
      </c>
    </row>
    <row r="231" customFormat="false" ht="13.8" hidden="false" customHeight="false" outlineLevel="0" collapsed="false">
      <c r="A231" s="1" t="n">
        <v>230</v>
      </c>
      <c r="B231" s="32" t="n">
        <v>44791</v>
      </c>
      <c r="C231" s="33" t="n">
        <v>3764</v>
      </c>
      <c r="D231" s="33" t="n">
        <f aca="false">C230-C231</f>
        <v>54</v>
      </c>
      <c r="E231" s="33" t="n">
        <v>172.6</v>
      </c>
      <c r="F231" s="33" t="n">
        <f aca="false">E230-E231</f>
        <v>10.1</v>
      </c>
      <c r="G231" s="33" t="n">
        <v>2.71</v>
      </c>
      <c r="H231" s="33" t="n">
        <f aca="false">G231-G230</f>
        <v>-0.04</v>
      </c>
      <c r="I231" s="33" t="n">
        <v>41</v>
      </c>
      <c r="J231" s="33" t="n">
        <f aca="false">I230-I231</f>
        <v>5</v>
      </c>
    </row>
    <row r="232" customFormat="false" ht="13.8" hidden="false" customHeight="false" outlineLevel="0" collapsed="false">
      <c r="A232" s="33" t="n">
        <v>231</v>
      </c>
      <c r="B232" s="32" t="n">
        <v>44792</v>
      </c>
      <c r="C232" s="33" t="n">
        <v>4340</v>
      </c>
      <c r="D232" s="33" t="n">
        <f aca="false">C231-C232</f>
        <v>-576</v>
      </c>
      <c r="E232" s="33" t="n">
        <v>196.7</v>
      </c>
      <c r="F232" s="33" t="n">
        <f aca="false">E231-E232</f>
        <v>-24.1</v>
      </c>
      <c r="G232" s="33" t="n">
        <v>3.12</v>
      </c>
      <c r="H232" s="33" t="n">
        <f aca="false">G232-G231</f>
        <v>0.41</v>
      </c>
      <c r="I232" s="33" t="n">
        <v>46</v>
      </c>
      <c r="J232" s="33" t="n">
        <f aca="false">I231-I232</f>
        <v>-5</v>
      </c>
    </row>
    <row r="233" customFormat="false" ht="13.8" hidden="false" customHeight="false" outlineLevel="0" collapsed="false">
      <c r="A233" s="1" t="n">
        <v>232</v>
      </c>
      <c r="B233" s="32" t="n">
        <v>44793</v>
      </c>
      <c r="C233" s="33" t="n">
        <v>884</v>
      </c>
      <c r="D233" s="33" t="n">
        <f aca="false">C232-C233</f>
        <v>3456</v>
      </c>
      <c r="E233" s="33" t="n">
        <v>42.6</v>
      </c>
      <c r="F233" s="33" t="n">
        <f aca="false">E232-E233</f>
        <v>154.1</v>
      </c>
      <c r="G233" s="33" t="n">
        <v>0.64</v>
      </c>
      <c r="H233" s="33" t="n">
        <f aca="false">G233-G232</f>
        <v>-2.48</v>
      </c>
      <c r="I233" s="33" t="n">
        <v>10</v>
      </c>
      <c r="J233" s="33" t="n">
        <f aca="false">I232-I233</f>
        <v>36</v>
      </c>
    </row>
    <row r="234" customFormat="false" ht="13.8" hidden="false" customHeight="false" outlineLevel="0" collapsed="false">
      <c r="A234" s="33" t="n">
        <v>233</v>
      </c>
      <c r="B234" s="32" t="n">
        <v>44794</v>
      </c>
      <c r="C234" s="33" t="n">
        <v>11170</v>
      </c>
      <c r="D234" s="33" t="n">
        <f aca="false">C233-C234</f>
        <v>-10286</v>
      </c>
      <c r="E234" s="33" t="n">
        <v>499.1</v>
      </c>
      <c r="F234" s="33" t="n">
        <f aca="false">E233-E234</f>
        <v>-456.5</v>
      </c>
      <c r="G234" s="33" t="n">
        <v>8.04</v>
      </c>
      <c r="H234" s="33" t="n">
        <f aca="false">G234-G233</f>
        <v>7.4</v>
      </c>
      <c r="I234" s="33" t="n">
        <v>116</v>
      </c>
      <c r="J234" s="33" t="n">
        <f aca="false">I233-I234</f>
        <v>-106</v>
      </c>
    </row>
    <row r="235" customFormat="false" ht="13.8" hidden="false" customHeight="false" outlineLevel="0" collapsed="false">
      <c r="A235" s="1" t="n">
        <v>234</v>
      </c>
      <c r="B235" s="32" t="n">
        <v>44795</v>
      </c>
      <c r="C235" s="33" t="n">
        <v>10172</v>
      </c>
      <c r="D235" s="33" t="n">
        <f aca="false">C234-C235</f>
        <v>998</v>
      </c>
      <c r="E235" s="33" t="n">
        <v>458.8</v>
      </c>
      <c r="F235" s="33" t="n">
        <f aca="false">E234-E235</f>
        <v>40.3</v>
      </c>
      <c r="G235" s="33" t="n">
        <v>7.32</v>
      </c>
      <c r="H235" s="33" t="n">
        <f aca="false">G235-G234</f>
        <v>-0.719999999999999</v>
      </c>
      <c r="I235" s="33" t="n">
        <v>108</v>
      </c>
      <c r="J235" s="33" t="n">
        <f aca="false">I234-I235</f>
        <v>8</v>
      </c>
    </row>
    <row r="236" customFormat="false" ht="13.8" hidden="false" customHeight="false" outlineLevel="0" collapsed="false">
      <c r="A236" s="33" t="n">
        <v>235</v>
      </c>
      <c r="B236" s="32" t="n">
        <v>44796</v>
      </c>
      <c r="C236" s="33" t="n">
        <v>3307</v>
      </c>
      <c r="D236" s="33" t="n">
        <f aca="false">C235-C236</f>
        <v>6865</v>
      </c>
      <c r="E236" s="33" t="n">
        <v>155.9</v>
      </c>
      <c r="F236" s="33" t="n">
        <f aca="false">E235-E236</f>
        <v>302.9</v>
      </c>
      <c r="G236" s="33" t="n">
        <v>2.38</v>
      </c>
      <c r="H236" s="33" t="n">
        <f aca="false">G236-G235</f>
        <v>-4.94</v>
      </c>
      <c r="I236" s="33" t="n">
        <v>38</v>
      </c>
      <c r="J236" s="33" t="n">
        <f aca="false">I235-I236</f>
        <v>70</v>
      </c>
    </row>
    <row r="237" customFormat="false" ht="13.8" hidden="false" customHeight="false" outlineLevel="0" collapsed="false">
      <c r="A237" s="1" t="n">
        <v>236</v>
      </c>
      <c r="B237" s="32" t="n">
        <v>44797</v>
      </c>
      <c r="C237" s="33" t="n">
        <v>6180</v>
      </c>
      <c r="D237" s="33" t="n">
        <f aca="false">C236-C237</f>
        <v>-2873</v>
      </c>
      <c r="E237" s="33" t="n">
        <v>279.8</v>
      </c>
      <c r="F237" s="33" t="n">
        <f aca="false">E236-E237</f>
        <v>-123.9</v>
      </c>
      <c r="G237" s="33" t="n">
        <v>4.45</v>
      </c>
      <c r="H237" s="33" t="n">
        <f aca="false">G237-G236</f>
        <v>2.07</v>
      </c>
      <c r="I237" s="33" t="n">
        <v>65</v>
      </c>
      <c r="J237" s="33" t="n">
        <f aca="false">I236-I237</f>
        <v>-27</v>
      </c>
    </row>
    <row r="238" customFormat="false" ht="13.8" hidden="false" customHeight="false" outlineLevel="0" collapsed="false">
      <c r="A238" s="33" t="n">
        <v>237</v>
      </c>
      <c r="B238" s="32" t="n">
        <v>44798</v>
      </c>
      <c r="C238" s="33" t="n">
        <v>4007</v>
      </c>
      <c r="D238" s="33" t="n">
        <f aca="false">C237-C238</f>
        <v>2173</v>
      </c>
      <c r="E238" s="33" t="n">
        <v>190</v>
      </c>
      <c r="F238" s="33" t="n">
        <f aca="false">E237-E238</f>
        <v>89.8</v>
      </c>
      <c r="G238" s="33" t="n">
        <v>2.89</v>
      </c>
      <c r="H238" s="33" t="n">
        <f aca="false">G238-G237</f>
        <v>-1.56</v>
      </c>
      <c r="I238" s="33" t="n">
        <v>47</v>
      </c>
      <c r="J238" s="33" t="n">
        <f aca="false">I237-I238</f>
        <v>18</v>
      </c>
    </row>
    <row r="239" customFormat="false" ht="13.8" hidden="false" customHeight="false" outlineLevel="0" collapsed="false">
      <c r="A239" s="1" t="n">
        <v>238</v>
      </c>
      <c r="B239" s="32" t="n">
        <v>44799</v>
      </c>
      <c r="C239" s="33" t="n">
        <v>6862</v>
      </c>
      <c r="D239" s="33" t="n">
        <f aca="false">C238-C239</f>
        <v>-2855</v>
      </c>
      <c r="E239" s="33" t="n">
        <v>315.4</v>
      </c>
      <c r="F239" s="33" t="n">
        <f aca="false">E238-E239</f>
        <v>-125.4</v>
      </c>
      <c r="G239" s="33" t="n">
        <v>4.94</v>
      </c>
      <c r="H239" s="33" t="n">
        <f aca="false">G239-G238</f>
        <v>2.05</v>
      </c>
      <c r="I239" s="33" t="n">
        <v>74</v>
      </c>
      <c r="J239" s="33" t="n">
        <f aca="false">I238-I239</f>
        <v>-27</v>
      </c>
    </row>
    <row r="240" customFormat="false" ht="13.8" hidden="false" customHeight="false" outlineLevel="0" collapsed="false">
      <c r="A240" s="33" t="n">
        <v>239</v>
      </c>
      <c r="B240" s="32" t="n">
        <v>44800</v>
      </c>
      <c r="C240" s="33" t="n">
        <v>2625</v>
      </c>
      <c r="D240" s="33" t="n">
        <f aca="false">C239-C240</f>
        <v>4237</v>
      </c>
      <c r="E240" s="33" t="n">
        <v>125.4</v>
      </c>
      <c r="F240" s="33" t="n">
        <f aca="false">E239-E240</f>
        <v>190</v>
      </c>
      <c r="G240" s="33" t="n">
        <v>1.89</v>
      </c>
      <c r="H240" s="33" t="n">
        <f aca="false">G240-G239</f>
        <v>-3.05</v>
      </c>
      <c r="I240" s="33" t="n">
        <v>31</v>
      </c>
      <c r="J240" s="33" t="n">
        <f aca="false">I239-I240</f>
        <v>43</v>
      </c>
    </row>
    <row r="241" customFormat="false" ht="13.8" hidden="false" customHeight="false" outlineLevel="0" collapsed="false">
      <c r="A241" s="1" t="n">
        <v>240</v>
      </c>
      <c r="B241" s="32" t="n">
        <v>44801</v>
      </c>
      <c r="C241" s="33" t="n">
        <v>6896</v>
      </c>
      <c r="D241" s="33" t="n">
        <f aca="false">C240-C241</f>
        <v>-4271</v>
      </c>
      <c r="E241" s="33" t="n">
        <v>336.4</v>
      </c>
      <c r="F241" s="33" t="n">
        <f aca="false">E240-E241</f>
        <v>-211</v>
      </c>
      <c r="G241" s="33" t="n">
        <v>4.97</v>
      </c>
      <c r="H241" s="33" t="n">
        <f aca="false">G241-G240</f>
        <v>3.08</v>
      </c>
      <c r="I241" s="33" t="n">
        <v>86</v>
      </c>
      <c r="J241" s="33" t="n">
        <f aca="false">I240-I241</f>
        <v>-55</v>
      </c>
    </row>
    <row r="242" customFormat="false" ht="13.8" hidden="false" customHeight="false" outlineLevel="0" collapsed="false">
      <c r="A242" s="33" t="n">
        <v>241</v>
      </c>
      <c r="B242" s="32" t="n">
        <v>44802</v>
      </c>
      <c r="C242" s="33" t="n">
        <v>9234</v>
      </c>
      <c r="D242" s="33" t="n">
        <f aca="false">C241-C242</f>
        <v>-2338</v>
      </c>
      <c r="E242" s="33" t="n">
        <v>412.9</v>
      </c>
      <c r="F242" s="33" t="n">
        <f aca="false">E241-E242</f>
        <v>-76.5</v>
      </c>
      <c r="G242" s="33" t="n">
        <v>6.65</v>
      </c>
      <c r="H242" s="33" t="n">
        <f aca="false">G242-G241</f>
        <v>1.68</v>
      </c>
      <c r="I242" s="33" t="n">
        <v>95</v>
      </c>
      <c r="J242" s="33" t="n">
        <f aca="false">I241-I242</f>
        <v>-9</v>
      </c>
    </row>
    <row r="243" customFormat="false" ht="13.8" hidden="false" customHeight="false" outlineLevel="0" collapsed="false">
      <c r="A243" s="1" t="n">
        <v>242</v>
      </c>
      <c r="B243" s="32" t="n">
        <v>44803</v>
      </c>
      <c r="C243" s="33" t="n">
        <v>3901</v>
      </c>
      <c r="D243" s="33" t="n">
        <f aca="false">C242-C243</f>
        <v>5333</v>
      </c>
      <c r="E243" s="33" t="n">
        <v>180.1</v>
      </c>
      <c r="F243" s="33" t="n">
        <f aca="false">E242-E243</f>
        <v>232.8</v>
      </c>
      <c r="G243" s="33" t="n">
        <v>2.81</v>
      </c>
      <c r="H243" s="33" t="n">
        <f aca="false">G243-G242</f>
        <v>-3.84</v>
      </c>
      <c r="I243" s="33" t="n">
        <v>43</v>
      </c>
      <c r="J243" s="33" t="n">
        <f aca="false">I242-I243</f>
        <v>52</v>
      </c>
    </row>
    <row r="244" customFormat="false" ht="13.8" hidden="false" customHeight="false" outlineLevel="0" collapsed="false">
      <c r="A244" s="33" t="n">
        <v>243</v>
      </c>
      <c r="B244" s="32" t="n">
        <v>44804</v>
      </c>
      <c r="C244" s="33" t="n">
        <v>3888</v>
      </c>
      <c r="D244" s="33" t="n">
        <f aca="false">C243-C244</f>
        <v>13</v>
      </c>
      <c r="E244" s="33" t="n">
        <v>187.3</v>
      </c>
      <c r="F244" s="33" t="n">
        <f aca="false">E243-E244</f>
        <v>-7.20000000000002</v>
      </c>
      <c r="G244" s="33" t="n">
        <v>2.8</v>
      </c>
      <c r="H244" s="33" t="n">
        <f aca="false">G244-G243</f>
        <v>-0.0100000000000002</v>
      </c>
      <c r="I244" s="33" t="n">
        <v>47</v>
      </c>
      <c r="J244" s="33" t="n">
        <f aca="false">I243-I244</f>
        <v>-4</v>
      </c>
    </row>
    <row r="245" customFormat="false" ht="13.8" hidden="false" customHeight="false" outlineLevel="0" collapsed="false">
      <c r="A245" s="1" t="n">
        <v>244</v>
      </c>
      <c r="B245" s="32" t="n">
        <v>44805</v>
      </c>
      <c r="C245" s="33" t="n">
        <v>2929</v>
      </c>
      <c r="D245" s="33" t="n">
        <f aca="false">C244-C245</f>
        <v>959</v>
      </c>
      <c r="E245" s="33" t="n">
        <v>142.5</v>
      </c>
      <c r="F245" s="33" t="n">
        <f aca="false">E244-E245</f>
        <v>44.8</v>
      </c>
      <c r="G245" s="33" t="n">
        <v>2.11</v>
      </c>
      <c r="H245" s="33" t="n">
        <f aca="false">G245-G244</f>
        <v>-0.69</v>
      </c>
      <c r="I245" s="33" t="n">
        <v>36</v>
      </c>
      <c r="J245" s="33" t="n">
        <f aca="false">I244-I245</f>
        <v>11</v>
      </c>
      <c r="L245" s="1" t="s">
        <v>2</v>
      </c>
      <c r="M245" s="1" t="s">
        <v>179</v>
      </c>
      <c r="N245" s="1" t="s">
        <v>175</v>
      </c>
      <c r="O245" s="1" t="s">
        <v>177</v>
      </c>
    </row>
    <row r="246" customFormat="false" ht="13.8" hidden="false" customHeight="false" outlineLevel="0" collapsed="false">
      <c r="A246" s="33" t="n">
        <v>245</v>
      </c>
      <c r="B246" s="32" t="n">
        <v>44806</v>
      </c>
      <c r="C246" s="33" t="n">
        <v>2346</v>
      </c>
      <c r="D246" s="33" t="n">
        <f aca="false">C245-C246</f>
        <v>583</v>
      </c>
      <c r="E246" s="33" t="n">
        <v>114.2</v>
      </c>
      <c r="F246" s="33" t="n">
        <f aca="false">E245-E246</f>
        <v>28.3</v>
      </c>
      <c r="G246" s="33" t="n">
        <v>1.69</v>
      </c>
      <c r="H246" s="33" t="n">
        <f aca="false">G246-G245</f>
        <v>-0.42</v>
      </c>
      <c r="I246" s="33" t="n">
        <v>29</v>
      </c>
      <c r="J246" s="33" t="n">
        <f aca="false">I245-I246</f>
        <v>7</v>
      </c>
      <c r="K246" s="1" t="s">
        <v>8</v>
      </c>
      <c r="L246" s="1" t="n">
        <f aca="false">AVERAGE($C$245:$C$274)</f>
        <v>6232.33333333333</v>
      </c>
      <c r="M246" s="1" t="n">
        <f aca="false">AVERAGE($E$245:$E$274)</f>
        <v>293.68</v>
      </c>
      <c r="N246" s="1" t="n">
        <f aca="false">AVERAGE($G$245:$G$274)</f>
        <v>4.488</v>
      </c>
      <c r="O246" s="1" t="n">
        <f aca="false">AVERAGE($I$245:$I$274)</f>
        <v>72</v>
      </c>
    </row>
    <row r="247" customFormat="false" ht="13.8" hidden="false" customHeight="false" outlineLevel="0" collapsed="false">
      <c r="A247" s="1" t="n">
        <v>246</v>
      </c>
      <c r="B247" s="32" t="n">
        <v>44807</v>
      </c>
      <c r="C247" s="33" t="n">
        <v>8008</v>
      </c>
      <c r="D247" s="33" t="n">
        <f aca="false">C246-C247</f>
        <v>-5662</v>
      </c>
      <c r="E247" s="33" t="n">
        <v>364</v>
      </c>
      <c r="F247" s="33" t="n">
        <f aca="false">E246-E247</f>
        <v>-249.8</v>
      </c>
      <c r="G247" s="33" t="n">
        <v>5.77</v>
      </c>
      <c r="H247" s="33" t="n">
        <f aca="false">G247-G246</f>
        <v>4.08</v>
      </c>
      <c r="I247" s="33" t="n">
        <v>86</v>
      </c>
      <c r="J247" s="33" t="n">
        <f aca="false">I246-I247</f>
        <v>-57</v>
      </c>
      <c r="K247" s="1" t="s">
        <v>10</v>
      </c>
      <c r="L247" s="1" t="n">
        <f aca="false">SQRT(VAR($C$245:$C$274)/COUNT($C$245:$C$274))</f>
        <v>740.508219910346</v>
      </c>
      <c r="M247" s="1" t="n">
        <f aca="false">SQRT(VAR($E$245:$E$274)/COUNT($E$245:$E$274))</f>
        <v>35.2297165576965</v>
      </c>
      <c r="N247" s="1" t="n">
        <f aca="false">SQRT(VAR($G$245:$G$274)/COUNT($G$245:$G$274))</f>
        <v>0.533192380799397</v>
      </c>
      <c r="O247" s="1" t="n">
        <f aca="false">SQRT(VAR($I$245:$I$274)/COUNT($I$245:$I$274))</f>
        <v>8.84177648972495</v>
      </c>
    </row>
    <row r="248" customFormat="false" ht="13.8" hidden="false" customHeight="false" outlineLevel="0" collapsed="false">
      <c r="A248" s="33" t="n">
        <v>247</v>
      </c>
      <c r="B248" s="32" t="n">
        <v>44808</v>
      </c>
      <c r="C248" s="33" t="n">
        <v>8013</v>
      </c>
      <c r="D248" s="33" t="n">
        <f aca="false">C247-C248</f>
        <v>-5</v>
      </c>
      <c r="E248" s="33" t="n">
        <v>362.3</v>
      </c>
      <c r="F248" s="33" t="n">
        <f aca="false">E247-E248</f>
        <v>1.69999999999999</v>
      </c>
      <c r="G248" s="33" t="n">
        <v>5.77</v>
      </c>
      <c r="H248" s="33" t="n">
        <f aca="false">G248-G247</f>
        <v>0</v>
      </c>
      <c r="I248" s="33" t="n">
        <v>85</v>
      </c>
      <c r="J248" s="33" t="n">
        <f aca="false">I247-I248</f>
        <v>1</v>
      </c>
      <c r="K248" s="1" t="s">
        <v>14</v>
      </c>
      <c r="L248" s="1" t="e">
        <f aca="false">MODE($C$245:$C$274)</f>
        <v>#VALUE!</v>
      </c>
      <c r="M248" s="1" t="e">
        <f aca="false">MODE($E$245:$E$274)</f>
        <v>#VALUE!</v>
      </c>
      <c r="N248" s="1" t="n">
        <f aca="false">MODE($G$245:$G$274)</f>
        <v>5.77</v>
      </c>
      <c r="O248" s="1" t="n">
        <f aca="false">MODE($I$245:$I$274)</f>
        <v>85</v>
      </c>
    </row>
    <row r="249" customFormat="false" ht="13.8" hidden="false" customHeight="false" outlineLevel="0" collapsed="false">
      <c r="A249" s="1" t="n">
        <v>248</v>
      </c>
      <c r="B249" s="32" t="n">
        <v>44809</v>
      </c>
      <c r="C249" s="33" t="n">
        <v>2040</v>
      </c>
      <c r="D249" s="33" t="n">
        <f aca="false">C248-C249</f>
        <v>5973</v>
      </c>
      <c r="E249" s="33" t="n">
        <v>98.5</v>
      </c>
      <c r="F249" s="33" t="n">
        <f aca="false">E248-E249</f>
        <v>263.8</v>
      </c>
      <c r="G249" s="33" t="n">
        <v>1.47</v>
      </c>
      <c r="H249" s="33" t="n">
        <f aca="false">G249-G248</f>
        <v>-4.3</v>
      </c>
      <c r="I249" s="33" t="n">
        <v>25</v>
      </c>
      <c r="J249" s="33" t="n">
        <f aca="false">I248-I249</f>
        <v>60</v>
      </c>
      <c r="K249" s="1" t="s">
        <v>12</v>
      </c>
      <c r="L249" s="1" t="n">
        <f aca="false">MEDIAN($C$245:$C$274)</f>
        <v>6259.5</v>
      </c>
      <c r="M249" s="1" t="n">
        <f aca="false">MEDIAN($E$245:$E$274)</f>
        <v>302.15</v>
      </c>
      <c r="N249" s="1" t="n">
        <f aca="false">MEDIAN($G$245:$G$274)</f>
        <v>4.505</v>
      </c>
      <c r="O249" s="1" t="n">
        <f aca="false">MEDIAN($I$245:$I$274)</f>
        <v>75</v>
      </c>
    </row>
    <row r="250" customFormat="false" ht="13.8" hidden="false" customHeight="false" outlineLevel="0" collapsed="false">
      <c r="A250" s="33" t="n">
        <v>249</v>
      </c>
      <c r="B250" s="32" t="n">
        <v>44810</v>
      </c>
      <c r="C250" s="33" t="n">
        <v>9441</v>
      </c>
      <c r="D250" s="33" t="n">
        <f aca="false">C249-C250</f>
        <v>-7401</v>
      </c>
      <c r="E250" s="33" t="n">
        <v>444</v>
      </c>
      <c r="F250" s="33" t="n">
        <f aca="false">E249-E250</f>
        <v>-345.5</v>
      </c>
      <c r="G250" s="33" t="n">
        <v>6.8</v>
      </c>
      <c r="H250" s="33" t="n">
        <f aca="false">G250-G249</f>
        <v>5.33</v>
      </c>
      <c r="I250" s="33" t="n">
        <v>110</v>
      </c>
      <c r="J250" s="33" t="n">
        <f aca="false">I249-I250</f>
        <v>-85</v>
      </c>
      <c r="K250" s="1" t="s">
        <v>195</v>
      </c>
      <c r="L250" s="1" t="n">
        <f aca="false">QUARTILE($C$245:$C$274, 1)</f>
        <v>3146.5</v>
      </c>
      <c r="M250" s="1" t="n">
        <f aca="false">QUARTILE($E$245:$E$274, 1)</f>
        <v>162.55</v>
      </c>
      <c r="N250" s="1" t="n">
        <f aca="false">QUARTILE($G$245:$G$274, 1)</f>
        <v>2.2725</v>
      </c>
      <c r="O250" s="1" t="n">
        <f aca="false">QUARTILE($I$245:$I$274, 1)</f>
        <v>42.25</v>
      </c>
    </row>
    <row r="251" customFormat="false" ht="13.8" hidden="false" customHeight="false" outlineLevel="0" collapsed="false">
      <c r="A251" s="1" t="n">
        <v>250</v>
      </c>
      <c r="B251" s="32" t="n">
        <v>44811</v>
      </c>
      <c r="C251" s="33" t="n">
        <v>6815</v>
      </c>
      <c r="D251" s="33" t="n">
        <f aca="false">C250-C251</f>
        <v>2626</v>
      </c>
      <c r="E251" s="33" t="n">
        <v>306.3</v>
      </c>
      <c r="F251" s="33" t="n">
        <f aca="false">E250-E251</f>
        <v>137.7</v>
      </c>
      <c r="G251" s="33" t="n">
        <v>4.91</v>
      </c>
      <c r="H251" s="33" t="n">
        <f aca="false">G251-G250</f>
        <v>-1.89</v>
      </c>
      <c r="I251" s="33" t="n">
        <v>71</v>
      </c>
      <c r="J251" s="33" t="n">
        <f aca="false">I250-I251</f>
        <v>39</v>
      </c>
      <c r="K251" s="1" t="s">
        <v>181</v>
      </c>
      <c r="L251" s="1" t="n">
        <f aca="false">QUARTILE($C$245:$C$274, 3)</f>
        <v>7815.75</v>
      </c>
      <c r="M251" s="1" t="n">
        <f aca="false">QUARTILE($E$245:$E$274, 3)</f>
        <v>357.775</v>
      </c>
      <c r="N251" s="1" t="n">
        <f aca="false">QUARTILE($G$245:$G$274, 3)</f>
        <v>5.63</v>
      </c>
      <c r="O251" s="1" t="n">
        <f aca="false">QUARTILE($I$245:$I$274, 3)</f>
        <v>85</v>
      </c>
    </row>
    <row r="252" customFormat="false" ht="13.8" hidden="false" customHeight="false" outlineLevel="0" collapsed="false">
      <c r="A252" s="33" t="n">
        <v>251</v>
      </c>
      <c r="B252" s="32" t="n">
        <v>44812</v>
      </c>
      <c r="C252" s="33" t="n">
        <v>8092</v>
      </c>
      <c r="D252" s="33" t="n">
        <f aca="false">C251-C252</f>
        <v>-1277</v>
      </c>
      <c r="E252" s="33" t="n">
        <v>364.1</v>
      </c>
      <c r="F252" s="33" t="n">
        <f aca="false">E251-E252</f>
        <v>-57.8</v>
      </c>
      <c r="G252" s="33" t="n">
        <v>5.83</v>
      </c>
      <c r="H252" s="33" t="n">
        <f aca="false">G252-G251</f>
        <v>0.92</v>
      </c>
      <c r="I252" s="33" t="n">
        <v>85</v>
      </c>
      <c r="J252" s="33" t="n">
        <f aca="false">I251-I252</f>
        <v>-14</v>
      </c>
      <c r="K252" s="1" t="s">
        <v>182</v>
      </c>
      <c r="L252" s="1" t="n">
        <f aca="false">VAR($C$245:$C$274)</f>
        <v>16450572.7126437</v>
      </c>
      <c r="M252" s="1" t="n">
        <f aca="false">VAR($E$245:$E$274)</f>
        <v>37233.987862069</v>
      </c>
      <c r="N252" s="1" t="n">
        <f aca="false">VAR($G$245:$G$274)</f>
        <v>8.52882344827586</v>
      </c>
      <c r="O252" s="1" t="n">
        <f aca="false">VAR($I$245:$I$274)</f>
        <v>2345.31034482759</v>
      </c>
    </row>
    <row r="253" customFormat="false" ht="13.8" hidden="false" customHeight="false" outlineLevel="0" collapsed="false">
      <c r="A253" s="1" t="n">
        <v>252</v>
      </c>
      <c r="B253" s="32" t="n">
        <v>44813</v>
      </c>
      <c r="C253" s="33" t="n">
        <v>1969</v>
      </c>
      <c r="D253" s="33" t="n">
        <f aca="false">C252-C253</f>
        <v>6123</v>
      </c>
      <c r="E253" s="33" t="n">
        <v>97.6</v>
      </c>
      <c r="F253" s="33" t="n">
        <f aca="false">E252-E253</f>
        <v>266.5</v>
      </c>
      <c r="G253" s="33" t="n">
        <v>1.42</v>
      </c>
      <c r="H253" s="33" t="n">
        <f aca="false">G253-G252</f>
        <v>-4.41</v>
      </c>
      <c r="I253" s="33" t="n">
        <v>25</v>
      </c>
      <c r="J253" s="33" t="n">
        <f aca="false">I252-I253</f>
        <v>60</v>
      </c>
      <c r="K253" s="1" t="s">
        <v>16</v>
      </c>
      <c r="L253" s="1" t="n">
        <f aca="false">STDEV($C$245:$C$274)</f>
        <v>4055.93056062893</v>
      </c>
      <c r="M253" s="1" t="n">
        <f aca="false">STDEV($E$245:$E$274)</f>
        <v>192.961104531636</v>
      </c>
      <c r="N253" s="1" t="n">
        <f aca="false">STDEV($G$245:$G$274)</f>
        <v>2.92041494453714</v>
      </c>
      <c r="O253" s="1" t="n">
        <f aca="false">STDEV($I$245:$I$274)</f>
        <v>48.428404318412</v>
      </c>
    </row>
    <row r="254" customFormat="false" ht="13.8" hidden="false" customHeight="false" outlineLevel="0" collapsed="false">
      <c r="A254" s="33" t="n">
        <v>253</v>
      </c>
      <c r="B254" s="32" t="n">
        <v>44814</v>
      </c>
      <c r="C254" s="33" t="n">
        <v>4079</v>
      </c>
      <c r="D254" s="33" t="n">
        <f aca="false">C253-C254</f>
        <v>-2110</v>
      </c>
      <c r="E254" s="33" t="n">
        <v>207.4</v>
      </c>
      <c r="F254" s="33" t="n">
        <f aca="false">E253-E254</f>
        <v>-109.8</v>
      </c>
      <c r="G254" s="33" t="n">
        <v>2.94</v>
      </c>
      <c r="H254" s="33" t="n">
        <f aca="false">G254-G253</f>
        <v>1.52</v>
      </c>
      <c r="I254" s="33" t="n">
        <v>54</v>
      </c>
      <c r="J254" s="33" t="n">
        <f aca="false">I253-I254</f>
        <v>-29</v>
      </c>
      <c r="K254" s="1" t="s">
        <v>20</v>
      </c>
      <c r="L254" s="1" t="n">
        <f aca="false">KURT($C$245:$C$274)</f>
        <v>3.94639387337659</v>
      </c>
      <c r="M254" s="1" t="n">
        <f aca="false">KURT($E$245:$E$274)</f>
        <v>4.6262805557295</v>
      </c>
      <c r="N254" s="1" t="n">
        <f aca="false">KURT($G$245:$G$274)</f>
        <v>3.94272087289791</v>
      </c>
      <c r="O254" s="1" t="n">
        <f aca="false">KURT($I$245:$I$274)</f>
        <v>5.33905105188808</v>
      </c>
    </row>
    <row r="255" customFormat="false" ht="13.8" hidden="false" customHeight="false" outlineLevel="0" collapsed="false">
      <c r="A255" s="1" t="n">
        <v>254</v>
      </c>
      <c r="B255" s="32" t="n">
        <v>44815</v>
      </c>
      <c r="C255" s="33" t="n">
        <v>19003</v>
      </c>
      <c r="D255" s="33" t="n">
        <f aca="false">C254-C255</f>
        <v>-14924</v>
      </c>
      <c r="E255" s="33" t="n">
        <v>906</v>
      </c>
      <c r="F255" s="33" t="n">
        <f aca="false">E254-E255</f>
        <v>-698.6</v>
      </c>
      <c r="G255" s="33" t="n">
        <v>13.68</v>
      </c>
      <c r="H255" s="33" t="n">
        <f aca="false">G255-G254</f>
        <v>10.74</v>
      </c>
      <c r="I255" s="33" t="n">
        <v>227</v>
      </c>
      <c r="J255" s="33" t="n">
        <f aca="false">I254-I255</f>
        <v>-173</v>
      </c>
      <c r="K255" s="1" t="s">
        <v>22</v>
      </c>
      <c r="L255" s="1" t="n">
        <f aca="false">SKEW($C$245:$C$274)</f>
        <v>1.7077855130873</v>
      </c>
      <c r="M255" s="1" t="n">
        <f aca="false">SKEW($E$245:$E$274)</f>
        <v>1.88457841719216</v>
      </c>
      <c r="N255" s="1" t="n">
        <f aca="false">SKEW($G$245:$G$274)</f>
        <v>1.70695391390517</v>
      </c>
      <c r="O255" s="1" t="n">
        <f aca="false">SKEW($I$245:$I$274)</f>
        <v>2.07124196058254</v>
      </c>
    </row>
    <row r="256" customFormat="false" ht="13.8" hidden="false" customHeight="false" outlineLevel="0" collapsed="false">
      <c r="A256" s="33" t="n">
        <v>255</v>
      </c>
      <c r="B256" s="32" t="n">
        <v>44816</v>
      </c>
      <c r="C256" s="33" t="n">
        <v>6820</v>
      </c>
      <c r="D256" s="33" t="n">
        <f aca="false">C255-C256</f>
        <v>12183</v>
      </c>
      <c r="E256" s="33" t="n">
        <v>314.9</v>
      </c>
      <c r="F256" s="33" t="n">
        <f aca="false">E255-E256</f>
        <v>591.1</v>
      </c>
      <c r="G256" s="33" t="n">
        <v>4.91</v>
      </c>
      <c r="H256" s="33" t="n">
        <f aca="false">G256-G255</f>
        <v>-8.77</v>
      </c>
      <c r="I256" s="33" t="n">
        <v>75</v>
      </c>
      <c r="J256" s="33" t="n">
        <f aca="false">I255-I256</f>
        <v>152</v>
      </c>
      <c r="K256" s="1" t="s">
        <v>24</v>
      </c>
      <c r="L256" s="1" t="n">
        <f aca="false">MAX($C$245:$C$274)-MIN($C$245:$C$274)</f>
        <v>18344</v>
      </c>
      <c r="M256" s="1" t="n">
        <f aca="false">MAX($E$245:$E$274)-MIN($E$245:$E$274)</f>
        <v>875.7</v>
      </c>
      <c r="N256" s="1" t="n">
        <f aca="false">MAX($G$245:$G$274)-MIN($G$245:$G$274)</f>
        <v>13.21</v>
      </c>
      <c r="O256" s="1" t="n">
        <f aca="false">MAX($I$245:$I$274)-MIN($I$245:$I$274)</f>
        <v>220</v>
      </c>
    </row>
    <row r="257" customFormat="false" ht="13.8" hidden="false" customHeight="false" outlineLevel="0" collapsed="false">
      <c r="A257" s="1" t="n">
        <v>256</v>
      </c>
      <c r="B257" s="32" t="n">
        <v>44817</v>
      </c>
      <c r="C257" s="33" t="n">
        <v>4221</v>
      </c>
      <c r="D257" s="33" t="n">
        <f aca="false">C256-C257</f>
        <v>2599</v>
      </c>
      <c r="E257" s="33" t="n">
        <v>191.6</v>
      </c>
      <c r="F257" s="33" t="n">
        <f aca="false">E256-E257</f>
        <v>123.3</v>
      </c>
      <c r="G257" s="33" t="n">
        <v>3.04</v>
      </c>
      <c r="H257" s="33" t="n">
        <f aca="false">G257-G256</f>
        <v>-1.87</v>
      </c>
      <c r="I257" s="33" t="n">
        <v>45</v>
      </c>
      <c r="J257" s="33" t="n">
        <f aca="false">I256-I257</f>
        <v>30</v>
      </c>
      <c r="K257" s="1" t="s">
        <v>26</v>
      </c>
      <c r="L257" s="1" t="n">
        <f aca="false">MIN($C$245:$C$274)</f>
        <v>659</v>
      </c>
      <c r="M257" s="1" t="n">
        <f aca="false">MIN($E$245:$E$274)</f>
        <v>30.3</v>
      </c>
      <c r="N257" s="1" t="n">
        <f aca="false">MIN($G$245:$G$274)</f>
        <v>0.47</v>
      </c>
      <c r="O257" s="1" t="n">
        <f aca="false">MIN($I$245:$I$274)</f>
        <v>7</v>
      </c>
    </row>
    <row r="258" customFormat="false" ht="13.8" hidden="false" customHeight="false" outlineLevel="0" collapsed="false">
      <c r="A258" s="33" t="n">
        <v>257</v>
      </c>
      <c r="B258" s="32" t="n">
        <v>44818</v>
      </c>
      <c r="C258" s="33" t="n">
        <v>6963</v>
      </c>
      <c r="D258" s="33" t="n">
        <f aca="false">C257-C258</f>
        <v>-2742</v>
      </c>
      <c r="E258" s="33" t="n">
        <v>321.7</v>
      </c>
      <c r="F258" s="33" t="n">
        <f aca="false">E257-E258</f>
        <v>-130.1</v>
      </c>
      <c r="G258" s="33" t="n">
        <v>5.01</v>
      </c>
      <c r="H258" s="33" t="n">
        <f aca="false">G258-G257</f>
        <v>1.97</v>
      </c>
      <c r="I258" s="33" t="n">
        <v>77</v>
      </c>
      <c r="J258" s="33" t="n">
        <f aca="false">I257-I258</f>
        <v>-32</v>
      </c>
      <c r="K258" s="1" t="s">
        <v>28</v>
      </c>
      <c r="L258" s="1" t="n">
        <f aca="false">MAX($C$245:$C$274)</f>
        <v>19003</v>
      </c>
      <c r="M258" s="1" t="n">
        <f aca="false">MAX($E$245:$E$274)</f>
        <v>906</v>
      </c>
      <c r="N258" s="1" t="n">
        <f aca="false">MAX($G$245:$G$274)</f>
        <v>13.68</v>
      </c>
      <c r="O258" s="1" t="n">
        <f aca="false">MAX($I$245:$I$274)</f>
        <v>227</v>
      </c>
    </row>
    <row r="259" customFormat="false" ht="13.8" hidden="false" customHeight="false" outlineLevel="0" collapsed="false">
      <c r="A259" s="1" t="n">
        <v>258</v>
      </c>
      <c r="B259" s="32" t="n">
        <v>44819</v>
      </c>
      <c r="C259" s="33" t="n">
        <v>7148</v>
      </c>
      <c r="D259" s="33" t="n">
        <f aca="false">C258-C259</f>
        <v>-185</v>
      </c>
      <c r="E259" s="33" t="n">
        <v>324.2</v>
      </c>
      <c r="F259" s="33" t="n">
        <f aca="false">E258-E259</f>
        <v>-2.5</v>
      </c>
      <c r="G259" s="33" t="n">
        <v>5.15</v>
      </c>
      <c r="H259" s="33" t="n">
        <f aca="false">G259-G258</f>
        <v>0.140000000000001</v>
      </c>
      <c r="I259" s="33" t="n">
        <v>76</v>
      </c>
      <c r="J259" s="33" t="n">
        <f aca="false">I258-I259</f>
        <v>1</v>
      </c>
      <c r="K259" s="1" t="s">
        <v>30</v>
      </c>
      <c r="L259" s="1" t="n">
        <f aca="false">SUM($C$245:$C$274)</f>
        <v>186970</v>
      </c>
      <c r="M259" s="1" t="n">
        <f aca="false">SUM($E$245:$E$274)</f>
        <v>8810.4</v>
      </c>
      <c r="N259" s="1" t="n">
        <f aca="false">SUM($G$245:$G$274)</f>
        <v>134.64</v>
      </c>
      <c r="O259" s="1" t="n">
        <f aca="false">SUM($I$245:$I$274)</f>
        <v>2160</v>
      </c>
    </row>
    <row r="260" customFormat="false" ht="13.8" hidden="false" customHeight="false" outlineLevel="0" collapsed="false">
      <c r="A260" s="33" t="n">
        <v>259</v>
      </c>
      <c r="B260" s="32" t="n">
        <v>44820</v>
      </c>
      <c r="C260" s="33" t="n">
        <v>3075</v>
      </c>
      <c r="D260" s="33" t="n">
        <f aca="false">C259-C260</f>
        <v>4073</v>
      </c>
      <c r="E260" s="33" t="n">
        <v>149.7</v>
      </c>
      <c r="F260" s="33" t="n">
        <f aca="false">E259-E260</f>
        <v>174.5</v>
      </c>
      <c r="G260" s="33" t="n">
        <v>2.21</v>
      </c>
      <c r="H260" s="33" t="n">
        <f aca="false">G260-G259</f>
        <v>-2.94</v>
      </c>
      <c r="I260" s="33" t="n">
        <v>38</v>
      </c>
      <c r="J260" s="33" t="n">
        <f aca="false">I259-I260</f>
        <v>38</v>
      </c>
      <c r="K260" s="1" t="s">
        <v>32</v>
      </c>
      <c r="L260" s="1" t="n">
        <f aca="false">COUNT($C$245:$C$274)</f>
        <v>30</v>
      </c>
      <c r="M260" s="1" t="n">
        <f aca="false">COUNT($E$245:$E$274)</f>
        <v>30</v>
      </c>
      <c r="N260" s="1" t="n">
        <f aca="false">COUNT($G$245:$G$274)</f>
        <v>30</v>
      </c>
      <c r="O260" s="1" t="n">
        <f aca="false">COUNT($I$245:$I$274)</f>
        <v>30</v>
      </c>
    </row>
    <row r="261" customFormat="false" ht="13.8" hidden="false" customHeight="false" outlineLevel="0" collapsed="false">
      <c r="A261" s="1" t="n">
        <v>260</v>
      </c>
      <c r="B261" s="32" t="n">
        <v>44821</v>
      </c>
      <c r="C261" s="33" t="n">
        <v>659</v>
      </c>
      <c r="D261" s="33" t="n">
        <f aca="false">C260-C261</f>
        <v>2416</v>
      </c>
      <c r="E261" s="33" t="n">
        <v>30.3</v>
      </c>
      <c r="F261" s="33" t="n">
        <f aca="false">E260-E261</f>
        <v>119.4</v>
      </c>
      <c r="G261" s="33" t="n">
        <v>0.47</v>
      </c>
      <c r="H261" s="33" t="n">
        <f aca="false">G261-G260</f>
        <v>-1.74</v>
      </c>
      <c r="I261" s="33" t="n">
        <v>7</v>
      </c>
      <c r="J261" s="33" t="n">
        <f aca="false">I260-I261</f>
        <v>31</v>
      </c>
    </row>
    <row r="262" customFormat="false" ht="13.8" hidden="false" customHeight="false" outlineLevel="0" collapsed="false">
      <c r="A262" s="33" t="n">
        <v>261</v>
      </c>
      <c r="B262" s="32" t="n">
        <v>44822</v>
      </c>
      <c r="C262" s="33" t="n">
        <v>8009</v>
      </c>
      <c r="D262" s="33" t="n">
        <f aca="false">C261-C262</f>
        <v>-7350</v>
      </c>
      <c r="E262" s="33" t="n">
        <v>372.8</v>
      </c>
      <c r="F262" s="33" t="n">
        <f aca="false">E261-E262</f>
        <v>-342.5</v>
      </c>
      <c r="G262" s="33" t="n">
        <v>5.77</v>
      </c>
      <c r="H262" s="33" t="n">
        <f aca="false">G262-G261</f>
        <v>5.3</v>
      </c>
      <c r="I262" s="33" t="n">
        <v>90</v>
      </c>
      <c r="J262" s="33" t="n">
        <f aca="false">I261-I262</f>
        <v>-83</v>
      </c>
    </row>
    <row r="263" customFormat="false" ht="13.8" hidden="false" customHeight="false" outlineLevel="0" collapsed="false">
      <c r="A263" s="1" t="n">
        <v>262</v>
      </c>
      <c r="B263" s="32" t="n">
        <v>44823</v>
      </c>
      <c r="C263" s="33" t="n">
        <v>6199</v>
      </c>
      <c r="D263" s="33" t="n">
        <f aca="false">C262-C263</f>
        <v>1810</v>
      </c>
      <c r="E263" s="33" t="n">
        <v>301.4</v>
      </c>
      <c r="F263" s="33" t="n">
        <f aca="false">E262-E263</f>
        <v>71.4</v>
      </c>
      <c r="G263" s="33" t="n">
        <v>4.46</v>
      </c>
      <c r="H263" s="33" t="n">
        <f aca="false">G263-G262</f>
        <v>-1.31</v>
      </c>
      <c r="I263" s="33" t="n">
        <v>76</v>
      </c>
      <c r="J263" s="33" t="n">
        <f aca="false">I262-I263</f>
        <v>14</v>
      </c>
    </row>
    <row r="264" customFormat="false" ht="13.8" hidden="false" customHeight="false" outlineLevel="0" collapsed="false">
      <c r="A264" s="33" t="n">
        <v>263</v>
      </c>
      <c r="B264" s="32" t="n">
        <v>44824</v>
      </c>
      <c r="C264" s="33" t="n">
        <v>3211</v>
      </c>
      <c r="D264" s="33" t="n">
        <f aca="false">C263-C264</f>
        <v>2988</v>
      </c>
      <c r="E264" s="33" t="n">
        <v>162.7</v>
      </c>
      <c r="F264" s="33" t="n">
        <f aca="false">E263-E264</f>
        <v>138.7</v>
      </c>
      <c r="G264" s="33" t="n">
        <v>2.31</v>
      </c>
      <c r="H264" s="33" t="n">
        <f aca="false">G264-G263</f>
        <v>-2.15</v>
      </c>
      <c r="I264" s="33" t="n">
        <v>42</v>
      </c>
      <c r="J264" s="33" t="n">
        <f aca="false">I263-I264</f>
        <v>34</v>
      </c>
    </row>
    <row r="265" customFormat="false" ht="13.8" hidden="false" customHeight="false" outlineLevel="0" collapsed="false">
      <c r="A265" s="1" t="n">
        <v>264</v>
      </c>
      <c r="B265" s="32" t="n">
        <v>44825</v>
      </c>
      <c r="C265" s="33" t="n">
        <v>6019</v>
      </c>
      <c r="D265" s="33" t="n">
        <f aca="false">C264-C265</f>
        <v>-2808</v>
      </c>
      <c r="E265" s="33" t="n">
        <v>297.7</v>
      </c>
      <c r="F265" s="33" t="n">
        <f aca="false">E264-E265</f>
        <v>-135</v>
      </c>
      <c r="G265" s="33" t="n">
        <v>4.33</v>
      </c>
      <c r="H265" s="33" t="n">
        <f aca="false">G265-G264</f>
        <v>2.02</v>
      </c>
      <c r="I265" s="33" t="n">
        <v>77</v>
      </c>
      <c r="J265" s="33" t="n">
        <f aca="false">I264-I265</f>
        <v>-35</v>
      </c>
    </row>
    <row r="266" customFormat="false" ht="13.8" hidden="false" customHeight="false" outlineLevel="0" collapsed="false">
      <c r="A266" s="33" t="n">
        <v>265</v>
      </c>
      <c r="B266" s="32" t="n">
        <v>44826</v>
      </c>
      <c r="C266" s="33" t="n">
        <v>7087</v>
      </c>
      <c r="D266" s="33" t="n">
        <f aca="false">C265-C266</f>
        <v>-1068</v>
      </c>
      <c r="E266" s="33" t="n">
        <v>325.2</v>
      </c>
      <c r="F266" s="33" t="n">
        <f aca="false">E265-E266</f>
        <v>-27.5</v>
      </c>
      <c r="G266" s="33" t="n">
        <v>5.1</v>
      </c>
      <c r="H266" s="33" t="n">
        <f aca="false">G266-G265</f>
        <v>0.77</v>
      </c>
      <c r="I266" s="33" t="n">
        <v>78</v>
      </c>
      <c r="J266" s="33" t="n">
        <f aca="false">I265-I266</f>
        <v>-1</v>
      </c>
    </row>
    <row r="267" customFormat="false" ht="13.8" hidden="false" customHeight="false" outlineLevel="0" collapsed="false">
      <c r="A267" s="1" t="n">
        <v>266</v>
      </c>
      <c r="B267" s="32" t="n">
        <v>44827</v>
      </c>
      <c r="C267" s="33" t="n">
        <v>2748</v>
      </c>
      <c r="D267" s="33" t="n">
        <f aca="false">C266-C267</f>
        <v>4339</v>
      </c>
      <c r="E267" s="33" t="n">
        <v>133.9</v>
      </c>
      <c r="F267" s="33" t="n">
        <f aca="false">E266-E267</f>
        <v>191.3</v>
      </c>
      <c r="G267" s="33" t="n">
        <v>1.98</v>
      </c>
      <c r="H267" s="33" t="n">
        <f aca="false">G267-G266</f>
        <v>-3.12</v>
      </c>
      <c r="I267" s="33" t="n">
        <v>34</v>
      </c>
      <c r="J267" s="33" t="n">
        <f aca="false">I266-I267</f>
        <v>44</v>
      </c>
    </row>
    <row r="268" customFormat="false" ht="13.8" hidden="false" customHeight="false" outlineLevel="0" collapsed="false">
      <c r="A268" s="33" t="n">
        <v>267</v>
      </c>
      <c r="B268" s="32" t="n">
        <v>44828</v>
      </c>
      <c r="C268" s="33" t="n">
        <v>17691</v>
      </c>
      <c r="D268" s="33" t="n">
        <f aca="false">C267-C268</f>
        <v>-14943</v>
      </c>
      <c r="E268" s="33" t="n">
        <v>866.5</v>
      </c>
      <c r="F268" s="33" t="n">
        <f aca="false">E267-E268</f>
        <v>-732.6</v>
      </c>
      <c r="G268" s="33" t="n">
        <v>12.74</v>
      </c>
      <c r="H268" s="33" t="n">
        <f aca="false">G268-G267</f>
        <v>10.76</v>
      </c>
      <c r="I268" s="33" t="n">
        <v>222</v>
      </c>
      <c r="J268" s="33" t="n">
        <f aca="false">I267-I268</f>
        <v>-188</v>
      </c>
    </row>
    <row r="269" customFormat="false" ht="13.8" hidden="false" customHeight="false" outlineLevel="0" collapsed="false">
      <c r="A269" s="1" t="n">
        <v>268</v>
      </c>
      <c r="B269" s="32" t="n">
        <v>44829</v>
      </c>
      <c r="C269" s="33" t="n">
        <v>7239</v>
      </c>
      <c r="D269" s="33" t="n">
        <f aca="false">C268-C269</f>
        <v>10452</v>
      </c>
      <c r="E269" s="33" t="n">
        <v>344.2</v>
      </c>
      <c r="F269" s="33" t="n">
        <f aca="false">E268-E269</f>
        <v>522.3</v>
      </c>
      <c r="G269" s="33" t="n">
        <v>5.21</v>
      </c>
      <c r="H269" s="33" t="n">
        <f aca="false">G269-G268</f>
        <v>-7.53</v>
      </c>
      <c r="I269" s="33" t="n">
        <v>85</v>
      </c>
      <c r="J269" s="33" t="n">
        <f aca="false">I268-I269</f>
        <v>137</v>
      </c>
    </row>
    <row r="270" customFormat="false" ht="13.8" hidden="false" customHeight="false" outlineLevel="0" collapsed="false">
      <c r="A270" s="33" t="n">
        <v>269</v>
      </c>
      <c r="B270" s="32" t="n">
        <v>44830</v>
      </c>
      <c r="C270" s="33" t="n">
        <v>6320</v>
      </c>
      <c r="D270" s="33" t="n">
        <f aca="false">C269-C270</f>
        <v>919</v>
      </c>
      <c r="E270" s="33" t="n">
        <v>302.9</v>
      </c>
      <c r="F270" s="33" t="n">
        <f aca="false">E269-E270</f>
        <v>41.3</v>
      </c>
      <c r="G270" s="33" t="n">
        <v>4.55</v>
      </c>
      <c r="H270" s="33" t="n">
        <f aca="false">G270-G269</f>
        <v>-0.66</v>
      </c>
      <c r="I270" s="33" t="n">
        <v>75</v>
      </c>
      <c r="J270" s="33" t="n">
        <f aca="false">I269-I270</f>
        <v>10</v>
      </c>
    </row>
    <row r="271" customFormat="false" ht="13.8" hidden="false" customHeight="false" outlineLevel="0" collapsed="false">
      <c r="A271" s="1" t="n">
        <v>270</v>
      </c>
      <c r="B271" s="32" t="n">
        <v>44831</v>
      </c>
      <c r="C271" s="33" t="n">
        <v>8827</v>
      </c>
      <c r="D271" s="33" t="n">
        <f aca="false">C270-C271</f>
        <v>-2507</v>
      </c>
      <c r="E271" s="33" t="n">
        <v>397.8</v>
      </c>
      <c r="F271" s="33" t="n">
        <f aca="false">E270-E271</f>
        <v>-94.9</v>
      </c>
      <c r="G271" s="33" t="n">
        <v>6.36</v>
      </c>
      <c r="H271" s="33" t="n">
        <f aca="false">G271-G270</f>
        <v>1.81</v>
      </c>
      <c r="I271" s="33" t="n">
        <v>93</v>
      </c>
      <c r="J271" s="33" t="n">
        <f aca="false">I270-I271</f>
        <v>-18</v>
      </c>
    </row>
    <row r="272" customFormat="false" ht="13.8" hidden="false" customHeight="false" outlineLevel="0" collapsed="false">
      <c r="A272" s="33" t="n">
        <v>271</v>
      </c>
      <c r="B272" s="32" t="n">
        <v>44832</v>
      </c>
      <c r="C272" s="33" t="n">
        <v>4472</v>
      </c>
      <c r="D272" s="33" t="n">
        <f aca="false">C271-C272</f>
        <v>4355</v>
      </c>
      <c r="E272" s="33" t="n">
        <v>199.1</v>
      </c>
      <c r="F272" s="33" t="n">
        <f aca="false">E271-E272</f>
        <v>198.7</v>
      </c>
      <c r="G272" s="33" t="n">
        <v>3.22</v>
      </c>
      <c r="H272" s="33" t="n">
        <f aca="false">G272-G271</f>
        <v>-3.14</v>
      </c>
      <c r="I272" s="33" t="n">
        <v>45</v>
      </c>
      <c r="J272" s="33" t="n">
        <f aca="false">I271-I272</f>
        <v>48</v>
      </c>
    </row>
    <row r="273" customFormat="false" ht="13.8" hidden="false" customHeight="false" outlineLevel="0" collapsed="false">
      <c r="A273" s="1" t="n">
        <v>272</v>
      </c>
      <c r="B273" s="32" t="n">
        <v>44833</v>
      </c>
      <c r="C273" s="33" t="n">
        <v>4402</v>
      </c>
      <c r="D273" s="33" t="n">
        <f aca="false">C272-C273</f>
        <v>70</v>
      </c>
      <c r="E273" s="33" t="n">
        <v>204.4</v>
      </c>
      <c r="F273" s="33" t="n">
        <f aca="false">E272-E273</f>
        <v>-5.30000000000001</v>
      </c>
      <c r="G273" s="33" t="n">
        <v>3.17</v>
      </c>
      <c r="H273" s="33" t="n">
        <f aca="false">G273-G272</f>
        <v>-0.0500000000000003</v>
      </c>
      <c r="I273" s="33" t="n">
        <v>49</v>
      </c>
      <c r="J273" s="33" t="n">
        <f aca="false">I272-I273</f>
        <v>-4</v>
      </c>
    </row>
    <row r="274" customFormat="false" ht="13.8" hidden="false" customHeight="false" outlineLevel="0" collapsed="false">
      <c r="A274" s="33" t="n">
        <v>273</v>
      </c>
      <c r="B274" s="32" t="n">
        <v>44834</v>
      </c>
      <c r="C274" s="33" t="n">
        <v>3125</v>
      </c>
      <c r="D274" s="33" t="n">
        <f aca="false">C273-C274</f>
        <v>1277</v>
      </c>
      <c r="E274" s="33" t="n">
        <v>162.5</v>
      </c>
      <c r="F274" s="33" t="n">
        <f aca="false">E273-E274</f>
        <v>41.9</v>
      </c>
      <c r="G274" s="33" t="n">
        <v>2.26</v>
      </c>
      <c r="H274" s="33" t="n">
        <f aca="false">G274-G273</f>
        <v>-0.91</v>
      </c>
      <c r="I274" s="33" t="n">
        <v>43</v>
      </c>
      <c r="J274" s="33" t="n">
        <f aca="false">I273-I274</f>
        <v>6</v>
      </c>
    </row>
    <row r="275" customFormat="false" ht="13.8" hidden="false" customHeight="false" outlineLevel="0" collapsed="false">
      <c r="A275" s="1" t="n">
        <v>274</v>
      </c>
      <c r="B275" s="32" t="n">
        <v>44835</v>
      </c>
      <c r="C275" s="33" t="n">
        <v>14707</v>
      </c>
      <c r="D275" s="33" t="n">
        <f aca="false">C274-C275</f>
        <v>-11582</v>
      </c>
      <c r="E275" s="33" t="n">
        <v>682.6</v>
      </c>
      <c r="F275" s="33" t="n">
        <f aca="false">E274-E275</f>
        <v>-520.1</v>
      </c>
      <c r="G275" s="33" t="n">
        <v>10.59</v>
      </c>
      <c r="H275" s="33" t="n">
        <f aca="false">G275-G274</f>
        <v>8.33</v>
      </c>
      <c r="I275" s="33" t="n">
        <v>167</v>
      </c>
      <c r="J275" s="33" t="n">
        <f aca="false">I274-I275</f>
        <v>-124</v>
      </c>
      <c r="L275" s="1" t="s">
        <v>2</v>
      </c>
      <c r="M275" s="1" t="s">
        <v>179</v>
      </c>
      <c r="N275" s="1" t="s">
        <v>175</v>
      </c>
      <c r="O275" s="1" t="s">
        <v>177</v>
      </c>
    </row>
    <row r="276" customFormat="false" ht="13.8" hidden="false" customHeight="false" outlineLevel="0" collapsed="false">
      <c r="A276" s="33" t="n">
        <v>275</v>
      </c>
      <c r="B276" s="32" t="n">
        <v>44836</v>
      </c>
      <c r="C276" s="33" t="n">
        <v>7100</v>
      </c>
      <c r="D276" s="33" t="n">
        <f aca="false">C275-C276</f>
        <v>7607</v>
      </c>
      <c r="E276" s="33" t="n">
        <v>327.4</v>
      </c>
      <c r="F276" s="33" t="n">
        <f aca="false">E275-E276</f>
        <v>355.2</v>
      </c>
      <c r="G276" s="33" t="n">
        <v>5.11</v>
      </c>
      <c r="H276" s="33" t="n">
        <f aca="false">G276-G275</f>
        <v>-5.48</v>
      </c>
      <c r="I276" s="33" t="n">
        <v>78</v>
      </c>
      <c r="J276" s="33" t="n">
        <f aca="false">I275-I276</f>
        <v>89</v>
      </c>
      <c r="K276" s="1" t="s">
        <v>8</v>
      </c>
      <c r="L276" s="1" t="n">
        <f aca="false">AVERAGE($C$275:$C$305)</f>
        <v>7483.96774193548</v>
      </c>
      <c r="M276" s="1" t="n">
        <f aca="false">AVERAGE($E$275:$E$305)</f>
        <v>347.487096774194</v>
      </c>
      <c r="N276" s="1" t="n">
        <f aca="false">AVERAGE($G$275:$G$305)</f>
        <v>5.41193548387097</v>
      </c>
      <c r="O276" s="1" t="n">
        <f aca="false">AVERAGE($I$275:$I$305)</f>
        <v>83.5161290322581</v>
      </c>
    </row>
    <row r="277" customFormat="false" ht="13.8" hidden="false" customHeight="false" outlineLevel="0" collapsed="false">
      <c r="A277" s="1" t="n">
        <v>276</v>
      </c>
      <c r="B277" s="32" t="n">
        <v>44837</v>
      </c>
      <c r="C277" s="33" t="n">
        <v>6334</v>
      </c>
      <c r="D277" s="33" t="n">
        <f aca="false">C276-C277</f>
        <v>766</v>
      </c>
      <c r="E277" s="33" t="n">
        <v>289.4</v>
      </c>
      <c r="F277" s="33" t="n">
        <f aca="false">E276-E277</f>
        <v>38</v>
      </c>
      <c r="G277" s="33" t="n">
        <v>4.56</v>
      </c>
      <c r="H277" s="33" t="n">
        <f aca="false">G277-G276</f>
        <v>-0.550000000000001</v>
      </c>
      <c r="I277" s="33" t="n">
        <v>69</v>
      </c>
      <c r="J277" s="33" t="n">
        <f aca="false">I276-I277</f>
        <v>9</v>
      </c>
      <c r="K277" s="1" t="s">
        <v>10</v>
      </c>
      <c r="L277" s="1" t="n">
        <f aca="false">SQRT(VAR($C$275:$C$305)/COUNT($C$275:$C$305))</f>
        <v>727.749276634978</v>
      </c>
      <c r="M277" s="1" t="n">
        <f aca="false">SQRT(VAR($E$275:$E$305)/COUNT($E$275:$E$305))</f>
        <v>32.4901390307147</v>
      </c>
      <c r="N277" s="1" t="n">
        <f aca="false">SQRT(VAR($G$275:$G$305)/COUNT($G$275:$G$305))</f>
        <v>0.524490212165065</v>
      </c>
      <c r="O277" s="1" t="n">
        <f aca="false">SQRT(VAR($I$275:$I$305)/COUNT($I$275:$I$305))</f>
        <v>7.59751953972047</v>
      </c>
    </row>
    <row r="278" customFormat="false" ht="13.8" hidden="false" customHeight="false" outlineLevel="0" collapsed="false">
      <c r="A278" s="33" t="n">
        <v>277</v>
      </c>
      <c r="B278" s="32" t="n">
        <v>44838</v>
      </c>
      <c r="C278" s="33" t="n">
        <v>6960</v>
      </c>
      <c r="D278" s="33" t="n">
        <f aca="false">C277-C278</f>
        <v>-626</v>
      </c>
      <c r="E278" s="33" t="n">
        <v>316.9</v>
      </c>
      <c r="F278" s="33" t="n">
        <f aca="false">E277-E278</f>
        <v>-27.5</v>
      </c>
      <c r="G278" s="33" t="n">
        <v>5.01</v>
      </c>
      <c r="H278" s="33" t="n">
        <f aca="false">G278-G277</f>
        <v>0.45</v>
      </c>
      <c r="I278" s="33" t="n">
        <v>75</v>
      </c>
      <c r="J278" s="33" t="n">
        <f aca="false">I277-I278</f>
        <v>-6</v>
      </c>
      <c r="K278" s="1" t="s">
        <v>14</v>
      </c>
      <c r="L278" s="1" t="e">
        <f aca="false">MODE($C$275:$C$305)</f>
        <v>#VALUE!</v>
      </c>
      <c r="M278" s="1" t="e">
        <f aca="false">MODE($E$275:$E$305)</f>
        <v>#VALUE!</v>
      </c>
      <c r="N278" s="1" t="e">
        <f aca="false">MODE($G$275:$G$305)</f>
        <v>#VALUE!</v>
      </c>
      <c r="O278" s="1" t="n">
        <f aca="false">MODE($I$275:$I$305)</f>
        <v>68</v>
      </c>
    </row>
    <row r="279" customFormat="false" ht="13.8" hidden="false" customHeight="false" outlineLevel="0" collapsed="false">
      <c r="A279" s="1" t="n">
        <v>278</v>
      </c>
      <c r="B279" s="32" t="n">
        <v>44839</v>
      </c>
      <c r="C279" s="33" t="n">
        <v>8205</v>
      </c>
      <c r="D279" s="33" t="n">
        <f aca="false">C278-C279</f>
        <v>-1245</v>
      </c>
      <c r="E279" s="33" t="n">
        <v>369.1</v>
      </c>
      <c r="F279" s="33" t="n">
        <f aca="false">E278-E279</f>
        <v>-52.2</v>
      </c>
      <c r="G279" s="33" t="n">
        <v>5.91</v>
      </c>
      <c r="H279" s="33" t="n">
        <f aca="false">G279-G278</f>
        <v>0.9</v>
      </c>
      <c r="I279" s="33" t="n">
        <v>86</v>
      </c>
      <c r="J279" s="33" t="n">
        <f aca="false">I278-I279</f>
        <v>-11</v>
      </c>
      <c r="K279" s="1" t="s">
        <v>12</v>
      </c>
      <c r="L279" s="1" t="n">
        <f aca="false">MEDIAN($C$275:$C$305)</f>
        <v>6960</v>
      </c>
      <c r="M279" s="1" t="n">
        <f aca="false">MEDIAN($E$275:$E$305)</f>
        <v>313.5</v>
      </c>
      <c r="N279" s="1" t="n">
        <f aca="false">MEDIAN($G$275:$G$305)</f>
        <v>5.01</v>
      </c>
      <c r="O279" s="1" t="n">
        <f aca="false">MEDIAN($I$275:$I$305)</f>
        <v>77</v>
      </c>
    </row>
    <row r="280" customFormat="false" ht="13.8" hidden="false" customHeight="false" outlineLevel="0" collapsed="false">
      <c r="A280" s="33" t="n">
        <v>279</v>
      </c>
      <c r="B280" s="32" t="n">
        <v>44840</v>
      </c>
      <c r="C280" s="33" t="n">
        <v>7277</v>
      </c>
      <c r="D280" s="33" t="n">
        <f aca="false">C279-C280</f>
        <v>928</v>
      </c>
      <c r="E280" s="33" t="n">
        <v>329</v>
      </c>
      <c r="F280" s="33" t="n">
        <f aca="false">E279-E280</f>
        <v>40.1</v>
      </c>
      <c r="G280" s="33" t="n">
        <v>5.24</v>
      </c>
      <c r="H280" s="33" t="n">
        <f aca="false">G280-G279</f>
        <v>-0.67</v>
      </c>
      <c r="I280" s="33" t="n">
        <v>77</v>
      </c>
      <c r="J280" s="33" t="n">
        <f aca="false">I279-I280</f>
        <v>9</v>
      </c>
      <c r="K280" s="1" t="s">
        <v>195</v>
      </c>
      <c r="L280" s="1" t="n">
        <f aca="false">QUARTILE($C$275:$C$305, 1)</f>
        <v>6095</v>
      </c>
      <c r="M280" s="1" t="n">
        <f aca="false">QUARTILE($E$275:$E$305, 1)</f>
        <v>278.45</v>
      </c>
      <c r="N280" s="1" t="n">
        <f aca="false">QUARTILE($G$275:$G$305, 1)</f>
        <v>4.39</v>
      </c>
      <c r="O280" s="1" t="n">
        <f aca="false">QUARTILE($I$275:$I$305, 1)</f>
        <v>65</v>
      </c>
    </row>
    <row r="281" customFormat="false" ht="13.8" hidden="false" customHeight="false" outlineLevel="0" collapsed="false">
      <c r="A281" s="1" t="n">
        <v>280</v>
      </c>
      <c r="B281" s="32" t="n">
        <v>44841</v>
      </c>
      <c r="C281" s="33" t="n">
        <v>6165</v>
      </c>
      <c r="D281" s="33" t="n">
        <f aca="false">C280-C281</f>
        <v>1112</v>
      </c>
      <c r="E281" s="33" t="n">
        <v>273.5</v>
      </c>
      <c r="F281" s="33" t="n">
        <f aca="false">E280-E281</f>
        <v>55.5</v>
      </c>
      <c r="G281" s="33" t="n">
        <v>4.44</v>
      </c>
      <c r="H281" s="33" t="n">
        <f aca="false">G281-G280</f>
        <v>-0.8</v>
      </c>
      <c r="I281" s="33" t="n">
        <v>62</v>
      </c>
      <c r="J281" s="33" t="n">
        <f aca="false">I280-I281</f>
        <v>15</v>
      </c>
      <c r="K281" s="1" t="s">
        <v>181</v>
      </c>
      <c r="L281" s="1" t="n">
        <f aca="false">QUARTILE($C$275:$C$305, 3)</f>
        <v>8168.5</v>
      </c>
      <c r="M281" s="1" t="n">
        <f aca="false">QUARTILE($E$275:$E$305, 3)</f>
        <v>392.3</v>
      </c>
      <c r="N281" s="1" t="n">
        <f aca="false">QUARTILE($G$275:$G$305, 3)</f>
        <v>6.005</v>
      </c>
      <c r="O281" s="1" t="n">
        <f aca="false">QUARTILE($I$275:$I$305, 3)</f>
        <v>93</v>
      </c>
    </row>
    <row r="282" customFormat="false" ht="13.8" hidden="false" customHeight="false" outlineLevel="0" collapsed="false">
      <c r="A282" s="33" t="n">
        <v>281</v>
      </c>
      <c r="B282" s="32" t="n">
        <v>44842</v>
      </c>
      <c r="C282" s="33" t="n">
        <v>11903</v>
      </c>
      <c r="D282" s="33" t="n">
        <f aca="false">C281-C282</f>
        <v>-5738</v>
      </c>
      <c r="E282" s="33" t="n">
        <v>550.2</v>
      </c>
      <c r="F282" s="33" t="n">
        <f aca="false">E281-E282</f>
        <v>-276.7</v>
      </c>
      <c r="G282" s="33" t="n">
        <v>8.57</v>
      </c>
      <c r="H282" s="33" t="n">
        <f aca="false">G282-G281</f>
        <v>4.13</v>
      </c>
      <c r="I282" s="33" t="n">
        <v>134</v>
      </c>
      <c r="J282" s="33" t="n">
        <f aca="false">I281-I282</f>
        <v>-72</v>
      </c>
      <c r="K282" s="1" t="s">
        <v>182</v>
      </c>
      <c r="L282" s="1" t="n">
        <f aca="false">VAR($C$275:$C$305)</f>
        <v>16418189.2989247</v>
      </c>
      <c r="M282" s="1" t="n">
        <f aca="false">VAR($E$275:$E$305)</f>
        <v>32723.8831612903</v>
      </c>
      <c r="N282" s="1" t="n">
        <f aca="false">VAR($G$275:$G$305)</f>
        <v>8.52778946236559</v>
      </c>
      <c r="O282" s="1" t="n">
        <f aca="false">VAR($I$275:$I$305)</f>
        <v>1789.39139784946</v>
      </c>
    </row>
    <row r="283" customFormat="false" ht="13.8" hidden="false" customHeight="false" outlineLevel="0" collapsed="false">
      <c r="A283" s="1" t="n">
        <v>282</v>
      </c>
      <c r="B283" s="32" t="n">
        <v>44843</v>
      </c>
      <c r="C283" s="33" t="n">
        <v>18755</v>
      </c>
      <c r="D283" s="33" t="n">
        <f aca="false">C282-C283</f>
        <v>-6852</v>
      </c>
      <c r="E283" s="33" t="n">
        <v>838.7</v>
      </c>
      <c r="F283" s="33" t="n">
        <f aca="false">E282-E283</f>
        <v>-288.5</v>
      </c>
      <c r="G283" s="33" t="n">
        <v>13.5</v>
      </c>
      <c r="H283" s="33" t="n">
        <f aca="false">G283-G282</f>
        <v>4.93</v>
      </c>
      <c r="I283" s="33" t="n">
        <v>194</v>
      </c>
      <c r="J283" s="33" t="n">
        <f aca="false">I282-I283</f>
        <v>-60</v>
      </c>
      <c r="K283" s="1" t="s">
        <v>16</v>
      </c>
      <c r="L283" s="1" t="n">
        <f aca="false">STDEV($C$275:$C$305)</f>
        <v>4051.93648752356</v>
      </c>
      <c r="M283" s="1" t="n">
        <f aca="false">STDEV($E$275:$E$305)</f>
        <v>180.897438238606</v>
      </c>
      <c r="N283" s="1" t="n">
        <f aca="false">STDEV($G$275:$G$305)</f>
        <v>2.92023791194581</v>
      </c>
      <c r="O283" s="1" t="n">
        <f aca="false">STDEV($I$275:$I$305)</f>
        <v>42.3011985391604</v>
      </c>
    </row>
    <row r="284" customFormat="false" ht="13.8" hidden="false" customHeight="false" outlineLevel="0" collapsed="false">
      <c r="A284" s="33" t="n">
        <v>283</v>
      </c>
      <c r="B284" s="32" t="n">
        <v>44844</v>
      </c>
      <c r="C284" s="33" t="n">
        <v>1339</v>
      </c>
      <c r="D284" s="33" t="n">
        <f aca="false">C283-C284</f>
        <v>17416</v>
      </c>
      <c r="E284" s="33" t="n">
        <v>66.3</v>
      </c>
      <c r="F284" s="33" t="n">
        <f aca="false">E283-E284</f>
        <v>772.4</v>
      </c>
      <c r="G284" s="33" t="n">
        <v>0.96</v>
      </c>
      <c r="H284" s="33" t="n">
        <f aca="false">G284-G283</f>
        <v>-12.54</v>
      </c>
      <c r="I284" s="33" t="n">
        <v>17</v>
      </c>
      <c r="J284" s="33" t="n">
        <f aca="false">I283-I284</f>
        <v>177</v>
      </c>
      <c r="K284" s="1" t="s">
        <v>20</v>
      </c>
      <c r="L284" s="1" t="n">
        <f aca="false">KURT($C$275:$C$305)</f>
        <v>2.22004218367107</v>
      </c>
      <c r="M284" s="1" t="n">
        <f aca="false">KURT($E$275:$E$305)</f>
        <v>2.03904146384425</v>
      </c>
      <c r="N284" s="1" t="n">
        <f aca="false">KURT($G$275:$G$305)</f>
        <v>2.14994435892904</v>
      </c>
      <c r="O284" s="1" t="n">
        <f aca="false">KURT($I$275:$I$305)</f>
        <v>1.85582991572379</v>
      </c>
    </row>
    <row r="285" customFormat="false" ht="13.8" hidden="false" customHeight="false" outlineLevel="0" collapsed="false">
      <c r="A285" s="1" t="n">
        <v>284</v>
      </c>
      <c r="B285" s="32" t="n">
        <v>44845</v>
      </c>
      <c r="C285" s="33" t="n">
        <v>2508</v>
      </c>
      <c r="D285" s="33" t="n">
        <f aca="false">C284-C285</f>
        <v>-1169</v>
      </c>
      <c r="E285" s="33" t="n">
        <v>129.3</v>
      </c>
      <c r="F285" s="33" t="n">
        <f aca="false">E284-E285</f>
        <v>-63</v>
      </c>
      <c r="G285" s="33" t="n">
        <v>1.81</v>
      </c>
      <c r="H285" s="33" t="n">
        <f aca="false">G285-G284</f>
        <v>0.85</v>
      </c>
      <c r="I285" s="33" t="n">
        <v>34</v>
      </c>
      <c r="J285" s="33" t="n">
        <f aca="false">I284-I285</f>
        <v>-17</v>
      </c>
      <c r="K285" s="1" t="s">
        <v>22</v>
      </c>
      <c r="L285" s="1" t="n">
        <f aca="false">SKEW($C$275:$C$305)</f>
        <v>1.36395452789384</v>
      </c>
      <c r="M285" s="1" t="n">
        <f aca="false">SKEW($E$275:$E$305)</f>
        <v>1.31588721329473</v>
      </c>
      <c r="N285" s="1" t="n">
        <f aca="false">SKEW($G$275:$G$305)</f>
        <v>1.33492428336806</v>
      </c>
      <c r="O285" s="1" t="n">
        <f aca="false">SKEW($I$275:$I$305)</f>
        <v>1.30253606235917</v>
      </c>
    </row>
    <row r="286" customFormat="false" ht="13.8" hidden="false" customHeight="false" outlineLevel="0" collapsed="false">
      <c r="A286" s="33" t="n">
        <v>285</v>
      </c>
      <c r="B286" s="32" t="n">
        <v>44846</v>
      </c>
      <c r="C286" s="33" t="n">
        <v>3570</v>
      </c>
      <c r="D286" s="33" t="n">
        <f aca="false">C285-C286</f>
        <v>-1062</v>
      </c>
      <c r="E286" s="33" t="n">
        <v>175.7</v>
      </c>
      <c r="F286" s="33" t="n">
        <f aca="false">E285-E286</f>
        <v>-46.4</v>
      </c>
      <c r="G286" s="33" t="n">
        <v>2.57</v>
      </c>
      <c r="H286" s="33" t="n">
        <f aca="false">G286-G285</f>
        <v>0.76</v>
      </c>
      <c r="I286" s="33" t="n">
        <v>45</v>
      </c>
      <c r="J286" s="33" t="n">
        <f aca="false">I285-I286</f>
        <v>-11</v>
      </c>
      <c r="K286" s="1" t="s">
        <v>24</v>
      </c>
      <c r="L286" s="1" t="n">
        <f aca="false">MAX($C$275:$C$305)-MIN($C$275:$C$305)</f>
        <v>17416</v>
      </c>
      <c r="M286" s="1" t="n">
        <f aca="false">MAX($E$275:$E$305)-MIN($E$275:$E$305)</f>
        <v>772.4</v>
      </c>
      <c r="N286" s="1" t="n">
        <f aca="false">MAX($G$275:$G$305)-MIN($G$275:$G$305)</f>
        <v>12.54</v>
      </c>
      <c r="O286" s="1" t="n">
        <f aca="false">MAX($I$275:$I$305)-MIN($I$275:$I$305)</f>
        <v>179</v>
      </c>
    </row>
    <row r="287" customFormat="false" ht="13.8" hidden="false" customHeight="false" outlineLevel="0" collapsed="false">
      <c r="A287" s="1" t="n">
        <v>286</v>
      </c>
      <c r="B287" s="32" t="n">
        <v>44847</v>
      </c>
      <c r="C287" s="33" t="n">
        <v>6289</v>
      </c>
      <c r="D287" s="33" t="n">
        <f aca="false">C286-C287</f>
        <v>-2719</v>
      </c>
      <c r="E287" s="33" t="n">
        <v>294.2</v>
      </c>
      <c r="F287" s="33" t="n">
        <f aca="false">E286-E287</f>
        <v>-118.5</v>
      </c>
      <c r="G287" s="33" t="n">
        <v>4.53</v>
      </c>
      <c r="H287" s="33" t="n">
        <f aca="false">G287-G286</f>
        <v>1.96</v>
      </c>
      <c r="I287" s="33" t="n">
        <v>72</v>
      </c>
      <c r="J287" s="33" t="n">
        <f aca="false">I286-I287</f>
        <v>-27</v>
      </c>
      <c r="K287" s="1" t="s">
        <v>26</v>
      </c>
      <c r="L287" s="1" t="n">
        <f aca="false">MIN($C$275:$C$305)</f>
        <v>1339</v>
      </c>
      <c r="M287" s="1" t="n">
        <f aca="false">MIN($E$275:$E$305)</f>
        <v>66.3</v>
      </c>
      <c r="N287" s="1" t="n">
        <f aca="false">MIN($G$275:$G$305)</f>
        <v>0.96</v>
      </c>
      <c r="O287" s="1" t="n">
        <f aca="false">MIN($I$275:$I$305)</f>
        <v>17</v>
      </c>
    </row>
    <row r="288" customFormat="false" ht="13.8" hidden="false" customHeight="false" outlineLevel="0" collapsed="false">
      <c r="A288" s="33" t="n">
        <v>287</v>
      </c>
      <c r="B288" s="32" t="n">
        <v>44848</v>
      </c>
      <c r="C288" s="33" t="n">
        <v>7009</v>
      </c>
      <c r="D288" s="33" t="n">
        <f aca="false">C287-C288</f>
        <v>-720</v>
      </c>
      <c r="E288" s="33" t="n">
        <v>309.7</v>
      </c>
      <c r="F288" s="33" t="n">
        <f aca="false">E287-E288</f>
        <v>-15.5</v>
      </c>
      <c r="G288" s="33" t="n">
        <v>5.05</v>
      </c>
      <c r="H288" s="33" t="n">
        <f aca="false">G288-G287</f>
        <v>0.52</v>
      </c>
      <c r="I288" s="33" t="n">
        <v>68</v>
      </c>
      <c r="J288" s="33" t="n">
        <f aca="false">I287-I288</f>
        <v>4</v>
      </c>
      <c r="K288" s="1" t="s">
        <v>28</v>
      </c>
      <c r="L288" s="1" t="n">
        <f aca="false">MAX($C$275:$C$305)</f>
        <v>18755</v>
      </c>
      <c r="M288" s="1" t="n">
        <f aca="false">MAX($E$275:$E$305)</f>
        <v>838.7</v>
      </c>
      <c r="N288" s="1" t="n">
        <f aca="false">MAX($G$275:$G$305)</f>
        <v>13.5</v>
      </c>
      <c r="O288" s="1" t="n">
        <f aca="false">MAX($I$275:$I$305)</f>
        <v>196</v>
      </c>
    </row>
    <row r="289" customFormat="false" ht="13.8" hidden="false" customHeight="false" outlineLevel="0" collapsed="false">
      <c r="A289" s="1" t="n">
        <v>288</v>
      </c>
      <c r="B289" s="32" t="n">
        <v>44849</v>
      </c>
      <c r="C289" s="33" t="n">
        <v>6550</v>
      </c>
      <c r="D289" s="33" t="n">
        <f aca="false">C288-C289</f>
        <v>459</v>
      </c>
      <c r="E289" s="33" t="n">
        <v>313.5</v>
      </c>
      <c r="F289" s="33" t="n">
        <f aca="false">E288-E289</f>
        <v>-3.80000000000001</v>
      </c>
      <c r="G289" s="33" t="n">
        <v>4.72</v>
      </c>
      <c r="H289" s="33" t="n">
        <f aca="false">G289-G288</f>
        <v>-0.33</v>
      </c>
      <c r="I289" s="33" t="n">
        <v>78</v>
      </c>
      <c r="J289" s="33" t="n">
        <f aca="false">I288-I289</f>
        <v>-10</v>
      </c>
      <c r="K289" s="1" t="s">
        <v>30</v>
      </c>
      <c r="L289" s="1" t="n">
        <f aca="false">SUM($C$275:$C$305)</f>
        <v>232003</v>
      </c>
      <c r="M289" s="1" t="n">
        <f aca="false">SUM($E$275:$E$305)</f>
        <v>10772.1</v>
      </c>
      <c r="N289" s="1" t="n">
        <f aca="false">SUM($G$275:$G$305)</f>
        <v>167.77</v>
      </c>
      <c r="O289" s="1" t="n">
        <f aca="false">SUM($I$275:$I$305)</f>
        <v>2589</v>
      </c>
    </row>
    <row r="290" customFormat="false" ht="13.8" hidden="false" customHeight="false" outlineLevel="0" collapsed="false">
      <c r="A290" s="33" t="n">
        <v>289</v>
      </c>
      <c r="B290" s="32" t="n">
        <v>44850</v>
      </c>
      <c r="C290" s="33" t="n">
        <v>7062</v>
      </c>
      <c r="D290" s="33" t="n">
        <f aca="false">C289-C290</f>
        <v>-512</v>
      </c>
      <c r="E290" s="33" t="n">
        <v>336.9</v>
      </c>
      <c r="F290" s="33" t="n">
        <f aca="false">E289-E290</f>
        <v>-23.4</v>
      </c>
      <c r="G290" s="33" t="n">
        <v>5.08</v>
      </c>
      <c r="H290" s="33" t="n">
        <f aca="false">G290-G289</f>
        <v>0.36</v>
      </c>
      <c r="I290" s="33" t="n">
        <v>83</v>
      </c>
      <c r="J290" s="33" t="n">
        <f aca="false">I289-I290</f>
        <v>-5</v>
      </c>
      <c r="K290" s="1" t="s">
        <v>32</v>
      </c>
      <c r="L290" s="1" t="n">
        <f aca="false">COUNT($C$275:$C$305)</f>
        <v>31</v>
      </c>
      <c r="M290" s="1" t="n">
        <f aca="false">COUNT($E$275:$E$305)</f>
        <v>31</v>
      </c>
      <c r="N290" s="1" t="n">
        <f aca="false">COUNT($G$275:$G$305)</f>
        <v>31</v>
      </c>
      <c r="O290" s="1" t="n">
        <f aca="false">COUNT($I$275:$I$305)</f>
        <v>31</v>
      </c>
    </row>
    <row r="291" customFormat="false" ht="13.8" hidden="false" customHeight="false" outlineLevel="0" collapsed="false">
      <c r="A291" s="1" t="n">
        <v>290</v>
      </c>
      <c r="B291" s="32" t="n">
        <v>44851</v>
      </c>
      <c r="C291" s="33" t="n">
        <v>9967</v>
      </c>
      <c r="D291" s="33" t="n">
        <f aca="false">C290-C291</f>
        <v>-2905</v>
      </c>
      <c r="E291" s="33" t="n">
        <v>435.3</v>
      </c>
      <c r="F291" s="33" t="n">
        <f aca="false">E290-E291</f>
        <v>-98.4</v>
      </c>
      <c r="G291" s="33" t="n">
        <v>7.18</v>
      </c>
      <c r="H291" s="33" t="n">
        <f aca="false">G291-G290</f>
        <v>2.1</v>
      </c>
      <c r="I291" s="33" t="n">
        <v>96</v>
      </c>
      <c r="J291" s="33" t="n">
        <f aca="false">I290-I291</f>
        <v>-13</v>
      </c>
    </row>
    <row r="292" customFormat="false" ht="13.8" hidden="false" customHeight="false" outlineLevel="0" collapsed="false">
      <c r="A292" s="33" t="n">
        <v>291</v>
      </c>
      <c r="B292" s="32" t="n">
        <v>44852</v>
      </c>
      <c r="C292" s="33" t="n">
        <v>8647</v>
      </c>
      <c r="D292" s="33" t="n">
        <f aca="false">C291-C292</f>
        <v>1320</v>
      </c>
      <c r="E292" s="33" t="n">
        <v>388.6</v>
      </c>
      <c r="F292" s="33" t="n">
        <f aca="false">E291-E292</f>
        <v>46.7</v>
      </c>
      <c r="G292" s="33" t="n">
        <v>6.23</v>
      </c>
      <c r="H292" s="33" t="n">
        <f aca="false">G292-G291</f>
        <v>-0.949999999999999</v>
      </c>
      <c r="I292" s="33" t="n">
        <v>90</v>
      </c>
      <c r="J292" s="33" t="n">
        <f aca="false">I291-I292</f>
        <v>6</v>
      </c>
    </row>
    <row r="293" customFormat="false" ht="13.8" hidden="false" customHeight="false" outlineLevel="0" collapsed="false">
      <c r="A293" s="1" t="n">
        <v>292</v>
      </c>
      <c r="B293" s="32" t="n">
        <v>44853</v>
      </c>
      <c r="C293" s="33" t="n">
        <v>8132</v>
      </c>
      <c r="D293" s="33" t="n">
        <f aca="false">C292-C293</f>
        <v>515</v>
      </c>
      <c r="E293" s="33" t="n">
        <v>396</v>
      </c>
      <c r="F293" s="33" t="n">
        <f aca="false">E292-E293</f>
        <v>-7.39999999999998</v>
      </c>
      <c r="G293" s="33" t="n">
        <v>5.86</v>
      </c>
      <c r="H293" s="33" t="n">
        <f aca="false">G293-G292</f>
        <v>-0.37</v>
      </c>
      <c r="I293" s="33" t="n">
        <v>100</v>
      </c>
      <c r="J293" s="33" t="n">
        <f aca="false">I292-I293</f>
        <v>-10</v>
      </c>
    </row>
    <row r="294" customFormat="false" ht="13.8" hidden="false" customHeight="false" outlineLevel="0" collapsed="false">
      <c r="A294" s="33" t="n">
        <v>293</v>
      </c>
      <c r="B294" s="32" t="n">
        <v>44854</v>
      </c>
      <c r="C294" s="33" t="n">
        <v>2897</v>
      </c>
      <c r="D294" s="33" t="n">
        <f aca="false">C293-C294</f>
        <v>5235</v>
      </c>
      <c r="E294" s="33" t="n">
        <v>143.1</v>
      </c>
      <c r="F294" s="33" t="n">
        <f aca="false">E293-E294</f>
        <v>252.9</v>
      </c>
      <c r="G294" s="33" t="n">
        <v>2.09</v>
      </c>
      <c r="H294" s="33" t="n">
        <f aca="false">G294-G293</f>
        <v>-3.77</v>
      </c>
      <c r="I294" s="33" t="n">
        <v>37</v>
      </c>
      <c r="J294" s="33" t="n">
        <f aca="false">I293-I294</f>
        <v>63</v>
      </c>
    </row>
    <row r="295" customFormat="false" ht="13.8" hidden="false" customHeight="false" outlineLevel="0" collapsed="false">
      <c r="A295" s="1" t="n">
        <v>294</v>
      </c>
      <c r="B295" s="32" t="n">
        <v>44855</v>
      </c>
      <c r="C295" s="33" t="n">
        <v>7032</v>
      </c>
      <c r="D295" s="33" t="n">
        <f aca="false">C294-C295</f>
        <v>-4135</v>
      </c>
      <c r="E295" s="33" t="n">
        <v>334.5</v>
      </c>
      <c r="F295" s="33" t="n">
        <f aca="false">E294-E295</f>
        <v>-191.4</v>
      </c>
      <c r="G295" s="33" t="n">
        <v>5.06</v>
      </c>
      <c r="H295" s="33" t="n">
        <f aca="false">G295-G294</f>
        <v>2.97</v>
      </c>
      <c r="I295" s="33" t="n">
        <v>83</v>
      </c>
      <c r="J295" s="33" t="n">
        <f aca="false">I294-I295</f>
        <v>-46</v>
      </c>
    </row>
    <row r="296" customFormat="false" ht="13.8" hidden="false" customHeight="false" outlineLevel="0" collapsed="false">
      <c r="A296" s="33" t="n">
        <v>295</v>
      </c>
      <c r="B296" s="32" t="n">
        <v>44856</v>
      </c>
      <c r="C296" s="33" t="n">
        <v>7476</v>
      </c>
      <c r="D296" s="33" t="n">
        <f aca="false">C295-C296</f>
        <v>-444</v>
      </c>
      <c r="E296" s="33" t="n">
        <v>410.8</v>
      </c>
      <c r="F296" s="33" t="n">
        <f aca="false">E295-E296</f>
        <v>-76.3</v>
      </c>
      <c r="G296" s="33" t="n">
        <v>6.1</v>
      </c>
      <c r="H296" s="33" t="n">
        <f aca="false">G296-G295</f>
        <v>1.04</v>
      </c>
      <c r="I296" s="33" t="n">
        <v>104</v>
      </c>
      <c r="J296" s="33" t="n">
        <f aca="false">I295-I296</f>
        <v>-21</v>
      </c>
    </row>
    <row r="297" customFormat="false" ht="13.8" hidden="false" customHeight="false" outlineLevel="0" collapsed="false">
      <c r="A297" s="1" t="n">
        <v>296</v>
      </c>
      <c r="B297" s="32" t="n">
        <v>44857</v>
      </c>
      <c r="C297" s="33" t="n">
        <v>18327</v>
      </c>
      <c r="D297" s="33" t="n">
        <f aca="false">C296-C297</f>
        <v>-10851</v>
      </c>
      <c r="E297" s="33" t="n">
        <v>829</v>
      </c>
      <c r="F297" s="33" t="n">
        <f aca="false">E296-E297</f>
        <v>-418.2</v>
      </c>
      <c r="G297" s="33" t="n">
        <v>13.2</v>
      </c>
      <c r="H297" s="33" t="n">
        <f aca="false">G297-G296</f>
        <v>7.1</v>
      </c>
      <c r="I297" s="33" t="n">
        <v>196</v>
      </c>
      <c r="J297" s="33" t="n">
        <f aca="false">I296-I297</f>
        <v>-92</v>
      </c>
    </row>
    <row r="298" customFormat="false" ht="13.8" hidden="false" customHeight="false" outlineLevel="0" collapsed="false">
      <c r="A298" s="33" t="n">
        <v>297</v>
      </c>
      <c r="B298" s="32" t="n">
        <v>44858</v>
      </c>
      <c r="C298" s="33" t="n">
        <v>3834</v>
      </c>
      <c r="D298" s="33" t="n">
        <f aca="false">C297-C298</f>
        <v>14493</v>
      </c>
      <c r="E298" s="33" t="n">
        <v>187.2</v>
      </c>
      <c r="F298" s="33" t="n">
        <f aca="false">E297-E298</f>
        <v>641.8</v>
      </c>
      <c r="G298" s="33" t="n">
        <v>2.76</v>
      </c>
      <c r="H298" s="33" t="n">
        <f aca="false">G298-G297</f>
        <v>-10.44</v>
      </c>
      <c r="I298" s="33" t="n">
        <v>48</v>
      </c>
      <c r="J298" s="33" t="n">
        <f aca="false">I297-I298</f>
        <v>148</v>
      </c>
    </row>
    <row r="299" customFormat="false" ht="13.8" hidden="false" customHeight="false" outlineLevel="0" collapsed="false">
      <c r="A299" s="1" t="n">
        <v>298</v>
      </c>
      <c r="B299" s="32" t="n">
        <v>44859</v>
      </c>
      <c r="C299" s="33" t="n">
        <v>6573</v>
      </c>
      <c r="D299" s="33" t="n">
        <f aca="false">C298-C299</f>
        <v>-2739</v>
      </c>
      <c r="E299" s="33" t="n">
        <v>310.7</v>
      </c>
      <c r="F299" s="33" t="n">
        <f aca="false">E298-E299</f>
        <v>-123.5</v>
      </c>
      <c r="G299" s="33" t="n">
        <v>4.73</v>
      </c>
      <c r="H299" s="33" t="n">
        <f aca="false">G299-G298</f>
        <v>1.97</v>
      </c>
      <c r="I299" s="33" t="n">
        <v>77</v>
      </c>
      <c r="J299" s="33" t="n">
        <f aca="false">I298-I299</f>
        <v>-29</v>
      </c>
    </row>
    <row r="300" customFormat="false" ht="13.8" hidden="false" customHeight="false" outlineLevel="0" collapsed="false">
      <c r="A300" s="33" t="n">
        <v>299</v>
      </c>
      <c r="B300" s="32" t="n">
        <v>44860</v>
      </c>
      <c r="C300" s="33" t="n">
        <v>6025</v>
      </c>
      <c r="D300" s="33" t="n">
        <f aca="false">C299-C300</f>
        <v>548</v>
      </c>
      <c r="E300" s="33" t="n">
        <v>283.4</v>
      </c>
      <c r="F300" s="33" t="n">
        <f aca="false">E299-E300</f>
        <v>27.3</v>
      </c>
      <c r="G300" s="33" t="n">
        <v>4.34</v>
      </c>
      <c r="H300" s="33" t="n">
        <f aca="false">G300-G299</f>
        <v>-0.390000000000001</v>
      </c>
      <c r="I300" s="33" t="n">
        <v>69</v>
      </c>
      <c r="J300" s="33" t="n">
        <f aca="false">I299-I300</f>
        <v>8</v>
      </c>
    </row>
    <row r="301" customFormat="false" ht="13.8" hidden="false" customHeight="false" outlineLevel="0" collapsed="false">
      <c r="A301" s="1" t="n">
        <v>300</v>
      </c>
      <c r="B301" s="32" t="n">
        <v>44861</v>
      </c>
      <c r="C301" s="33" t="n">
        <v>6531</v>
      </c>
      <c r="D301" s="33" t="n">
        <f aca="false">C300-C301</f>
        <v>-506</v>
      </c>
      <c r="E301" s="33" t="n">
        <v>302.7</v>
      </c>
      <c r="F301" s="33" t="n">
        <f aca="false">E300-E301</f>
        <v>-19.3</v>
      </c>
      <c r="G301" s="33" t="n">
        <v>4.7</v>
      </c>
      <c r="H301" s="33" t="n">
        <f aca="false">G301-G300</f>
        <v>0.36</v>
      </c>
      <c r="I301" s="33" t="n">
        <v>73</v>
      </c>
      <c r="J301" s="33" t="n">
        <f aca="false">I300-I301</f>
        <v>-4</v>
      </c>
    </row>
    <row r="302" customFormat="false" ht="13.8" hidden="false" customHeight="false" outlineLevel="0" collapsed="false">
      <c r="A302" s="33" t="n">
        <v>301</v>
      </c>
      <c r="B302" s="32" t="n">
        <v>44862</v>
      </c>
      <c r="C302" s="33" t="n">
        <v>3004</v>
      </c>
      <c r="D302" s="33" t="n">
        <f aca="false">C301-C302</f>
        <v>3527</v>
      </c>
      <c r="E302" s="33" t="n">
        <v>144.3</v>
      </c>
      <c r="F302" s="33" t="n">
        <f aca="false">E301-E302</f>
        <v>158.4</v>
      </c>
      <c r="G302" s="33" t="n">
        <v>2.16</v>
      </c>
      <c r="H302" s="33" t="n">
        <f aca="false">G302-G301</f>
        <v>-2.54</v>
      </c>
      <c r="I302" s="33" t="n">
        <v>36</v>
      </c>
      <c r="J302" s="33" t="n">
        <f aca="false">I301-I302</f>
        <v>37</v>
      </c>
    </row>
    <row r="303" customFormat="false" ht="13.8" hidden="false" customHeight="false" outlineLevel="0" collapsed="false">
      <c r="A303" s="1" t="n">
        <v>302</v>
      </c>
      <c r="B303" s="32" t="n">
        <v>44863</v>
      </c>
      <c r="C303" s="33" t="n">
        <v>11229</v>
      </c>
      <c r="D303" s="33" t="n">
        <f aca="false">C302-C303</f>
        <v>-8225</v>
      </c>
      <c r="E303" s="33" t="n">
        <v>511.2</v>
      </c>
      <c r="F303" s="33" t="n">
        <f aca="false">E302-E303</f>
        <v>-366.9</v>
      </c>
      <c r="G303" s="33" t="n">
        <v>8.08</v>
      </c>
      <c r="H303" s="33" t="n">
        <f aca="false">G303-G302</f>
        <v>5.92</v>
      </c>
      <c r="I303" s="33" t="n">
        <v>122</v>
      </c>
      <c r="J303" s="33" t="n">
        <f aca="false">I302-I303</f>
        <v>-86</v>
      </c>
    </row>
    <row r="304" customFormat="false" ht="13.8" hidden="false" customHeight="false" outlineLevel="0" collapsed="false">
      <c r="A304" s="33" t="n">
        <v>303</v>
      </c>
      <c r="B304" s="32" t="n">
        <v>44864</v>
      </c>
      <c r="C304" s="33" t="n">
        <v>4397</v>
      </c>
      <c r="D304" s="33" t="n">
        <f aca="false">C303-C304</f>
        <v>6832</v>
      </c>
      <c r="E304" s="33" t="n">
        <v>207.1</v>
      </c>
      <c r="F304" s="33" t="n">
        <f aca="false">E303-E304</f>
        <v>304.1</v>
      </c>
      <c r="G304" s="33" t="n">
        <v>3.17</v>
      </c>
      <c r="H304" s="33" t="n">
        <f aca="false">G304-G303</f>
        <v>-4.91</v>
      </c>
      <c r="I304" s="33" t="n">
        <v>51</v>
      </c>
      <c r="J304" s="33" t="n">
        <f aca="false">I303-I304</f>
        <v>71</v>
      </c>
    </row>
    <row r="305" customFormat="false" ht="13.8" hidden="false" customHeight="false" outlineLevel="0" collapsed="false">
      <c r="A305" s="1" t="n">
        <v>304</v>
      </c>
      <c r="B305" s="32" t="n">
        <v>44865</v>
      </c>
      <c r="C305" s="33" t="n">
        <v>6199</v>
      </c>
      <c r="D305" s="33" t="n">
        <f aca="false">C304-C305</f>
        <v>-1802</v>
      </c>
      <c r="E305" s="33" t="n">
        <v>285.8</v>
      </c>
      <c r="F305" s="33" t="n">
        <f aca="false">E304-E305</f>
        <v>-78.7</v>
      </c>
      <c r="G305" s="33" t="n">
        <v>4.46</v>
      </c>
      <c r="H305" s="33" t="n">
        <f aca="false">G305-G304</f>
        <v>1.29</v>
      </c>
      <c r="I305" s="33" t="n">
        <v>68</v>
      </c>
      <c r="J305" s="33" t="n">
        <f aca="false">I304-I305</f>
        <v>-17</v>
      </c>
    </row>
    <row r="306" customFormat="false" ht="13.8" hidden="false" customHeight="false" outlineLevel="0" collapsed="false">
      <c r="A306" s="33" t="n">
        <v>305</v>
      </c>
      <c r="B306" s="32" t="n">
        <v>44866</v>
      </c>
      <c r="C306" s="33" t="n">
        <v>6729</v>
      </c>
      <c r="D306" s="33" t="n">
        <f aca="false">C305-C306</f>
        <v>-530</v>
      </c>
      <c r="E306" s="33" t="n">
        <v>320.2</v>
      </c>
      <c r="F306" s="33" t="n">
        <f aca="false">E305-E306</f>
        <v>-34.4</v>
      </c>
      <c r="G306" s="33" t="n">
        <v>4.84</v>
      </c>
      <c r="H306" s="33" t="n">
        <f aca="false">G306-G305</f>
        <v>0.38</v>
      </c>
      <c r="I306" s="33" t="n">
        <v>79</v>
      </c>
      <c r="J306" s="33" t="n">
        <f aca="false">I305-I306</f>
        <v>-11</v>
      </c>
      <c r="L306" s="1" t="s">
        <v>2</v>
      </c>
      <c r="M306" s="1" t="s">
        <v>179</v>
      </c>
      <c r="N306" s="1" t="s">
        <v>175</v>
      </c>
      <c r="O306" s="1" t="s">
        <v>177</v>
      </c>
    </row>
    <row r="307" customFormat="false" ht="13.8" hidden="false" customHeight="false" outlineLevel="0" collapsed="false">
      <c r="A307" s="1" t="n">
        <v>306</v>
      </c>
      <c r="B307" s="32" t="n">
        <v>44867</v>
      </c>
      <c r="C307" s="33" t="n">
        <v>5077</v>
      </c>
      <c r="D307" s="33" t="n">
        <f aca="false">C306-C307</f>
        <v>1652</v>
      </c>
      <c r="E307" s="33" t="n">
        <v>231.1</v>
      </c>
      <c r="F307" s="33" t="n">
        <f aca="false">E306-E307</f>
        <v>89.1</v>
      </c>
      <c r="G307" s="33" t="n">
        <v>3.66</v>
      </c>
      <c r="H307" s="33" t="n">
        <f aca="false">G307-G306</f>
        <v>-1.18</v>
      </c>
      <c r="I307" s="33" t="n">
        <v>54</v>
      </c>
      <c r="J307" s="33" t="n">
        <f aca="false">I306-I307</f>
        <v>25</v>
      </c>
      <c r="K307" s="1" t="s">
        <v>8</v>
      </c>
      <c r="L307" s="1" t="n">
        <f aca="false">AVERAGE($C$306:$C$335)</f>
        <v>5795.06666666667</v>
      </c>
      <c r="M307" s="1" t="n">
        <f aca="false">AVERAGE($E$306:$E$335)</f>
        <v>272.306666666667</v>
      </c>
      <c r="N307" s="1" t="n">
        <f aca="false">AVERAGE($G$306:$G$335)</f>
        <v>4.17266666666667</v>
      </c>
      <c r="O307" s="1" t="n">
        <f aca="false">AVERAGE($I$306:$I$335)</f>
        <v>66.5333333333333</v>
      </c>
    </row>
    <row r="308" customFormat="false" ht="13.8" hidden="false" customHeight="false" outlineLevel="0" collapsed="false">
      <c r="A308" s="33" t="n">
        <v>307</v>
      </c>
      <c r="B308" s="32" t="n">
        <v>44868</v>
      </c>
      <c r="C308" s="33" t="n">
        <v>6499</v>
      </c>
      <c r="D308" s="33" t="n">
        <f aca="false">C307-C308</f>
        <v>-1422</v>
      </c>
      <c r="E308" s="33" t="n">
        <v>281.6</v>
      </c>
      <c r="F308" s="33" t="n">
        <f aca="false">E307-E308</f>
        <v>-50.5</v>
      </c>
      <c r="G308" s="33" t="n">
        <v>4.68</v>
      </c>
      <c r="H308" s="33" t="n">
        <f aca="false">G308-G307</f>
        <v>1.02</v>
      </c>
      <c r="I308" s="33" t="n">
        <v>61</v>
      </c>
      <c r="J308" s="33" t="n">
        <f aca="false">I307-I308</f>
        <v>-7</v>
      </c>
      <c r="K308" s="1" t="s">
        <v>10</v>
      </c>
      <c r="L308" s="1" t="n">
        <f aca="false">SQRT(VAR($C$306:$C$335)/COUNT($C$306:$C$335))</f>
        <v>784.997887006942</v>
      </c>
      <c r="M308" s="1" t="n">
        <f aca="false">SQRT(VAR($E$306:$E$335)/COUNT($E$306:$E$335))</f>
        <v>36.5692710437921</v>
      </c>
      <c r="N308" s="1" t="n">
        <f aca="false">SQRT(VAR($G$306:$G$335)/COUNT($G$306:$G$335))</f>
        <v>0.565144663269022</v>
      </c>
      <c r="O308" s="1" t="n">
        <f aca="false">SQRT(VAR($I$306:$I$335)/COUNT($I$306:$I$335))</f>
        <v>8.98130028388273</v>
      </c>
    </row>
    <row r="309" customFormat="false" ht="13.8" hidden="false" customHeight="false" outlineLevel="0" collapsed="false">
      <c r="A309" s="1" t="n">
        <v>308</v>
      </c>
      <c r="B309" s="32" t="n">
        <v>44869</v>
      </c>
      <c r="C309" s="33" t="n">
        <v>6105</v>
      </c>
      <c r="D309" s="33" t="n">
        <f aca="false">C308-C309</f>
        <v>394</v>
      </c>
      <c r="E309" s="33" t="n">
        <v>277.4</v>
      </c>
      <c r="F309" s="33" t="n">
        <f aca="false">E308-E309</f>
        <v>4.20000000000005</v>
      </c>
      <c r="G309" s="33" t="n">
        <v>4.4</v>
      </c>
      <c r="H309" s="33" t="n">
        <f aca="false">G309-G308</f>
        <v>-0.279999999999999</v>
      </c>
      <c r="I309" s="33" t="n">
        <v>65</v>
      </c>
      <c r="J309" s="33" t="n">
        <f aca="false">I308-I309</f>
        <v>-4</v>
      </c>
      <c r="K309" s="1" t="s">
        <v>14</v>
      </c>
      <c r="L309" s="1" t="e">
        <f aca="false">MODE($C$306:$C$335)</f>
        <v>#VALUE!</v>
      </c>
      <c r="M309" s="1" t="e">
        <f aca="false">MODE($E$306:$E$335)</f>
        <v>#VALUE!</v>
      </c>
      <c r="N309" s="1" t="n">
        <f aca="false">MODE($G$306:$G$335)</f>
        <v>4.45</v>
      </c>
      <c r="O309" s="1" t="n">
        <f aca="false">MODE($I$306:$I$335)</f>
        <v>13</v>
      </c>
    </row>
    <row r="310" customFormat="false" ht="13.8" hidden="false" customHeight="false" outlineLevel="0" collapsed="false">
      <c r="A310" s="33" t="n">
        <v>309</v>
      </c>
      <c r="B310" s="32" t="n">
        <v>44870</v>
      </c>
      <c r="C310" s="33" t="n">
        <v>20628</v>
      </c>
      <c r="D310" s="33" t="n">
        <f aca="false">C309-C310</f>
        <v>-14523</v>
      </c>
      <c r="E310" s="33" t="n">
        <v>984.5</v>
      </c>
      <c r="F310" s="33" t="n">
        <f aca="false">E309-E310</f>
        <v>-707.1</v>
      </c>
      <c r="G310" s="33" t="n">
        <v>14.85</v>
      </c>
      <c r="H310" s="33" t="n">
        <f aca="false">G310-G309</f>
        <v>10.45</v>
      </c>
      <c r="I310" s="33" t="n">
        <v>247</v>
      </c>
      <c r="J310" s="33" t="n">
        <f aca="false">I309-I310</f>
        <v>-182</v>
      </c>
      <c r="K310" s="1" t="s">
        <v>12</v>
      </c>
      <c r="L310" s="1" t="n">
        <f aca="false">MEDIAN($C$306:$C$335)</f>
        <v>6181</v>
      </c>
      <c r="M310" s="1" t="n">
        <f aca="false">MEDIAN($E$306:$E$335)</f>
        <v>282.2</v>
      </c>
      <c r="N310" s="1" t="n">
        <f aca="false">MEDIAN($G$306:$G$335)</f>
        <v>4.45</v>
      </c>
      <c r="O310" s="1" t="n">
        <f aca="false">MEDIAN($I$306:$I$335)</f>
        <v>66</v>
      </c>
    </row>
    <row r="311" customFormat="false" ht="13.8" hidden="false" customHeight="false" outlineLevel="0" collapsed="false">
      <c r="A311" s="1" t="n">
        <v>310</v>
      </c>
      <c r="B311" s="32" t="n">
        <v>44871</v>
      </c>
      <c r="C311" s="33" t="n">
        <v>3356</v>
      </c>
      <c r="D311" s="33" t="n">
        <f aca="false">C310-C311</f>
        <v>17272</v>
      </c>
      <c r="E311" s="33" t="n">
        <v>160.1</v>
      </c>
      <c r="F311" s="33" t="n">
        <f aca="false">E310-E311</f>
        <v>824.4</v>
      </c>
      <c r="G311" s="33" t="n">
        <v>2.42</v>
      </c>
      <c r="H311" s="33" t="n">
        <f aca="false">G311-G310</f>
        <v>-12.43</v>
      </c>
      <c r="I311" s="33" t="n">
        <v>40</v>
      </c>
      <c r="J311" s="33" t="n">
        <f aca="false">I310-I311</f>
        <v>207</v>
      </c>
      <c r="K311" s="1" t="s">
        <v>195</v>
      </c>
      <c r="L311" s="1" t="n">
        <f aca="false">QUARTILE($C$306:$C$335, 1)</f>
        <v>2014.25</v>
      </c>
      <c r="M311" s="1" t="n">
        <f aca="false">QUARTILE($E$306:$E$335, 1)</f>
        <v>98.75</v>
      </c>
      <c r="N311" s="1" t="n">
        <f aca="false">QUARTILE($G$306:$G$335, 1)</f>
        <v>1.45</v>
      </c>
      <c r="O311" s="1" t="n">
        <f aca="false">QUARTILE($I$306:$I$335, 1)</f>
        <v>25</v>
      </c>
    </row>
    <row r="312" customFormat="false" ht="13.8" hidden="false" customHeight="false" outlineLevel="0" collapsed="false">
      <c r="A312" s="33" t="n">
        <v>311</v>
      </c>
      <c r="B312" s="32" t="n">
        <v>44872</v>
      </c>
      <c r="C312" s="33" t="n">
        <v>1406</v>
      </c>
      <c r="D312" s="33" t="n">
        <f aca="false">C311-C312</f>
        <v>1950</v>
      </c>
      <c r="E312" s="33" t="n">
        <v>68.1</v>
      </c>
      <c r="F312" s="33" t="n">
        <f aca="false">E311-E312</f>
        <v>92</v>
      </c>
      <c r="G312" s="33" t="n">
        <v>1.01</v>
      </c>
      <c r="H312" s="33" t="n">
        <f aca="false">G312-G311</f>
        <v>-1.41</v>
      </c>
      <c r="I312" s="33" t="n">
        <v>17</v>
      </c>
      <c r="J312" s="33" t="n">
        <f aca="false">I311-I312</f>
        <v>23</v>
      </c>
      <c r="K312" s="1" t="s">
        <v>181</v>
      </c>
      <c r="L312" s="1" t="n">
        <f aca="false">QUARTILE($C$306:$C$335, 3)</f>
        <v>7169.5</v>
      </c>
      <c r="M312" s="1" t="n">
        <f aca="false">QUARTILE($E$306:$E$335, 3)</f>
        <v>344.125</v>
      </c>
      <c r="N312" s="1" t="n">
        <f aca="false">QUARTILE($G$306:$G$335, 3)</f>
        <v>5.16</v>
      </c>
      <c r="O312" s="1" t="n">
        <f aca="false">QUARTILE($I$306:$I$335, 3)</f>
        <v>86.5</v>
      </c>
    </row>
    <row r="313" customFormat="false" ht="13.8" hidden="false" customHeight="false" outlineLevel="0" collapsed="false">
      <c r="A313" s="1" t="n">
        <v>312</v>
      </c>
      <c r="B313" s="32" t="n">
        <v>44873</v>
      </c>
      <c r="C313" s="33" t="n">
        <v>327</v>
      </c>
      <c r="D313" s="33" t="n">
        <f aca="false">C312-C313</f>
        <v>1079</v>
      </c>
      <c r="E313" s="33" t="n">
        <v>17</v>
      </c>
      <c r="F313" s="33" t="n">
        <f aca="false">E312-E313</f>
        <v>51.1</v>
      </c>
      <c r="G313" s="33" t="n">
        <v>0.24</v>
      </c>
      <c r="H313" s="33" t="n">
        <f aca="false">G313-G312</f>
        <v>-0.77</v>
      </c>
      <c r="I313" s="33" t="n">
        <v>4</v>
      </c>
      <c r="J313" s="33" t="n">
        <f aca="false">I312-I313</f>
        <v>13</v>
      </c>
      <c r="K313" s="1" t="s">
        <v>182</v>
      </c>
      <c r="L313" s="1" t="n">
        <f aca="false">VAR($C$306:$C$335)</f>
        <v>18486650.4781609</v>
      </c>
      <c r="M313" s="1" t="n">
        <f aca="false">VAR($E$306:$E$335)</f>
        <v>40119.3475402299</v>
      </c>
      <c r="N313" s="1" t="n">
        <f aca="false">VAR($G$306:$G$335)</f>
        <v>9.58165471264368</v>
      </c>
      <c r="O313" s="1" t="n">
        <f aca="false">VAR($I$306:$I$335)</f>
        <v>2419.91264367816</v>
      </c>
    </row>
    <row r="314" customFormat="false" ht="13.8" hidden="false" customHeight="false" outlineLevel="0" collapsed="false">
      <c r="A314" s="33" t="n">
        <v>313</v>
      </c>
      <c r="B314" s="32" t="n">
        <v>44874</v>
      </c>
      <c r="C314" s="33" t="n">
        <v>912</v>
      </c>
      <c r="D314" s="33" t="n">
        <f aca="false">C313-C314</f>
        <v>-585</v>
      </c>
      <c r="E314" s="33" t="n">
        <v>48.7</v>
      </c>
      <c r="F314" s="33" t="n">
        <f aca="false">E313-E314</f>
        <v>-31.7</v>
      </c>
      <c r="G314" s="33" t="n">
        <v>0.66</v>
      </c>
      <c r="H314" s="33" t="n">
        <f aca="false">G314-G313</f>
        <v>0.42</v>
      </c>
      <c r="I314" s="33" t="n">
        <v>13</v>
      </c>
      <c r="J314" s="33" t="n">
        <f aca="false">I313-I314</f>
        <v>-9</v>
      </c>
      <c r="K314" s="1" t="s">
        <v>16</v>
      </c>
      <c r="L314" s="1" t="n">
        <f aca="false">STDEV($C$306:$C$335)</f>
        <v>4299.61050307594</v>
      </c>
      <c r="M314" s="1" t="n">
        <f aca="false">STDEV($E$306:$E$335)</f>
        <v>200.298146622054</v>
      </c>
      <c r="N314" s="1" t="n">
        <f aca="false">STDEV($G$306:$G$335)</f>
        <v>3.09542480326105</v>
      </c>
      <c r="O314" s="1" t="n">
        <f aca="false">STDEV($I$306:$I$335)</f>
        <v>49.1926076121013</v>
      </c>
    </row>
    <row r="315" customFormat="false" ht="13.8" hidden="false" customHeight="false" outlineLevel="0" collapsed="false">
      <c r="A315" s="1" t="n">
        <v>314</v>
      </c>
      <c r="B315" s="32" t="n">
        <v>44875</v>
      </c>
      <c r="C315" s="33" t="n">
        <v>721</v>
      </c>
      <c r="D315" s="33" t="n">
        <f aca="false">C314-C315</f>
        <v>191</v>
      </c>
      <c r="E315" s="33" t="n">
        <v>39.4</v>
      </c>
      <c r="F315" s="33" t="n">
        <f aca="false">E314-E315</f>
        <v>9.3</v>
      </c>
      <c r="G315" s="33" t="n">
        <v>0.52</v>
      </c>
      <c r="H315" s="33" t="n">
        <f aca="false">G315-G314</f>
        <v>-0.14</v>
      </c>
      <c r="I315" s="33" t="n">
        <v>10</v>
      </c>
      <c r="J315" s="33" t="n">
        <f aca="false">I314-I315</f>
        <v>3</v>
      </c>
      <c r="K315" s="1" t="s">
        <v>20</v>
      </c>
      <c r="L315" s="1" t="n">
        <f aca="false">KURT($C$306:$C$335)</f>
        <v>3.62058391077027</v>
      </c>
      <c r="M315" s="1" t="n">
        <f aca="false">KURT($E$306:$E$335)</f>
        <v>4.29061610729897</v>
      </c>
      <c r="N315" s="1" t="n">
        <f aca="false">KURT($G$306:$G$335)</f>
        <v>3.6181862840043</v>
      </c>
      <c r="O315" s="1" t="n">
        <f aca="false">KURT($I$306:$I$335)</f>
        <v>5.0850596299351</v>
      </c>
    </row>
    <row r="316" customFormat="false" ht="13.8" hidden="false" customHeight="false" outlineLevel="0" collapsed="false">
      <c r="A316" s="33" t="n">
        <v>315</v>
      </c>
      <c r="B316" s="32" t="n">
        <v>44876</v>
      </c>
      <c r="C316" s="33" t="n">
        <v>1582</v>
      </c>
      <c r="D316" s="33" t="n">
        <f aca="false">C315-C316</f>
        <v>-861</v>
      </c>
      <c r="E316" s="33" t="n">
        <v>78.3</v>
      </c>
      <c r="F316" s="33" t="n">
        <f aca="false">E315-E316</f>
        <v>-38.9</v>
      </c>
      <c r="G316" s="33" t="n">
        <v>1.14</v>
      </c>
      <c r="H316" s="33" t="n">
        <f aca="false">G316-G315</f>
        <v>0.62</v>
      </c>
      <c r="I316" s="33" t="n">
        <v>20</v>
      </c>
      <c r="J316" s="33" t="n">
        <f aca="false">I315-I316</f>
        <v>-10</v>
      </c>
      <c r="K316" s="1" t="s">
        <v>22</v>
      </c>
      <c r="L316" s="1" t="n">
        <f aca="false">SKEW($C$306:$C$335)</f>
        <v>1.36318216667591</v>
      </c>
      <c r="M316" s="1" t="n">
        <f aca="false">SKEW($E$306:$E$335)</f>
        <v>1.48537261344609</v>
      </c>
      <c r="N316" s="1" t="n">
        <f aca="false">SKEW($G$306:$G$335)</f>
        <v>1.36302946071424</v>
      </c>
      <c r="O316" s="1" t="n">
        <f aca="false">SKEW($I$306:$I$335)</f>
        <v>1.63535415290316</v>
      </c>
    </row>
    <row r="317" customFormat="false" ht="13.8" hidden="false" customHeight="false" outlineLevel="0" collapsed="false">
      <c r="A317" s="1" t="n">
        <v>316</v>
      </c>
      <c r="B317" s="32" t="n">
        <v>44877</v>
      </c>
      <c r="C317" s="33" t="n">
        <v>1315</v>
      </c>
      <c r="D317" s="33" t="n">
        <f aca="false">C316-C317</f>
        <v>267</v>
      </c>
      <c r="E317" s="33" t="n">
        <v>69.4</v>
      </c>
      <c r="F317" s="33" t="n">
        <f aca="false">E316-E317</f>
        <v>8.89999999999999</v>
      </c>
      <c r="G317" s="33" t="n">
        <v>0.95</v>
      </c>
      <c r="H317" s="33" t="n">
        <f aca="false">G317-G316</f>
        <v>-0.19</v>
      </c>
      <c r="I317" s="33" t="n">
        <v>18</v>
      </c>
      <c r="J317" s="33" t="n">
        <f aca="false">I316-I317</f>
        <v>2</v>
      </c>
      <c r="K317" s="1" t="s">
        <v>24</v>
      </c>
      <c r="L317" s="1" t="n">
        <f aca="false">MAX($C$306:$C$335)-MIN($C$306:$C$335)</f>
        <v>20301</v>
      </c>
      <c r="M317" s="1" t="n">
        <f aca="false">MAX($E$306:$E$335)-MIN($E$306:$E$335)</f>
        <v>967.5</v>
      </c>
      <c r="N317" s="1" t="n">
        <f aca="false">MAX($G$306:$G$335)-MIN($G$306:$G$335)</f>
        <v>14.61</v>
      </c>
      <c r="O317" s="1" t="n">
        <f aca="false">MAX($I$306:$I$335)-MIN($I$306:$I$335)</f>
        <v>243</v>
      </c>
    </row>
    <row r="318" customFormat="false" ht="13.8" hidden="false" customHeight="false" outlineLevel="0" collapsed="false">
      <c r="A318" s="33" t="n">
        <v>317</v>
      </c>
      <c r="B318" s="32" t="n">
        <v>44878</v>
      </c>
      <c r="C318" s="33" t="n">
        <v>7171</v>
      </c>
      <c r="D318" s="33" t="n">
        <f aca="false">C317-C318</f>
        <v>-5856</v>
      </c>
      <c r="E318" s="33" t="n">
        <v>344.4</v>
      </c>
      <c r="F318" s="33" t="n">
        <f aca="false">E317-E318</f>
        <v>-275</v>
      </c>
      <c r="G318" s="33" t="n">
        <v>5.16</v>
      </c>
      <c r="H318" s="33" t="n">
        <f aca="false">G318-G317</f>
        <v>4.21</v>
      </c>
      <c r="I318" s="33" t="n">
        <v>87</v>
      </c>
      <c r="J318" s="33" t="n">
        <f aca="false">I317-I318</f>
        <v>-69</v>
      </c>
      <c r="K318" s="1" t="s">
        <v>26</v>
      </c>
      <c r="L318" s="1" t="n">
        <f aca="false">MIN($C$306:$C$335)</f>
        <v>327</v>
      </c>
      <c r="M318" s="1" t="n">
        <f aca="false">MIN($E$306:$E$335)</f>
        <v>17</v>
      </c>
      <c r="N318" s="1" t="n">
        <f aca="false">MIN($G$306:$G$335)</f>
        <v>0.24</v>
      </c>
      <c r="O318" s="1" t="n">
        <f aca="false">MIN($I$306:$I$335)</f>
        <v>4</v>
      </c>
    </row>
    <row r="319" customFormat="false" ht="13.8" hidden="false" customHeight="false" outlineLevel="0" collapsed="false">
      <c r="A319" s="1" t="n">
        <v>318</v>
      </c>
      <c r="B319" s="32" t="n">
        <v>44879</v>
      </c>
      <c r="C319" s="33" t="n">
        <v>6577</v>
      </c>
      <c r="D319" s="33" t="n">
        <f aca="false">C318-C319</f>
        <v>594</v>
      </c>
      <c r="E319" s="33" t="n">
        <v>305.3</v>
      </c>
      <c r="F319" s="33" t="n">
        <f aca="false">E318-E319</f>
        <v>39.1</v>
      </c>
      <c r="G319" s="33" t="n">
        <v>4.74</v>
      </c>
      <c r="H319" s="33" t="n">
        <f aca="false">G319-G318</f>
        <v>-0.42</v>
      </c>
      <c r="I319" s="33" t="n">
        <v>74</v>
      </c>
      <c r="J319" s="33" t="n">
        <f aca="false">I318-I319</f>
        <v>13</v>
      </c>
      <c r="K319" s="1" t="s">
        <v>28</v>
      </c>
      <c r="L319" s="1" t="n">
        <f aca="false">MAX($C$306:$C$335)</f>
        <v>20628</v>
      </c>
      <c r="M319" s="1" t="n">
        <f aca="false">MAX($E$306:$E$335)</f>
        <v>984.5</v>
      </c>
      <c r="N319" s="1" t="n">
        <f aca="false">MAX($G$306:$G$335)</f>
        <v>14.85</v>
      </c>
      <c r="O319" s="1" t="n">
        <f aca="false">MAX($I$306:$I$335)</f>
        <v>247</v>
      </c>
    </row>
    <row r="320" customFormat="false" ht="13.8" hidden="false" customHeight="false" outlineLevel="0" collapsed="false">
      <c r="A320" s="33" t="n">
        <v>319</v>
      </c>
      <c r="B320" s="32" t="n">
        <v>44880</v>
      </c>
      <c r="C320" s="33" t="n">
        <v>5292</v>
      </c>
      <c r="D320" s="33" t="n">
        <f aca="false">C319-C320</f>
        <v>1285</v>
      </c>
      <c r="E320" s="33" t="n">
        <v>248.8</v>
      </c>
      <c r="F320" s="33" t="n">
        <f aca="false">E319-E320</f>
        <v>56.5</v>
      </c>
      <c r="G320" s="33" t="n">
        <v>3.81</v>
      </c>
      <c r="H320" s="33" t="n">
        <f aca="false">G320-G319</f>
        <v>-0.93</v>
      </c>
      <c r="I320" s="33" t="n">
        <v>61</v>
      </c>
      <c r="J320" s="33" t="n">
        <f aca="false">I319-I320</f>
        <v>13</v>
      </c>
      <c r="K320" s="1" t="s">
        <v>30</v>
      </c>
      <c r="L320" s="1" t="n">
        <f aca="false">SUM($C$306:$C$335)</f>
        <v>173852</v>
      </c>
      <c r="M320" s="1" t="n">
        <f aca="false">SUM($E$306:$E$335)</f>
        <v>8169.2</v>
      </c>
      <c r="N320" s="1" t="n">
        <f aca="false">SUM($G$306:$G$335)</f>
        <v>125.18</v>
      </c>
      <c r="O320" s="1" t="n">
        <f aca="false">SUM($I$306:$I$335)</f>
        <v>1996</v>
      </c>
    </row>
    <row r="321" customFormat="false" ht="13.8" hidden="false" customHeight="false" outlineLevel="0" collapsed="false">
      <c r="A321" s="1" t="n">
        <v>320</v>
      </c>
      <c r="B321" s="32" t="n">
        <v>44881</v>
      </c>
      <c r="C321" s="33" t="n">
        <v>7642</v>
      </c>
      <c r="D321" s="33" t="n">
        <f aca="false">C320-C321</f>
        <v>-2350</v>
      </c>
      <c r="E321" s="33" t="n">
        <v>370.9</v>
      </c>
      <c r="F321" s="33" t="n">
        <f aca="false">E320-E321</f>
        <v>-122.1</v>
      </c>
      <c r="G321" s="33" t="n">
        <v>5.5</v>
      </c>
      <c r="H321" s="33" t="n">
        <f aca="false">G321-G320</f>
        <v>1.69</v>
      </c>
      <c r="I321" s="33" t="n">
        <v>94</v>
      </c>
      <c r="J321" s="33" t="n">
        <f aca="false">I320-I321</f>
        <v>-33</v>
      </c>
      <c r="K321" s="1" t="s">
        <v>32</v>
      </c>
      <c r="L321" s="1" t="n">
        <f aca="false">COUNT($C$306:$C$335)</f>
        <v>30</v>
      </c>
      <c r="M321" s="1" t="n">
        <f aca="false">COUNT($E$306:$E$335)</f>
        <v>30</v>
      </c>
      <c r="N321" s="1" t="n">
        <f aca="false">COUNT($G$306:$G$335)</f>
        <v>30</v>
      </c>
      <c r="O321" s="1" t="n">
        <f aca="false">COUNT($I$306:$I$335)</f>
        <v>30</v>
      </c>
    </row>
    <row r="322" customFormat="false" ht="13.8" hidden="false" customHeight="false" outlineLevel="0" collapsed="false">
      <c r="A322" s="33" t="n">
        <v>321</v>
      </c>
      <c r="B322" s="32" t="n">
        <v>44882</v>
      </c>
      <c r="C322" s="33" t="n">
        <v>6183</v>
      </c>
      <c r="D322" s="33" t="n">
        <f aca="false">C321-C322</f>
        <v>1459</v>
      </c>
      <c r="E322" s="33" t="n">
        <v>310.4</v>
      </c>
      <c r="F322" s="33" t="n">
        <f aca="false">E321-E322</f>
        <v>60.5</v>
      </c>
      <c r="G322" s="33" t="n">
        <v>4.45</v>
      </c>
      <c r="H322" s="33" t="n">
        <f aca="false">G322-G321</f>
        <v>-1.05</v>
      </c>
      <c r="I322" s="33" t="n">
        <v>81</v>
      </c>
      <c r="J322" s="33" t="n">
        <f aca="false">I321-I322</f>
        <v>13</v>
      </c>
    </row>
    <row r="323" customFormat="false" ht="13.8" hidden="false" customHeight="false" outlineLevel="0" collapsed="false">
      <c r="A323" s="1" t="n">
        <v>322</v>
      </c>
      <c r="B323" s="32" t="n">
        <v>44883</v>
      </c>
      <c r="C323" s="33" t="n">
        <v>3311</v>
      </c>
      <c r="D323" s="33" t="n">
        <f aca="false">C322-C323</f>
        <v>2872</v>
      </c>
      <c r="E323" s="33" t="n">
        <v>168.3</v>
      </c>
      <c r="F323" s="33" t="n">
        <f aca="false">E322-E323</f>
        <v>142.1</v>
      </c>
      <c r="G323" s="33" t="n">
        <v>2.38</v>
      </c>
      <c r="H323" s="33" t="n">
        <f aca="false">G323-G322</f>
        <v>-2.07</v>
      </c>
      <c r="I323" s="33" t="n">
        <v>44</v>
      </c>
      <c r="J323" s="33" t="n">
        <f aca="false">I322-I323</f>
        <v>37</v>
      </c>
    </row>
    <row r="324" customFormat="false" ht="13.8" hidden="false" customHeight="false" outlineLevel="0" collapsed="false">
      <c r="A324" s="33" t="n">
        <v>323</v>
      </c>
      <c r="B324" s="32" t="n">
        <v>44884</v>
      </c>
      <c r="C324" s="33" t="n">
        <v>7918</v>
      </c>
      <c r="D324" s="33" t="n">
        <f aca="false">C323-C324</f>
        <v>-4607</v>
      </c>
      <c r="E324" s="33" t="n">
        <v>360.4</v>
      </c>
      <c r="F324" s="33" t="n">
        <f aca="false">E323-E324</f>
        <v>-192.1</v>
      </c>
      <c r="G324" s="33" t="n">
        <v>5.7</v>
      </c>
      <c r="H324" s="33" t="n">
        <f aca="false">G324-G323</f>
        <v>3.32</v>
      </c>
      <c r="I324" s="33" t="n">
        <v>85</v>
      </c>
      <c r="J324" s="33" t="n">
        <f aca="false">I323-I324</f>
        <v>-41</v>
      </c>
    </row>
    <row r="325" customFormat="false" ht="13.8" hidden="false" customHeight="false" outlineLevel="0" collapsed="false">
      <c r="A325" s="1" t="n">
        <v>324</v>
      </c>
      <c r="B325" s="32" t="n">
        <v>44885</v>
      </c>
      <c r="C325" s="33" t="n">
        <v>3353</v>
      </c>
      <c r="D325" s="33" t="n">
        <f aca="false">C324-C325</f>
        <v>4565</v>
      </c>
      <c r="E325" s="33" t="n">
        <v>160.8</v>
      </c>
      <c r="F325" s="33" t="n">
        <f aca="false">E324-E325</f>
        <v>199.6</v>
      </c>
      <c r="G325" s="33" t="n">
        <v>2.41</v>
      </c>
      <c r="H325" s="33" t="n">
        <f aca="false">G325-G324</f>
        <v>-3.29</v>
      </c>
      <c r="I325" s="33" t="n">
        <v>40</v>
      </c>
      <c r="J325" s="33" t="n">
        <f aca="false">I324-I325</f>
        <v>45</v>
      </c>
    </row>
    <row r="326" customFormat="false" ht="13.8" hidden="false" customHeight="false" outlineLevel="0" collapsed="false">
      <c r="A326" s="33" t="n">
        <v>325</v>
      </c>
      <c r="B326" s="32" t="n">
        <v>44886</v>
      </c>
      <c r="C326" s="33" t="n">
        <v>991</v>
      </c>
      <c r="D326" s="33" t="n">
        <f aca="false">C325-C326</f>
        <v>2362</v>
      </c>
      <c r="E326" s="33" t="n">
        <v>50.2</v>
      </c>
      <c r="F326" s="33" t="n">
        <f aca="false">E325-E326</f>
        <v>110.6</v>
      </c>
      <c r="G326" s="33" t="n">
        <v>0.71</v>
      </c>
      <c r="H326" s="33" t="n">
        <f aca="false">G326-G325</f>
        <v>-1.7</v>
      </c>
      <c r="I326" s="33" t="n">
        <v>13</v>
      </c>
      <c r="J326" s="33" t="n">
        <f aca="false">I325-I326</f>
        <v>27</v>
      </c>
    </row>
    <row r="327" customFormat="false" ht="13.8" hidden="false" customHeight="false" outlineLevel="0" collapsed="false">
      <c r="A327" s="1" t="n">
        <v>326</v>
      </c>
      <c r="B327" s="32" t="n">
        <v>44887</v>
      </c>
      <c r="C327" s="33" t="n">
        <v>9488</v>
      </c>
      <c r="D327" s="33" t="n">
        <f aca="false">C326-C327</f>
        <v>-8497</v>
      </c>
      <c r="E327" s="33" t="n">
        <v>442.9</v>
      </c>
      <c r="F327" s="33" t="n">
        <f aca="false">E326-E327</f>
        <v>-392.7</v>
      </c>
      <c r="G327" s="33" t="n">
        <v>6.83</v>
      </c>
      <c r="H327" s="33" t="n">
        <f aca="false">G327-G326</f>
        <v>6.12</v>
      </c>
      <c r="I327" s="33" t="n">
        <v>108</v>
      </c>
      <c r="J327" s="33" t="n">
        <f aca="false">I326-I327</f>
        <v>-95</v>
      </c>
    </row>
    <row r="328" customFormat="false" ht="13.8" hidden="false" customHeight="false" outlineLevel="0" collapsed="false">
      <c r="A328" s="33" t="n">
        <v>327</v>
      </c>
      <c r="B328" s="32" t="n">
        <v>44888</v>
      </c>
      <c r="C328" s="33" t="n">
        <v>12787</v>
      </c>
      <c r="D328" s="33" t="n">
        <f aca="false">C327-C328</f>
        <v>-3299</v>
      </c>
      <c r="E328" s="33" t="n">
        <v>580</v>
      </c>
      <c r="F328" s="33" t="n">
        <f aca="false">E327-E328</f>
        <v>-137.1</v>
      </c>
      <c r="G328" s="33" t="n">
        <v>9.21</v>
      </c>
      <c r="H328" s="33" t="n">
        <f aca="false">G328-G327</f>
        <v>2.38</v>
      </c>
      <c r="I328" s="33" t="n">
        <v>137</v>
      </c>
      <c r="J328" s="33" t="n">
        <f aca="false">I327-I328</f>
        <v>-29</v>
      </c>
    </row>
    <row r="329" customFormat="false" ht="13.8" hidden="false" customHeight="false" outlineLevel="0" collapsed="false">
      <c r="A329" s="1" t="n">
        <v>328</v>
      </c>
      <c r="B329" s="32" t="n">
        <v>44889</v>
      </c>
      <c r="C329" s="33" t="n">
        <v>7165</v>
      </c>
      <c r="D329" s="33" t="n">
        <f aca="false">C328-C329</f>
        <v>5622</v>
      </c>
      <c r="E329" s="33" t="n">
        <v>332.1</v>
      </c>
      <c r="F329" s="33" t="n">
        <f aca="false">E328-E329</f>
        <v>247.9</v>
      </c>
      <c r="G329" s="33" t="n">
        <v>5.16</v>
      </c>
      <c r="H329" s="33" t="n">
        <f aca="false">G329-G328</f>
        <v>-4.05</v>
      </c>
      <c r="I329" s="33" t="n">
        <v>81</v>
      </c>
      <c r="J329" s="33" t="n">
        <f aca="false">I328-I329</f>
        <v>56</v>
      </c>
    </row>
    <row r="330" customFormat="false" ht="13.8" hidden="false" customHeight="false" outlineLevel="0" collapsed="false">
      <c r="A330" s="33" t="n">
        <v>329</v>
      </c>
      <c r="B330" s="32" t="n">
        <v>44890</v>
      </c>
      <c r="C330" s="33" t="n">
        <v>1196</v>
      </c>
      <c r="D330" s="33" t="n">
        <f aca="false">C329-C330</f>
        <v>5969</v>
      </c>
      <c r="E330" s="33" t="n">
        <v>60.6</v>
      </c>
      <c r="F330" s="33" t="n">
        <f aca="false">E329-E330</f>
        <v>271.5</v>
      </c>
      <c r="G330" s="33" t="n">
        <v>0.86</v>
      </c>
      <c r="H330" s="33" t="n">
        <f aca="false">G330-G329</f>
        <v>-4.3</v>
      </c>
      <c r="I330" s="33" t="n">
        <v>16</v>
      </c>
      <c r="J330" s="33" t="n">
        <f aca="false">I329-I330</f>
        <v>65</v>
      </c>
    </row>
    <row r="331" customFormat="false" ht="13.8" hidden="false" customHeight="false" outlineLevel="0" collapsed="false">
      <c r="A331" s="1" t="n">
        <v>330</v>
      </c>
      <c r="B331" s="32" t="n">
        <v>44891</v>
      </c>
      <c r="C331" s="33" t="n">
        <v>7007</v>
      </c>
      <c r="D331" s="33" t="n">
        <f aca="false">C330-C331</f>
        <v>-5811</v>
      </c>
      <c r="E331" s="33" t="n">
        <v>343.3</v>
      </c>
      <c r="F331" s="33" t="n">
        <f aca="false">E330-E331</f>
        <v>-282.7</v>
      </c>
      <c r="G331" s="33" t="n">
        <v>5.05</v>
      </c>
      <c r="H331" s="33" t="n">
        <f aca="false">G331-G330</f>
        <v>4.19</v>
      </c>
      <c r="I331" s="33" t="n">
        <v>88</v>
      </c>
      <c r="J331" s="33" t="n">
        <f aca="false">I330-I331</f>
        <v>-72</v>
      </c>
    </row>
    <row r="332" customFormat="false" ht="13.8" hidden="false" customHeight="false" outlineLevel="0" collapsed="false">
      <c r="A332" s="33" t="n">
        <v>331</v>
      </c>
      <c r="B332" s="32" t="n">
        <v>44892</v>
      </c>
      <c r="C332" s="33" t="n">
        <v>9722</v>
      </c>
      <c r="D332" s="33" t="n">
        <f aca="false">C331-C332</f>
        <v>-2715</v>
      </c>
      <c r="E332" s="33" t="n">
        <v>447.7</v>
      </c>
      <c r="F332" s="33" t="n">
        <f aca="false">E331-E332</f>
        <v>-104.4</v>
      </c>
      <c r="G332" s="33" t="n">
        <v>7</v>
      </c>
      <c r="H332" s="33" t="n">
        <f aca="false">G332-G331</f>
        <v>1.95</v>
      </c>
      <c r="I332" s="33" t="n">
        <v>108</v>
      </c>
      <c r="J332" s="33" t="n">
        <f aca="false">I331-I332</f>
        <v>-20</v>
      </c>
    </row>
    <row r="333" customFormat="false" ht="13.8" hidden="false" customHeight="false" outlineLevel="0" collapsed="false">
      <c r="A333" s="1" t="n">
        <v>332</v>
      </c>
      <c r="B333" s="32" t="n">
        <v>44893</v>
      </c>
      <c r="C333" s="33" t="n">
        <v>6715</v>
      </c>
      <c r="D333" s="33" t="n">
        <f aca="false">C332-C333</f>
        <v>3007</v>
      </c>
      <c r="E333" s="33" t="n">
        <v>307.4</v>
      </c>
      <c r="F333" s="33" t="n">
        <f aca="false">E332-E333</f>
        <v>140.3</v>
      </c>
      <c r="G333" s="33" t="n">
        <v>4.83</v>
      </c>
      <c r="H333" s="33" t="n">
        <f aca="false">G333-G332</f>
        <v>-2.17</v>
      </c>
      <c r="I333" s="33" t="n">
        <v>72</v>
      </c>
      <c r="J333" s="33" t="n">
        <f aca="false">I332-I333</f>
        <v>36</v>
      </c>
    </row>
    <row r="334" customFormat="false" ht="13.8" hidden="false" customHeight="false" outlineLevel="0" collapsed="false">
      <c r="A334" s="33" t="n">
        <v>333</v>
      </c>
      <c r="B334" s="32" t="n">
        <v>44894</v>
      </c>
      <c r="C334" s="33" t="n">
        <v>10498</v>
      </c>
      <c r="D334" s="33" t="n">
        <f aca="false">C333-C334</f>
        <v>-3783</v>
      </c>
      <c r="E334" s="33" t="n">
        <v>477.1</v>
      </c>
      <c r="F334" s="33" t="n">
        <f aca="false">E333-E334</f>
        <v>-169.7</v>
      </c>
      <c r="G334" s="33" t="n">
        <v>7.56</v>
      </c>
      <c r="H334" s="33" t="n">
        <f aca="false">G334-G333</f>
        <v>2.73</v>
      </c>
      <c r="I334" s="33" t="n">
        <v>112</v>
      </c>
      <c r="J334" s="33" t="n">
        <f aca="false">I333-I334</f>
        <v>-40</v>
      </c>
    </row>
    <row r="335" customFormat="false" ht="13.8" hidden="false" customHeight="false" outlineLevel="0" collapsed="false">
      <c r="A335" s="1" t="n">
        <v>334</v>
      </c>
      <c r="B335" s="32" t="n">
        <v>44895</v>
      </c>
      <c r="C335" s="33" t="n">
        <v>6179</v>
      </c>
      <c r="D335" s="33" t="n">
        <f aca="false">C334-C335</f>
        <v>4319</v>
      </c>
      <c r="E335" s="33" t="n">
        <v>282.8</v>
      </c>
      <c r="F335" s="33" t="n">
        <f aca="false">E334-E335</f>
        <v>194.3</v>
      </c>
      <c r="G335" s="33" t="n">
        <v>4.45</v>
      </c>
      <c r="H335" s="33" t="n">
        <f aca="false">G335-G334</f>
        <v>-3.11</v>
      </c>
      <c r="I335" s="33" t="n">
        <v>67</v>
      </c>
      <c r="J335" s="33" t="n">
        <f aca="false">I334-I335</f>
        <v>45</v>
      </c>
    </row>
    <row r="336" customFormat="false" ht="13.8" hidden="false" customHeight="false" outlineLevel="0" collapsed="false">
      <c r="A336" s="33" t="n">
        <v>335</v>
      </c>
      <c r="B336" s="32" t="n">
        <v>44896</v>
      </c>
      <c r="C336" s="33" t="n">
        <v>6121</v>
      </c>
      <c r="D336" s="33" t="n">
        <f aca="false">C335-C336</f>
        <v>58</v>
      </c>
      <c r="E336" s="33" t="n">
        <v>289.6</v>
      </c>
      <c r="F336" s="33" t="n">
        <f aca="false">E335-E336</f>
        <v>-6.80000000000001</v>
      </c>
      <c r="G336" s="33" t="n">
        <v>4.41</v>
      </c>
      <c r="H336" s="33" t="n">
        <f aca="false">G336-G335</f>
        <v>-0.04</v>
      </c>
      <c r="I336" s="33" t="n">
        <v>71</v>
      </c>
      <c r="J336" s="33" t="n">
        <f aca="false">I335-I336</f>
        <v>-4</v>
      </c>
      <c r="L336" s="1" t="s">
        <v>2</v>
      </c>
      <c r="M336" s="1" t="s">
        <v>179</v>
      </c>
      <c r="N336" s="1" t="s">
        <v>175</v>
      </c>
      <c r="O336" s="1" t="s">
        <v>177</v>
      </c>
    </row>
    <row r="337" customFormat="false" ht="13.8" hidden="false" customHeight="false" outlineLevel="0" collapsed="false">
      <c r="A337" s="1" t="n">
        <v>336</v>
      </c>
      <c r="B337" s="32" t="n">
        <v>44897</v>
      </c>
      <c r="C337" s="33" t="n">
        <v>7199</v>
      </c>
      <c r="D337" s="33" t="n">
        <f aca="false">C336-C337</f>
        <v>-1078</v>
      </c>
      <c r="E337" s="33" t="n">
        <v>331.1</v>
      </c>
      <c r="F337" s="33" t="n">
        <f aca="false">E336-E337</f>
        <v>-41.5</v>
      </c>
      <c r="G337" s="33" t="n">
        <v>5.18</v>
      </c>
      <c r="H337" s="33" t="n">
        <f aca="false">G337-G336</f>
        <v>0.77</v>
      </c>
      <c r="I337" s="33" t="n">
        <v>80</v>
      </c>
      <c r="J337" s="33" t="n">
        <f aca="false">I336-I337</f>
        <v>-9</v>
      </c>
      <c r="K337" s="1" t="s">
        <v>8</v>
      </c>
      <c r="L337" s="1" t="n">
        <f aca="false">AVERAGE($C$336:$C$366)</f>
        <v>6807.22580645161</v>
      </c>
      <c r="M337" s="1" t="n">
        <f aca="false">AVERAGE($E$336:$E$366)</f>
        <v>309.477419354839</v>
      </c>
      <c r="N337" s="1" t="n">
        <f aca="false">AVERAGE($G$336:$G$366)</f>
        <v>4.90225806451613</v>
      </c>
      <c r="O337" s="1" t="n">
        <f aca="false">AVERAGE($I$336:$I$366)</f>
        <v>72</v>
      </c>
    </row>
    <row r="338" customFormat="false" ht="13.8" hidden="false" customHeight="false" outlineLevel="0" collapsed="false">
      <c r="A338" s="33" t="n">
        <v>337</v>
      </c>
      <c r="B338" s="32" t="n">
        <v>44898</v>
      </c>
      <c r="C338" s="33" t="n">
        <v>6900</v>
      </c>
      <c r="D338" s="33" t="n">
        <f aca="false">C337-C338</f>
        <v>299</v>
      </c>
      <c r="E338" s="33" t="n">
        <v>337.8</v>
      </c>
      <c r="F338" s="33" t="n">
        <f aca="false">E337-E338</f>
        <v>-6.69999999999999</v>
      </c>
      <c r="G338" s="33" t="n">
        <v>4.97</v>
      </c>
      <c r="H338" s="33" t="n">
        <f aca="false">G338-G337</f>
        <v>-0.21</v>
      </c>
      <c r="I338" s="33" t="n">
        <v>86</v>
      </c>
      <c r="J338" s="33" t="n">
        <f aca="false">I337-I338</f>
        <v>-6</v>
      </c>
      <c r="K338" s="1" t="s">
        <v>10</v>
      </c>
      <c r="L338" s="1" t="n">
        <f aca="false">SQRT(VAR($C$336:$C$366)/COUNT($C$336:$C$366))</f>
        <v>610.728556126307</v>
      </c>
      <c r="M338" s="1" t="n">
        <f aca="false">SQRT(VAR($E$336:$E$366)/COUNT($E$336:$E$366))</f>
        <v>26.4660121704823</v>
      </c>
      <c r="N338" s="1" t="n">
        <f aca="false">SQRT(VAR($G$336:$G$366)/COUNT($G$336:$G$366))</f>
        <v>0.439830786053836</v>
      </c>
      <c r="O338" s="1" t="n">
        <f aca="false">SQRT(VAR($I$336:$I$366)/COUNT($I$336:$I$366))</f>
        <v>5.84163771410002</v>
      </c>
    </row>
    <row r="339" customFormat="false" ht="13.8" hidden="false" customHeight="false" outlineLevel="0" collapsed="false">
      <c r="A339" s="1" t="n">
        <v>338</v>
      </c>
      <c r="B339" s="32" t="n">
        <v>44899</v>
      </c>
      <c r="C339" s="33" t="n">
        <v>8007</v>
      </c>
      <c r="D339" s="33" t="n">
        <f aca="false">C338-C339</f>
        <v>-1107</v>
      </c>
      <c r="E339" s="33" t="n">
        <v>360.7</v>
      </c>
      <c r="F339" s="33" t="n">
        <f aca="false">E338-E339</f>
        <v>-22.9</v>
      </c>
      <c r="G339" s="33" t="n">
        <v>5.77</v>
      </c>
      <c r="H339" s="33" t="n">
        <f aca="false">G339-G338</f>
        <v>0.8</v>
      </c>
      <c r="I339" s="33" t="n">
        <v>83</v>
      </c>
      <c r="J339" s="33" t="n">
        <f aca="false">I338-I339</f>
        <v>3</v>
      </c>
      <c r="K339" s="1" t="s">
        <v>14</v>
      </c>
      <c r="L339" s="1" t="e">
        <f aca="false">MODE($C$336:$C$366)</f>
        <v>#VALUE!</v>
      </c>
      <c r="M339" s="1" t="e">
        <f aca="false">MODE($E$336:$E$366)</f>
        <v>#VALUE!</v>
      </c>
      <c r="N339" s="1" t="e">
        <f aca="false">MODE($G$336:$G$366)</f>
        <v>#VALUE!</v>
      </c>
      <c r="O339" s="1" t="n">
        <f aca="false">MODE($I$336:$I$366)</f>
        <v>86</v>
      </c>
    </row>
    <row r="340" customFormat="false" ht="13.8" hidden="false" customHeight="false" outlineLevel="0" collapsed="false">
      <c r="A340" s="33" t="n">
        <v>339</v>
      </c>
      <c r="B340" s="32" t="n">
        <v>44900</v>
      </c>
      <c r="C340" s="33" t="n">
        <v>1845</v>
      </c>
      <c r="D340" s="33" t="n">
        <f aca="false">C339-C340</f>
        <v>6162</v>
      </c>
      <c r="E340" s="33" t="n">
        <v>87.3</v>
      </c>
      <c r="F340" s="33" t="n">
        <f aca="false">E339-E340</f>
        <v>273.4</v>
      </c>
      <c r="G340" s="33" t="n">
        <v>1.33</v>
      </c>
      <c r="H340" s="33" t="n">
        <f aca="false">G340-G339</f>
        <v>-4.44</v>
      </c>
      <c r="I340" s="33" t="n">
        <v>21</v>
      </c>
      <c r="J340" s="33" t="n">
        <f aca="false">I339-I340</f>
        <v>62</v>
      </c>
      <c r="K340" s="1" t="s">
        <v>12</v>
      </c>
      <c r="L340" s="1" t="n">
        <f aca="false">MEDIAN($C$336:$C$366)</f>
        <v>6771</v>
      </c>
      <c r="M340" s="1" t="n">
        <f aca="false">MEDIAN($E$336:$E$366)</f>
        <v>297.2</v>
      </c>
      <c r="N340" s="1" t="n">
        <f aca="false">MEDIAN($G$336:$G$366)</f>
        <v>4.88</v>
      </c>
      <c r="O340" s="1" t="n">
        <f aca="false">MEDIAN($I$336:$I$366)</f>
        <v>71</v>
      </c>
    </row>
    <row r="341" customFormat="false" ht="13.8" hidden="false" customHeight="false" outlineLevel="0" collapsed="false">
      <c r="A341" s="1" t="n">
        <v>340</v>
      </c>
      <c r="B341" s="32" t="n">
        <v>44901</v>
      </c>
      <c r="C341" s="33" t="n">
        <v>2884</v>
      </c>
      <c r="D341" s="33" t="n">
        <f aca="false">C340-C341</f>
        <v>-1039</v>
      </c>
      <c r="E341" s="33" t="n">
        <v>139.8</v>
      </c>
      <c r="F341" s="33" t="n">
        <f aca="false">E340-E341</f>
        <v>-52.5</v>
      </c>
      <c r="G341" s="33" t="n">
        <v>2.08</v>
      </c>
      <c r="H341" s="33" t="n">
        <f aca="false">G341-G340</f>
        <v>0.75</v>
      </c>
      <c r="I341" s="33" t="n">
        <v>35</v>
      </c>
      <c r="J341" s="33" t="n">
        <f aca="false">I340-I341</f>
        <v>-14</v>
      </c>
      <c r="K341" s="1" t="s">
        <v>195</v>
      </c>
      <c r="L341" s="1" t="n">
        <f aca="false">QUARTILE($C$336:$C$366, 1)</f>
        <v>4184</v>
      </c>
      <c r="M341" s="1" t="n">
        <f aca="false">QUARTILE($E$336:$E$366, 1)</f>
        <v>201.15</v>
      </c>
      <c r="N341" s="1" t="n">
        <f aca="false">QUARTILE($G$336:$G$366, 1)</f>
        <v>3.015</v>
      </c>
      <c r="O341" s="1" t="n">
        <f aca="false">QUARTILE($I$336:$I$366, 1)</f>
        <v>50</v>
      </c>
    </row>
    <row r="342" customFormat="false" ht="13.8" hidden="false" customHeight="false" outlineLevel="0" collapsed="false">
      <c r="A342" s="33" t="n">
        <v>341</v>
      </c>
      <c r="B342" s="32" t="n">
        <v>44902</v>
      </c>
      <c r="C342" s="33" t="n">
        <v>6158</v>
      </c>
      <c r="D342" s="33" t="n">
        <f aca="false">C341-C342</f>
        <v>-3274</v>
      </c>
      <c r="E342" s="33" t="n">
        <v>282.9</v>
      </c>
      <c r="F342" s="33" t="n">
        <f aca="false">E341-E342</f>
        <v>-143.1</v>
      </c>
      <c r="G342" s="33" t="n">
        <v>4.43</v>
      </c>
      <c r="H342" s="33" t="n">
        <f aca="false">G342-G341</f>
        <v>2.35</v>
      </c>
      <c r="I342" s="33" t="n">
        <v>68</v>
      </c>
      <c r="J342" s="33" t="n">
        <f aca="false">I341-I342</f>
        <v>-33</v>
      </c>
      <c r="K342" s="1" t="s">
        <v>181</v>
      </c>
      <c r="L342" s="1" t="n">
        <f aca="false">QUARTILE($C$336:$C$366, 3)</f>
        <v>8458</v>
      </c>
      <c r="M342" s="1" t="n">
        <f aca="false">QUARTILE($E$336:$E$366, 3)</f>
        <v>383.9</v>
      </c>
      <c r="N342" s="1" t="n">
        <f aca="false">QUARTILE($G$336:$G$366, 3)</f>
        <v>6.09</v>
      </c>
      <c r="O342" s="1" t="n">
        <f aca="false">QUARTILE($I$336:$I$366, 3)</f>
        <v>86</v>
      </c>
    </row>
    <row r="343" customFormat="false" ht="13.8" hidden="false" customHeight="false" outlineLevel="0" collapsed="false">
      <c r="A343" s="1" t="n">
        <v>342</v>
      </c>
      <c r="B343" s="32" t="n">
        <v>44903</v>
      </c>
      <c r="C343" s="33" t="n">
        <v>7119</v>
      </c>
      <c r="D343" s="33" t="n">
        <f aca="false">C342-C343</f>
        <v>-961</v>
      </c>
      <c r="E343" s="33" t="n">
        <v>323.9</v>
      </c>
      <c r="F343" s="33" t="n">
        <f aca="false">E342-E343</f>
        <v>-41</v>
      </c>
      <c r="G343" s="33" t="n">
        <v>5.13</v>
      </c>
      <c r="H343" s="33" t="n">
        <f aca="false">G343-G342</f>
        <v>0.7</v>
      </c>
      <c r="I343" s="33" t="n">
        <v>77</v>
      </c>
      <c r="J343" s="33" t="n">
        <f aca="false">I342-I343</f>
        <v>-9</v>
      </c>
      <c r="K343" s="1" t="s">
        <v>182</v>
      </c>
      <c r="L343" s="1" t="n">
        <f aca="false">VAR($C$336:$C$366)</f>
        <v>11562670.4473118</v>
      </c>
      <c r="M343" s="1" t="n">
        <f aca="false">VAR($E$336:$E$366)</f>
        <v>21713.9438064516</v>
      </c>
      <c r="N343" s="1" t="n">
        <f aca="false">VAR($G$336:$G$366)</f>
        <v>5.9969847311828</v>
      </c>
      <c r="O343" s="1" t="n">
        <f aca="false">VAR($I$336:$I$366)</f>
        <v>1057.86666666667</v>
      </c>
    </row>
    <row r="344" customFormat="false" ht="13.8" hidden="false" customHeight="false" outlineLevel="0" collapsed="false">
      <c r="A344" s="33" t="n">
        <v>343</v>
      </c>
      <c r="B344" s="32" t="n">
        <v>44904</v>
      </c>
      <c r="C344" s="33" t="n">
        <v>3097</v>
      </c>
      <c r="D344" s="33" t="n">
        <f aca="false">C343-C344</f>
        <v>4022</v>
      </c>
      <c r="E344" s="33" t="n">
        <v>147.2</v>
      </c>
      <c r="F344" s="33" t="n">
        <f aca="false">E343-E344</f>
        <v>176.7</v>
      </c>
      <c r="G344" s="33" t="n">
        <v>2.23</v>
      </c>
      <c r="H344" s="33" t="n">
        <f aca="false">G344-G343</f>
        <v>-2.9</v>
      </c>
      <c r="I344" s="33" t="n">
        <v>36</v>
      </c>
      <c r="J344" s="33" t="n">
        <f aca="false">I343-I344</f>
        <v>41</v>
      </c>
      <c r="K344" s="1" t="s">
        <v>16</v>
      </c>
      <c r="L344" s="1" t="n">
        <f aca="false">STDEV($C$336:$C$366)</f>
        <v>3400.39269016269</v>
      </c>
      <c r="M344" s="1" t="n">
        <f aca="false">STDEV($E$336:$E$366)</f>
        <v>147.356519389037</v>
      </c>
      <c r="N344" s="1" t="n">
        <f aca="false">STDEV($G$336:$G$366)</f>
        <v>2.44887417626606</v>
      </c>
      <c r="O344" s="1" t="n">
        <f aca="false">STDEV($I$336:$I$366)</f>
        <v>32.5248622851299</v>
      </c>
    </row>
    <row r="345" customFormat="false" ht="13.8" hidden="false" customHeight="false" outlineLevel="0" collapsed="false">
      <c r="A345" s="1" t="n">
        <v>344</v>
      </c>
      <c r="B345" s="32" t="n">
        <v>44905</v>
      </c>
      <c r="C345" s="33" t="n">
        <v>9661</v>
      </c>
      <c r="D345" s="33" t="n">
        <f aca="false">C344-C345</f>
        <v>-6564</v>
      </c>
      <c r="E345" s="33" t="n">
        <v>462.2</v>
      </c>
      <c r="F345" s="33" t="n">
        <f aca="false">E344-E345</f>
        <v>-315</v>
      </c>
      <c r="G345" s="33" t="n">
        <v>6.96</v>
      </c>
      <c r="H345" s="33" t="n">
        <f aca="false">G345-G344</f>
        <v>4.73</v>
      </c>
      <c r="I345" s="33" t="n">
        <v>116</v>
      </c>
      <c r="J345" s="33" t="n">
        <f aca="false">I344-I345</f>
        <v>-80</v>
      </c>
      <c r="K345" s="1" t="s">
        <v>20</v>
      </c>
      <c r="L345" s="1" t="n">
        <f aca="false">KURT($C$336:$C$366)</f>
        <v>-0.295107795175521</v>
      </c>
      <c r="M345" s="1" t="n">
        <f aca="false">KURT($E$336:$E$366)</f>
        <v>-0.310957669551085</v>
      </c>
      <c r="N345" s="1" t="n">
        <f aca="false">KURT($G$336:$G$366)</f>
        <v>-0.295678037621117</v>
      </c>
      <c r="O345" s="1" t="n">
        <f aca="false">KURT($I$336:$I$366)</f>
        <v>-0.360052580714843</v>
      </c>
    </row>
    <row r="346" customFormat="false" ht="13.8" hidden="false" customHeight="false" outlineLevel="0" collapsed="false">
      <c r="A346" s="33" t="n">
        <v>345</v>
      </c>
      <c r="B346" s="32" t="n">
        <v>44906</v>
      </c>
      <c r="C346" s="33" t="n">
        <v>8584</v>
      </c>
      <c r="D346" s="33" t="n">
        <f aca="false">C345-C346</f>
        <v>1077</v>
      </c>
      <c r="E346" s="33" t="n">
        <v>381.2</v>
      </c>
      <c r="F346" s="33" t="n">
        <f aca="false">E345-E346</f>
        <v>81</v>
      </c>
      <c r="G346" s="33" t="n">
        <v>6.18</v>
      </c>
      <c r="H346" s="33" t="n">
        <f aca="false">G346-G345</f>
        <v>-0.78</v>
      </c>
      <c r="I346" s="33" t="n">
        <v>86</v>
      </c>
      <c r="J346" s="33" t="n">
        <f aca="false">I345-I346</f>
        <v>30</v>
      </c>
      <c r="K346" s="1" t="s">
        <v>22</v>
      </c>
      <c r="L346" s="1" t="n">
        <f aca="false">SKEW($C$336:$C$366)</f>
        <v>0.368976515481194</v>
      </c>
      <c r="M346" s="1" t="n">
        <f aca="false">SKEW($E$336:$E$366)</f>
        <v>0.290712178536235</v>
      </c>
      <c r="N346" s="1" t="n">
        <f aca="false">SKEW($G$336:$G$366)</f>
        <v>0.368047107972663</v>
      </c>
      <c r="O346" s="1" t="n">
        <f aca="false">SKEW($I$336:$I$366)</f>
        <v>0.160393134191602</v>
      </c>
    </row>
    <row r="347" customFormat="false" ht="13.8" hidden="false" customHeight="false" outlineLevel="0" collapsed="false">
      <c r="A347" s="1" t="n">
        <v>346</v>
      </c>
      <c r="B347" s="32" t="n">
        <v>44907</v>
      </c>
      <c r="C347" s="33" t="n">
        <v>5252</v>
      </c>
      <c r="D347" s="33" t="n">
        <f aca="false">C346-C347</f>
        <v>3332</v>
      </c>
      <c r="E347" s="33" t="n">
        <v>256.5</v>
      </c>
      <c r="F347" s="33" t="n">
        <f aca="false">E346-E347</f>
        <v>124.7</v>
      </c>
      <c r="G347" s="33" t="n">
        <v>3.78</v>
      </c>
      <c r="H347" s="33" t="n">
        <f aca="false">G347-G346</f>
        <v>-2.4</v>
      </c>
      <c r="I347" s="33" t="n">
        <v>65</v>
      </c>
      <c r="J347" s="33" t="n">
        <f aca="false">I346-I347</f>
        <v>21</v>
      </c>
      <c r="K347" s="1" t="s">
        <v>24</v>
      </c>
      <c r="L347" s="1" t="n">
        <f aca="false">MAX($C$336:$C$366)-MIN($C$336:$C$366)</f>
        <v>12811</v>
      </c>
      <c r="M347" s="1" t="n">
        <f aca="false">MAX($E$336:$E$366)-MIN($E$336:$E$366)</f>
        <v>560.3</v>
      </c>
      <c r="N347" s="1" t="n">
        <f aca="false">MAX($G$336:$G$366)-MIN($G$336:$G$366)</f>
        <v>9.23</v>
      </c>
      <c r="O347" s="1" t="n">
        <f aca="false">MAX($I$336:$I$366)-MIN($I$336:$I$366)</f>
        <v>126</v>
      </c>
    </row>
    <row r="348" customFormat="false" ht="13.8" hidden="false" customHeight="false" outlineLevel="0" collapsed="false">
      <c r="A348" s="33" t="n">
        <v>347</v>
      </c>
      <c r="B348" s="32" t="n">
        <v>44908</v>
      </c>
      <c r="C348" s="33" t="n">
        <v>825</v>
      </c>
      <c r="D348" s="33" t="n">
        <f aca="false">C347-C348</f>
        <v>4427</v>
      </c>
      <c r="E348" s="33" t="n">
        <v>41.6</v>
      </c>
      <c r="F348" s="33" t="n">
        <f aca="false">E347-E348</f>
        <v>214.9</v>
      </c>
      <c r="G348" s="33" t="n">
        <v>0.59</v>
      </c>
      <c r="H348" s="33" t="n">
        <f aca="false">G348-G347</f>
        <v>-3.19</v>
      </c>
      <c r="I348" s="33" t="n">
        <v>10</v>
      </c>
      <c r="J348" s="33" t="n">
        <f aca="false">I347-I348</f>
        <v>55</v>
      </c>
      <c r="K348" s="1" t="s">
        <v>26</v>
      </c>
      <c r="L348" s="1" t="n">
        <f aca="false">MIN($C$336:$C$366)</f>
        <v>825</v>
      </c>
      <c r="M348" s="1" t="n">
        <f aca="false">MIN($E$336:$E$366)</f>
        <v>41.6</v>
      </c>
      <c r="N348" s="1" t="n">
        <f aca="false">MIN($G$336:$G$366)</f>
        <v>0.59</v>
      </c>
      <c r="O348" s="1" t="n">
        <f aca="false">MIN($I$336:$I$366)</f>
        <v>10</v>
      </c>
    </row>
    <row r="349" customFormat="false" ht="13.8" hidden="false" customHeight="false" outlineLevel="0" collapsed="false">
      <c r="A349" s="1" t="n">
        <v>348</v>
      </c>
      <c r="B349" s="32" t="n">
        <v>44909</v>
      </c>
      <c r="C349" s="33" t="n">
        <v>6164</v>
      </c>
      <c r="D349" s="33" t="n">
        <f aca="false">C348-C349</f>
        <v>-5339</v>
      </c>
      <c r="E349" s="33" t="n">
        <v>281.6</v>
      </c>
      <c r="F349" s="33" t="n">
        <f aca="false">E348-E349</f>
        <v>-240</v>
      </c>
      <c r="G349" s="33" t="n">
        <v>4.44</v>
      </c>
      <c r="H349" s="33" t="n">
        <f aca="false">G349-G348</f>
        <v>3.85</v>
      </c>
      <c r="I349" s="33" t="n">
        <v>67</v>
      </c>
      <c r="J349" s="33" t="n">
        <f aca="false">I348-I349</f>
        <v>-57</v>
      </c>
      <c r="K349" s="1" t="s">
        <v>28</v>
      </c>
      <c r="L349" s="1" t="n">
        <f aca="false">MAX($C$336:$C$366)</f>
        <v>13636</v>
      </c>
      <c r="M349" s="1" t="n">
        <f aca="false">MAX($E$336:$E$366)</f>
        <v>601.9</v>
      </c>
      <c r="N349" s="1" t="n">
        <f aca="false">MAX($G$336:$G$366)</f>
        <v>9.82</v>
      </c>
      <c r="O349" s="1" t="n">
        <f aca="false">MAX($I$336:$I$366)</f>
        <v>136</v>
      </c>
    </row>
    <row r="350" customFormat="false" ht="13.8" hidden="false" customHeight="false" outlineLevel="0" collapsed="false">
      <c r="A350" s="33" t="n">
        <v>349</v>
      </c>
      <c r="B350" s="32" t="n">
        <v>44910</v>
      </c>
      <c r="C350" s="33" t="n">
        <v>2249</v>
      </c>
      <c r="D350" s="33" t="n">
        <f aca="false">C349-C350</f>
        <v>3915</v>
      </c>
      <c r="E350" s="33" t="n">
        <v>111.6</v>
      </c>
      <c r="F350" s="33" t="n">
        <f aca="false">E349-E350</f>
        <v>170</v>
      </c>
      <c r="G350" s="33" t="n">
        <v>1.62</v>
      </c>
      <c r="H350" s="33" t="n">
        <f aca="false">G350-G349</f>
        <v>-2.82</v>
      </c>
      <c r="I350" s="33" t="n">
        <v>28</v>
      </c>
      <c r="J350" s="33" t="n">
        <f aca="false">I349-I350</f>
        <v>39</v>
      </c>
      <c r="K350" s="1" t="s">
        <v>30</v>
      </c>
      <c r="L350" s="1" t="n">
        <f aca="false">SUM($C$336:$C$366)</f>
        <v>211024</v>
      </c>
      <c r="M350" s="1" t="n">
        <f aca="false">SUM($E$336:$E$366)</f>
        <v>9593.8</v>
      </c>
      <c r="N350" s="1" t="n">
        <f aca="false">SUM($G$336:$G$366)</f>
        <v>151.97</v>
      </c>
      <c r="O350" s="1" t="n">
        <f aca="false">SUM($I$336:$I$366)</f>
        <v>2232</v>
      </c>
    </row>
    <row r="351" customFormat="false" ht="13.8" hidden="false" customHeight="false" outlineLevel="0" collapsed="false">
      <c r="A351" s="1" t="n">
        <v>350</v>
      </c>
      <c r="B351" s="32" t="n">
        <v>44911</v>
      </c>
      <c r="C351" s="33" t="n">
        <v>4400</v>
      </c>
      <c r="D351" s="33" t="n">
        <f aca="false">C350-C351</f>
        <v>-2151</v>
      </c>
      <c r="E351" s="33" t="n">
        <v>223.7</v>
      </c>
      <c r="F351" s="33" t="n">
        <f aca="false">E350-E351</f>
        <v>-112.1</v>
      </c>
      <c r="G351" s="33" t="n">
        <v>3.17</v>
      </c>
      <c r="H351" s="33" t="n">
        <f aca="false">G351-G350</f>
        <v>1.55</v>
      </c>
      <c r="I351" s="33" t="n">
        <v>59</v>
      </c>
      <c r="J351" s="33" t="n">
        <f aca="false">I350-I351</f>
        <v>-31</v>
      </c>
      <c r="K351" s="1" t="s">
        <v>32</v>
      </c>
      <c r="L351" s="1" t="n">
        <f aca="false">COUNT($C$336:$C$366)</f>
        <v>31</v>
      </c>
      <c r="M351" s="1" t="n">
        <f aca="false">COUNT($E$336:$E$366)</f>
        <v>31</v>
      </c>
      <c r="N351" s="1" t="n">
        <f aca="false">COUNT($G$336:$G$366)</f>
        <v>31</v>
      </c>
      <c r="O351" s="1" t="n">
        <f aca="false">COUNT($I$336:$I$366)</f>
        <v>31</v>
      </c>
    </row>
    <row r="352" customFormat="false" ht="13.8" hidden="false" customHeight="false" outlineLevel="0" collapsed="false">
      <c r="A352" s="33" t="n">
        <v>351</v>
      </c>
      <c r="B352" s="32" t="n">
        <v>44912</v>
      </c>
      <c r="C352" s="33" t="n">
        <v>7259</v>
      </c>
      <c r="D352" s="33" t="n">
        <f aca="false">C351-C352</f>
        <v>-2859</v>
      </c>
      <c r="E352" s="33" t="n">
        <v>321.1</v>
      </c>
      <c r="F352" s="33" t="n">
        <f aca="false">E351-E352</f>
        <v>-97.4</v>
      </c>
      <c r="G352" s="33" t="n">
        <v>5.23</v>
      </c>
      <c r="H352" s="33" t="n">
        <f aca="false">G352-G351</f>
        <v>2.06</v>
      </c>
      <c r="I352" s="33" t="n">
        <v>72</v>
      </c>
      <c r="J352" s="33" t="n">
        <f aca="false">I351-I352</f>
        <v>-13</v>
      </c>
    </row>
    <row r="353" customFormat="false" ht="13.8" hidden="false" customHeight="false" outlineLevel="0" collapsed="false">
      <c r="A353" s="1" t="n">
        <v>352</v>
      </c>
      <c r="B353" s="32" t="n">
        <v>44913</v>
      </c>
      <c r="C353" s="33" t="n">
        <v>12895</v>
      </c>
      <c r="D353" s="33" t="n">
        <f aca="false">C352-C353</f>
        <v>-5636</v>
      </c>
      <c r="E353" s="33" t="n">
        <v>560</v>
      </c>
      <c r="F353" s="33" t="n">
        <f aca="false">E352-E353</f>
        <v>-238.9</v>
      </c>
      <c r="G353" s="33" t="n">
        <v>9.28</v>
      </c>
      <c r="H353" s="33" t="n">
        <f aca="false">G353-G352</f>
        <v>4.05</v>
      </c>
      <c r="I353" s="33" t="n">
        <v>121</v>
      </c>
      <c r="J353" s="33" t="n">
        <f aca="false">I352-I353</f>
        <v>-49</v>
      </c>
    </row>
    <row r="354" customFormat="false" ht="13.8" hidden="false" customHeight="false" outlineLevel="0" collapsed="false">
      <c r="A354" s="33" t="n">
        <v>353</v>
      </c>
      <c r="B354" s="32" t="n">
        <v>44914</v>
      </c>
      <c r="C354" s="33" t="n">
        <v>13636</v>
      </c>
      <c r="D354" s="33" t="n">
        <f aca="false">C353-C354</f>
        <v>-741</v>
      </c>
      <c r="E354" s="33" t="n">
        <v>601.9</v>
      </c>
      <c r="F354" s="33" t="n">
        <f aca="false">E353-E354</f>
        <v>-41.9</v>
      </c>
      <c r="G354" s="33" t="n">
        <v>9.82</v>
      </c>
      <c r="H354" s="33" t="n">
        <f aca="false">G354-G353</f>
        <v>0.540000000000001</v>
      </c>
      <c r="I354" s="33" t="n">
        <v>132</v>
      </c>
      <c r="J354" s="33" t="n">
        <f aca="false">I353-I354</f>
        <v>-11</v>
      </c>
    </row>
    <row r="355" customFormat="false" ht="13.8" hidden="false" customHeight="false" outlineLevel="0" collapsed="false">
      <c r="A355" s="1" t="n">
        <v>354</v>
      </c>
      <c r="B355" s="32" t="n">
        <v>44915</v>
      </c>
      <c r="C355" s="33" t="n">
        <v>6443</v>
      </c>
      <c r="D355" s="33" t="n">
        <f aca="false">C354-C355</f>
        <v>7193</v>
      </c>
      <c r="E355" s="33" t="n">
        <v>295.4</v>
      </c>
      <c r="F355" s="33" t="n">
        <f aca="false">E354-E355</f>
        <v>306.5</v>
      </c>
      <c r="G355" s="33" t="n">
        <v>4.64</v>
      </c>
      <c r="H355" s="33" t="n">
        <f aca="false">G355-G354</f>
        <v>-5.18</v>
      </c>
      <c r="I355" s="33" t="n">
        <v>70</v>
      </c>
      <c r="J355" s="33" t="n">
        <f aca="false">I354-I355</f>
        <v>62</v>
      </c>
    </row>
    <row r="356" customFormat="false" ht="13.8" hidden="false" customHeight="false" outlineLevel="0" collapsed="false">
      <c r="A356" s="33" t="n">
        <v>355</v>
      </c>
      <c r="B356" s="32" t="n">
        <v>44916</v>
      </c>
      <c r="C356" s="33" t="n">
        <v>10119</v>
      </c>
      <c r="D356" s="33" t="n">
        <f aca="false">C355-C356</f>
        <v>-3676</v>
      </c>
      <c r="E356" s="33" t="n">
        <v>442.8</v>
      </c>
      <c r="F356" s="33" t="n">
        <f aca="false">E355-E356</f>
        <v>-147.4</v>
      </c>
      <c r="G356" s="33" t="n">
        <v>7.29</v>
      </c>
      <c r="H356" s="33" t="n">
        <f aca="false">G356-G355</f>
        <v>2.65</v>
      </c>
      <c r="I356" s="33" t="n">
        <v>96</v>
      </c>
      <c r="J356" s="33" t="n">
        <f aca="false">I355-I356</f>
        <v>-26</v>
      </c>
    </row>
    <row r="357" customFormat="false" ht="13.8" hidden="false" customHeight="false" outlineLevel="0" collapsed="false">
      <c r="A357" s="1" t="n">
        <v>356</v>
      </c>
      <c r="B357" s="32" t="n">
        <v>44917</v>
      </c>
      <c r="C357" s="33" t="n">
        <v>6771</v>
      </c>
      <c r="D357" s="33" t="n">
        <f aca="false">C356-C357</f>
        <v>3348</v>
      </c>
      <c r="E357" s="33" t="n">
        <v>297.2</v>
      </c>
      <c r="F357" s="33" t="n">
        <f aca="false">E356-E357</f>
        <v>145.6</v>
      </c>
      <c r="G357" s="33" t="n">
        <v>4.88</v>
      </c>
      <c r="H357" s="33" t="n">
        <f aca="false">G357-G356</f>
        <v>-2.41</v>
      </c>
      <c r="I357" s="33" t="n">
        <v>66</v>
      </c>
      <c r="J357" s="33" t="n">
        <f aca="false">I356-I357</f>
        <v>30</v>
      </c>
    </row>
    <row r="358" customFormat="false" ht="13.8" hidden="false" customHeight="false" outlineLevel="0" collapsed="false">
      <c r="A358" s="33" t="n">
        <v>357</v>
      </c>
      <c r="B358" s="32" t="n">
        <v>44918</v>
      </c>
      <c r="C358" s="33" t="n">
        <v>3968</v>
      </c>
      <c r="D358" s="33" t="n">
        <f aca="false">C357-C358</f>
        <v>2803</v>
      </c>
      <c r="E358" s="33" t="n">
        <v>178.6</v>
      </c>
      <c r="F358" s="33" t="n">
        <f aca="false">E357-E358</f>
        <v>118.6</v>
      </c>
      <c r="G358" s="33" t="n">
        <v>2.86</v>
      </c>
      <c r="H358" s="33" t="n">
        <f aca="false">G358-G357</f>
        <v>-2.02</v>
      </c>
      <c r="I358" s="33" t="n">
        <v>41</v>
      </c>
      <c r="J358" s="33" t="n">
        <f aca="false">I357-I358</f>
        <v>25</v>
      </c>
    </row>
    <row r="359" customFormat="false" ht="13.8" hidden="false" customHeight="false" outlineLevel="0" collapsed="false">
      <c r="A359" s="1" t="n">
        <v>358</v>
      </c>
      <c r="B359" s="32" t="n">
        <v>44919</v>
      </c>
      <c r="C359" s="33" t="n">
        <v>2506</v>
      </c>
      <c r="D359" s="33" t="n">
        <f aca="false">C358-C359</f>
        <v>1462</v>
      </c>
      <c r="E359" s="33" t="n">
        <v>119.7</v>
      </c>
      <c r="F359" s="33" t="n">
        <f aca="false">E358-E359</f>
        <v>58.9</v>
      </c>
      <c r="G359" s="33" t="n">
        <v>1.8</v>
      </c>
      <c r="H359" s="33" t="n">
        <f aca="false">G359-G358</f>
        <v>-1.06</v>
      </c>
      <c r="I359" s="33" t="n">
        <v>30</v>
      </c>
      <c r="J359" s="33" t="n">
        <f aca="false">I358-I359</f>
        <v>11</v>
      </c>
    </row>
    <row r="360" customFormat="false" ht="13.8" hidden="false" customHeight="false" outlineLevel="0" collapsed="false">
      <c r="A360" s="33" t="n">
        <v>359</v>
      </c>
      <c r="B360" s="32" t="n">
        <v>44920</v>
      </c>
      <c r="C360" s="33" t="n">
        <v>8994</v>
      </c>
      <c r="D360" s="33" t="n">
        <f aca="false">C359-C360</f>
        <v>-6488</v>
      </c>
      <c r="E360" s="33" t="n">
        <v>386.6</v>
      </c>
      <c r="F360" s="33" t="n">
        <f aca="false">E359-E360</f>
        <v>-266.9</v>
      </c>
      <c r="G360" s="33" t="n">
        <v>6.48</v>
      </c>
      <c r="H360" s="33" t="n">
        <f aca="false">G360-G359</f>
        <v>4.68</v>
      </c>
      <c r="I360" s="33" t="n">
        <v>82</v>
      </c>
      <c r="J360" s="33" t="n">
        <f aca="false">I359-I360</f>
        <v>-52</v>
      </c>
    </row>
    <row r="361" customFormat="false" ht="13.8" hidden="false" customHeight="false" outlineLevel="0" collapsed="false">
      <c r="A361" s="1" t="n">
        <v>360</v>
      </c>
      <c r="B361" s="32" t="n">
        <v>44921</v>
      </c>
      <c r="C361" s="33" t="n">
        <v>13260</v>
      </c>
      <c r="D361" s="33" t="n">
        <f aca="false">C360-C361</f>
        <v>-4266</v>
      </c>
      <c r="E361" s="33" t="n">
        <v>591.5</v>
      </c>
      <c r="F361" s="33" t="n">
        <f aca="false">E360-E361</f>
        <v>-204.9</v>
      </c>
      <c r="G361" s="33" t="n">
        <v>9.55</v>
      </c>
      <c r="H361" s="33" t="n">
        <f aca="false">G361-G360</f>
        <v>3.07</v>
      </c>
      <c r="I361" s="33" t="n">
        <v>136</v>
      </c>
      <c r="J361" s="33" t="n">
        <f aca="false">I360-I361</f>
        <v>-54</v>
      </c>
    </row>
    <row r="362" customFormat="false" ht="13.8" hidden="false" customHeight="false" outlineLevel="0" collapsed="false">
      <c r="A362" s="33" t="n">
        <v>361</v>
      </c>
      <c r="B362" s="32" t="n">
        <v>44922</v>
      </c>
      <c r="C362" s="33" t="n">
        <v>6184</v>
      </c>
      <c r="D362" s="33" t="n">
        <f aca="false">C361-C362</f>
        <v>7076</v>
      </c>
      <c r="E362" s="33" t="n">
        <v>292.9</v>
      </c>
      <c r="F362" s="33" t="n">
        <f aca="false">E361-E362</f>
        <v>298.6</v>
      </c>
      <c r="G362" s="33" t="n">
        <v>4.45</v>
      </c>
      <c r="H362" s="33" t="n">
        <f aca="false">G362-G361</f>
        <v>-5.1</v>
      </c>
      <c r="I362" s="33" t="n">
        <v>73</v>
      </c>
      <c r="J362" s="33" t="n">
        <f aca="false">I361-I362</f>
        <v>63</v>
      </c>
    </row>
    <row r="363" customFormat="false" ht="13.8" hidden="false" customHeight="false" outlineLevel="0" collapsed="false">
      <c r="A363" s="1" t="n">
        <v>362</v>
      </c>
      <c r="B363" s="32" t="n">
        <v>44923</v>
      </c>
      <c r="C363" s="33" t="n">
        <v>8332</v>
      </c>
      <c r="D363" s="33" t="n">
        <f aca="false">C362-C363</f>
        <v>-2148</v>
      </c>
      <c r="E363" s="33" t="n">
        <v>387.5</v>
      </c>
      <c r="F363" s="33" t="n">
        <f aca="false">E362-E363</f>
        <v>-94.6</v>
      </c>
      <c r="G363" s="33" t="n">
        <v>6</v>
      </c>
      <c r="H363" s="33" t="n">
        <f aca="false">G363-G362</f>
        <v>1.55</v>
      </c>
      <c r="I363" s="33" t="n">
        <v>94</v>
      </c>
      <c r="J363" s="33" t="n">
        <f aca="false">I362-I363</f>
        <v>-21</v>
      </c>
    </row>
    <row r="364" customFormat="false" ht="13.8" hidden="false" customHeight="false" outlineLevel="0" collapsed="false">
      <c r="A364" s="33" t="n">
        <v>363</v>
      </c>
      <c r="B364" s="32" t="n">
        <v>44924</v>
      </c>
      <c r="C364" s="33" t="n">
        <v>7616</v>
      </c>
      <c r="D364" s="33" t="n">
        <f aca="false">C363-C364</f>
        <v>716</v>
      </c>
      <c r="E364" s="33" t="n">
        <v>330</v>
      </c>
      <c r="F364" s="33" t="n">
        <f aca="false">E363-E364</f>
        <v>57.5</v>
      </c>
      <c r="G364" s="33" t="n">
        <v>5.48</v>
      </c>
      <c r="H364" s="33" t="n">
        <f aca="false">G364-G363</f>
        <v>-0.52</v>
      </c>
      <c r="I364" s="33" t="n">
        <v>69</v>
      </c>
      <c r="J364" s="33" t="n">
        <f aca="false">I363-I364</f>
        <v>25</v>
      </c>
    </row>
    <row r="365" customFormat="false" ht="13.8" hidden="false" customHeight="false" outlineLevel="0" collapsed="false">
      <c r="A365" s="1" t="n">
        <v>364</v>
      </c>
      <c r="B365" s="32" t="n">
        <v>44925</v>
      </c>
      <c r="C365" s="33" t="n">
        <v>3913</v>
      </c>
      <c r="D365" s="33" t="n">
        <f aca="false">C364-C365</f>
        <v>3703</v>
      </c>
      <c r="E365" s="33" t="n">
        <v>173.5</v>
      </c>
      <c r="F365" s="33" t="n">
        <f aca="false">E364-E365</f>
        <v>156.5</v>
      </c>
      <c r="G365" s="33" t="n">
        <v>2.82</v>
      </c>
      <c r="H365" s="33" t="n">
        <f aca="false">G365-G364</f>
        <v>-2.66</v>
      </c>
      <c r="I365" s="33" t="n">
        <v>38</v>
      </c>
      <c r="J365" s="33" t="n">
        <f aca="false">I364-I365</f>
        <v>31</v>
      </c>
    </row>
    <row r="366" customFormat="false" ht="13.8" hidden="false" customHeight="false" outlineLevel="0" collapsed="false">
      <c r="A366" s="33" t="n">
        <v>365</v>
      </c>
      <c r="B366" s="32" t="n">
        <v>44926</v>
      </c>
      <c r="C366" s="33" t="n">
        <v>12663</v>
      </c>
      <c r="D366" s="33" t="n">
        <f aca="false">C365-C366</f>
        <v>-8750</v>
      </c>
      <c r="E366" s="33" t="n">
        <v>556.4</v>
      </c>
      <c r="F366" s="33" t="n">
        <f aca="false">E365-E366</f>
        <v>-382.9</v>
      </c>
      <c r="G366" s="33" t="n">
        <v>9.12</v>
      </c>
      <c r="H366" s="33" t="n">
        <f aca="false">G366-G365</f>
        <v>6.3</v>
      </c>
      <c r="I366" s="33" t="n">
        <v>124</v>
      </c>
      <c r="J366" s="33" t="n">
        <f aca="false">I365-I366</f>
        <v>-86</v>
      </c>
    </row>
    <row r="371" customFormat="false" ht="13.8" hidden="false" customHeight="false" outlineLevel="0" collapsed="false">
      <c r="C371" s="34" t="s">
        <v>2</v>
      </c>
      <c r="D371" s="34" t="s">
        <v>179</v>
      </c>
      <c r="E371" s="34" t="s">
        <v>175</v>
      </c>
      <c r="F371" s="34" t="s">
        <v>177</v>
      </c>
    </row>
    <row r="372" customFormat="false" ht="13.8" hidden="false" customHeight="false" outlineLevel="0" collapsed="false">
      <c r="B372" s="1" t="s">
        <v>8</v>
      </c>
      <c r="C372" s="1" t="n">
        <f aca="false">AVERAGE($C$1:$C$366)</f>
        <v>7169.97783933518</v>
      </c>
      <c r="D372" s="1" t="n">
        <f aca="false">AVERAGE($E$1:$E$366)</f>
        <v>326.173407202216</v>
      </c>
      <c r="E372" s="1" t="n">
        <f aca="false">AVERAGE($G$1:$G$366)</f>
        <v>5.16459833795014</v>
      </c>
      <c r="F372" s="1" t="n">
        <f aca="false">AVERAGE($I$1:$I$366)</f>
        <v>76.3545706371191</v>
      </c>
    </row>
    <row r="373" customFormat="false" ht="13.8" hidden="false" customHeight="false" outlineLevel="0" collapsed="false">
      <c r="B373" s="1" t="s">
        <v>10</v>
      </c>
      <c r="C373" s="1" t="n">
        <f aca="false">SQRT(VAR($C$1:$C$366)/COUNT($C$1:$C$366))</f>
        <v>200.257583392585</v>
      </c>
      <c r="D373" s="1" t="n">
        <f aca="false">SQRT(VAR($E$1:$E$366)/COUNT($E$1:$E$366))</f>
        <v>8.93699013883775</v>
      </c>
      <c r="E373" s="1" t="n">
        <f aca="false">SQRT(VAR($G$1:$G$366)/COUNT($G$1:$G$366))</f>
        <v>0.14421014659208</v>
      </c>
      <c r="F373" s="1" t="n">
        <f aca="false">SQRT(VAR($I$1:$I$366)/COUNT($I$1:$I$366))</f>
        <v>2.07797855684827</v>
      </c>
    </row>
    <row r="374" customFormat="false" ht="13.8" hidden="false" customHeight="false" outlineLevel="0" collapsed="false">
      <c r="B374" s="1" t="s">
        <v>14</v>
      </c>
      <c r="C374" s="1" t="n">
        <f aca="false">MODE($C$1:$C$366)</f>
        <v>6199</v>
      </c>
      <c r="D374" s="1" t="n">
        <f aca="false">MODE($E$1:$E$366)</f>
        <v>334.1</v>
      </c>
      <c r="E374" s="1" t="n">
        <f aca="false">MODE($G$1:$G$366)</f>
        <v>4.45</v>
      </c>
      <c r="F374" s="1" t="n">
        <f aca="false">MODE($I$1:$I$366)</f>
        <v>77</v>
      </c>
    </row>
    <row r="375" customFormat="false" ht="13.8" hidden="false" customHeight="false" outlineLevel="0" collapsed="false">
      <c r="B375" s="1" t="s">
        <v>12</v>
      </c>
      <c r="C375" s="1" t="n">
        <f aca="false">MEDIAN($C$1:$C$366)</f>
        <v>6900</v>
      </c>
      <c r="D375" s="1" t="n">
        <f aca="false">MEDIAN($E$1:$E$366)</f>
        <v>312.3</v>
      </c>
      <c r="E375" s="1" t="n">
        <f aca="false">MEDIAN($G$1:$G$366)</f>
        <v>4.97</v>
      </c>
      <c r="F375" s="1" t="n">
        <f aca="false">MEDIAN($I$1:$I$366)</f>
        <v>73</v>
      </c>
    </row>
    <row r="376" customFormat="false" ht="13.8" hidden="false" customHeight="false" outlineLevel="0" collapsed="false">
      <c r="B376" s="1" t="s">
        <v>195</v>
      </c>
      <c r="C376" s="1" t="n">
        <f aca="false">QUARTILE($C$1:$C$366, 1)</f>
        <v>5028</v>
      </c>
      <c r="D376" s="1" t="n">
        <f aca="false">QUARTILE($E$1:$E$366, 1)</f>
        <v>231.1</v>
      </c>
      <c r="E376" s="1" t="n">
        <f aca="false">QUARTILE($G$1:$G$366, 1)</f>
        <v>3.62</v>
      </c>
      <c r="F376" s="1" t="n">
        <f aca="false">QUARTILE($I$1:$I$366, 1)</f>
        <v>54</v>
      </c>
    </row>
    <row r="377" customFormat="false" ht="13.8" hidden="false" customHeight="false" outlineLevel="0" collapsed="false">
      <c r="B377" s="1" t="s">
        <v>181</v>
      </c>
      <c r="C377" s="1" t="n">
        <f aca="false">QUARTILE($C$1:$C$366, 3)</f>
        <v>8515</v>
      </c>
      <c r="D377" s="1" t="n">
        <f aca="false">QUARTILE($E$1:$E$366, 3)</f>
        <v>383</v>
      </c>
      <c r="E377" s="1" t="n">
        <f aca="false">QUARTILE($G$1:$G$366, 3)</f>
        <v>6.13</v>
      </c>
      <c r="F377" s="1" t="n">
        <f aca="false">QUARTILE($I$1:$I$366, 3)</f>
        <v>88</v>
      </c>
    </row>
    <row r="378" customFormat="false" ht="13.8" hidden="false" customHeight="false" outlineLevel="0" collapsed="false">
      <c r="B378" s="1" t="s">
        <v>182</v>
      </c>
      <c r="C378" s="1" t="n">
        <f aca="false">VAR($C$1:$C$366)</f>
        <v>14477218.993952</v>
      </c>
      <c r="D378" s="1" t="n">
        <f aca="false">VAR($E$1:$E$366)</f>
        <v>28832.9951797476</v>
      </c>
      <c r="E378" s="1" t="n">
        <f aca="false">VAR($G$1:$G$366)</f>
        <v>7.50756046321945</v>
      </c>
      <c r="F378" s="1" t="n">
        <f aca="false">VAR($I$1:$I$366)</f>
        <v>1558.79615266236</v>
      </c>
    </row>
    <row r="379" customFormat="false" ht="13.8" hidden="false" customHeight="false" outlineLevel="0" collapsed="false">
      <c r="B379" s="1" t="s">
        <v>16</v>
      </c>
      <c r="C379" s="1" t="n">
        <f aca="false">STDEV($C$1:$C$366)</f>
        <v>3804.89408445912</v>
      </c>
      <c r="D379" s="1" t="n">
        <f aca="false">STDEV($E$1:$E$366)</f>
        <v>169.802812637917</v>
      </c>
      <c r="E379" s="1" t="n">
        <f aca="false">STDEV($G$1:$G$366)</f>
        <v>2.73999278524953</v>
      </c>
      <c r="F379" s="1" t="n">
        <f aca="false">STDEV($I$1:$I$366)</f>
        <v>39.4815925801171</v>
      </c>
    </row>
    <row r="380" customFormat="false" ht="13.8" hidden="false" customHeight="false" outlineLevel="0" collapsed="false">
      <c r="B380" s="1" t="s">
        <v>20</v>
      </c>
      <c r="C380" s="1" t="n">
        <f aca="false">KURT($C$1:$C$366)</f>
        <v>4.24411840789438</v>
      </c>
      <c r="D380" s="1" t="n">
        <f aca="false">KURT($E$1:$E$366)</f>
        <v>4.33194889539772</v>
      </c>
      <c r="E380" s="1" t="n">
        <f aca="false">KURT($G$1:$G$366)</f>
        <v>4.23374360703946</v>
      </c>
      <c r="F380" s="1" t="n">
        <f aca="false">KURT($I$1:$I$366)</f>
        <v>4.6848721526308</v>
      </c>
    </row>
    <row r="381" customFormat="false" ht="13.8" hidden="false" customHeight="false" outlineLevel="0" collapsed="false">
      <c r="B381" s="1" t="s">
        <v>22</v>
      </c>
      <c r="C381" s="1" t="n">
        <f aca="false">SKEW($C$1:$C$366)</f>
        <v>1.3596117604023</v>
      </c>
      <c r="D381" s="1" t="n">
        <f aca="false">SKEW($E$1:$E$366)</f>
        <v>1.40437084454755</v>
      </c>
      <c r="E381" s="1" t="n">
        <f aca="false">SKEW($G$1:$G$366)</f>
        <v>1.3567121985247</v>
      </c>
      <c r="F381" s="1" t="n">
        <f aca="false">SKEW($I$1:$I$366)</f>
        <v>1.51182565073278</v>
      </c>
    </row>
    <row r="382" customFormat="false" ht="13.8" hidden="false" customHeight="false" outlineLevel="0" collapsed="false">
      <c r="B382" s="1" t="s">
        <v>24</v>
      </c>
      <c r="C382" s="1" t="n">
        <f aca="false">MAX($C$1:$C$366)-MIN($C$1:$C$366)</f>
        <v>28588</v>
      </c>
      <c r="D382" s="1" t="n">
        <f aca="false">MAX($E$1:$E$366)-MIN($E$1:$E$366)</f>
        <v>1248.9</v>
      </c>
      <c r="E382" s="1" t="n">
        <f aca="false">MAX($G$1:$G$366)-MIN($G$1:$G$366)</f>
        <v>20.58</v>
      </c>
      <c r="F382" s="1" t="n">
        <f aca="false">MAX($I$1:$I$366)-MIN($I$1:$I$366)</f>
        <v>280</v>
      </c>
    </row>
    <row r="383" customFormat="false" ht="13.8" hidden="false" customHeight="false" outlineLevel="0" collapsed="false">
      <c r="B383" s="1" t="s">
        <v>26</v>
      </c>
      <c r="C383" s="1" t="n">
        <f aca="false">MIN($C$1:$C$366)</f>
        <v>151</v>
      </c>
      <c r="D383" s="1" t="n">
        <f aca="false">MIN($E$1:$E$366)</f>
        <v>7.5</v>
      </c>
      <c r="E383" s="1" t="n">
        <f aca="false">MIN($G$1:$G$366)</f>
        <v>0.11</v>
      </c>
      <c r="F383" s="1" t="n">
        <f aca="false">MIN($I$1:$I$366)</f>
        <v>1</v>
      </c>
    </row>
    <row r="384" customFormat="false" ht="13.8" hidden="false" customHeight="false" outlineLevel="0" collapsed="false">
      <c r="B384" s="1" t="s">
        <v>28</v>
      </c>
      <c r="C384" s="1" t="n">
        <f aca="false">MAX($C$1:$C$366)</f>
        <v>28739</v>
      </c>
      <c r="D384" s="1" t="n">
        <f aca="false">MAX($E$1:$E$366)</f>
        <v>1256.4</v>
      </c>
      <c r="E384" s="1" t="n">
        <f aca="false">MAX($G$1:$G$366)</f>
        <v>20.69</v>
      </c>
      <c r="F384" s="1" t="n">
        <f aca="false">MAX($I$1:$I$366)</f>
        <v>281</v>
      </c>
    </row>
    <row r="385" customFormat="false" ht="13.8" hidden="false" customHeight="false" outlineLevel="0" collapsed="false">
      <c r="B385" s="1" t="s">
        <v>30</v>
      </c>
      <c r="C385" s="1" t="n">
        <f aca="false">SUM($C$1:$C$366)</f>
        <v>2588362</v>
      </c>
      <c r="D385" s="1" t="n">
        <f aca="false">SUM($E$1:$E$366)</f>
        <v>117748.6</v>
      </c>
      <c r="E385" s="1" t="n">
        <f aca="false">SUM($G$1:$G$366)</f>
        <v>1864.42</v>
      </c>
      <c r="F385" s="1" t="n">
        <f aca="false">SUM($I$1:$I$366)</f>
        <v>27564</v>
      </c>
    </row>
    <row r="386" customFormat="false" ht="13.8" hidden="false" customHeight="false" outlineLevel="0" collapsed="false">
      <c r="B386" s="1" t="s">
        <v>32</v>
      </c>
      <c r="C386" s="1" t="n">
        <f aca="false">COUNT($C$1:$C$366)</f>
        <v>361</v>
      </c>
      <c r="D386" s="1" t="n">
        <f aca="false">COUNT($E$1:$E$366)</f>
        <v>361</v>
      </c>
      <c r="E386" s="1" t="n">
        <f aca="false">COUNT($G$1:$G$366)</f>
        <v>361</v>
      </c>
      <c r="F386" s="1" t="n">
        <f aca="false">COUNT($I$1:$I$366)</f>
        <v>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66"/>
  <sheetViews>
    <sheetView showFormulas="false" showGridLines="true" showRowColHeaders="true" showZeros="true" rightToLeft="false" tabSelected="false" showOutlineSymbols="true" defaultGridColor="true" view="normal" topLeftCell="A331" colorId="64" zoomScale="100" zoomScaleNormal="100" zoomScalePageLayoutView="100" workbookViewId="0">
      <selection pane="topLeft" activeCell="N331" activeCellId="0" sqref="N331"/>
    </sheetView>
  </sheetViews>
  <sheetFormatPr defaultColWidth="9.18359375" defaultRowHeight="13.8" customHeight="true" zeroHeight="false" outlineLevelRow="0" outlineLevelCol="0"/>
  <sheetData>
    <row r="1" customFormat="false" ht="13.8" hidden="false" customHeight="false" outlineLevel="0" collapsed="false">
      <c r="A1" s="31" t="s">
        <v>0</v>
      </c>
      <c r="B1" s="32" t="s">
        <v>1</v>
      </c>
      <c r="C1" s="31" t="s">
        <v>2</v>
      </c>
      <c r="D1" s="31" t="s">
        <v>3</v>
      </c>
      <c r="E1" s="31" t="s">
        <v>179</v>
      </c>
      <c r="F1" s="31" t="s">
        <v>174</v>
      </c>
      <c r="G1" s="31" t="s">
        <v>175</v>
      </c>
      <c r="H1" s="31" t="s">
        <v>176</v>
      </c>
      <c r="I1" s="31" t="s">
        <v>177</v>
      </c>
      <c r="J1" s="31" t="s">
        <v>178</v>
      </c>
      <c r="L1" s="34" t="s">
        <v>2</v>
      </c>
      <c r="M1" s="34" t="s">
        <v>179</v>
      </c>
      <c r="N1" s="34" t="s">
        <v>175</v>
      </c>
      <c r="O1" s="34" t="s">
        <v>177</v>
      </c>
    </row>
    <row r="2" customFormat="false" ht="13.8" hidden="false" customHeight="false" outlineLevel="0" collapsed="false">
      <c r="A2" s="33" t="n">
        <v>1</v>
      </c>
      <c r="B2" s="32" t="n">
        <v>44927</v>
      </c>
      <c r="C2" s="33" t="n">
        <v>6267</v>
      </c>
      <c r="D2" s="33"/>
      <c r="E2" s="33" t="n">
        <v>291.4</v>
      </c>
      <c r="F2" s="33"/>
      <c r="G2" s="33" t="n">
        <v>4.51</v>
      </c>
      <c r="H2" s="33"/>
      <c r="I2" s="33" t="n">
        <v>71</v>
      </c>
      <c r="J2" s="33"/>
      <c r="K2" s="1" t="s">
        <v>8</v>
      </c>
      <c r="L2" s="1" t="n">
        <f aca="false">AVERAGE($C$1:$C$32)</f>
        <v>8696.64516129032</v>
      </c>
      <c r="M2" s="1" t="n">
        <f aca="false">AVERAGE($E$1:$E$32)</f>
        <v>394.91935483871</v>
      </c>
      <c r="N2" s="1" t="n">
        <f aca="false">AVERAGE($G$1:$G$32)</f>
        <v>6.26129032258065</v>
      </c>
      <c r="O2" s="1" t="n">
        <f aca="false">AVERAGE($I$1:$I$32)</f>
        <v>78.7741935483871</v>
      </c>
    </row>
    <row r="3" customFormat="false" ht="13.8" hidden="false" customHeight="false" outlineLevel="0" collapsed="false">
      <c r="A3" s="1" t="n">
        <v>2</v>
      </c>
      <c r="B3" s="32" t="n">
        <v>44928</v>
      </c>
      <c r="C3" s="33" t="n">
        <v>8077</v>
      </c>
      <c r="D3" s="33" t="n">
        <f aca="false">C3-C2</f>
        <v>1810</v>
      </c>
      <c r="E3" s="33" t="n">
        <v>352.4</v>
      </c>
      <c r="F3" s="33" t="n">
        <f aca="false">E3-E2</f>
        <v>61</v>
      </c>
      <c r="G3" s="33" t="n">
        <v>5.82</v>
      </c>
      <c r="H3" s="33" t="n">
        <f aca="false">G3-G2</f>
        <v>1.31</v>
      </c>
      <c r="I3" s="33" t="n">
        <v>71</v>
      </c>
      <c r="J3" s="33" t="n">
        <f aca="false">I3-I2</f>
        <v>0</v>
      </c>
      <c r="K3" s="1" t="s">
        <v>10</v>
      </c>
      <c r="L3" s="1" t="n">
        <f aca="false">SQRT(VAR($C$1:$C$32)/COUNT($C$1:$C$32))</f>
        <v>780.014531913689</v>
      </c>
      <c r="M3" s="1" t="n">
        <f aca="false">SQRT(VAR($E$1:$E$32)/COUNT($E$1:$E$32))</f>
        <v>34.3946586936517</v>
      </c>
      <c r="N3" s="1" t="n">
        <f aca="false">SQRT(VAR($G$1:$G$32)/COUNT($G$1:$G$32))</f>
        <v>0.561605368264536</v>
      </c>
      <c r="O3" s="1" t="n">
        <f aca="false">SQRT(VAR($I$1:$I$32)/COUNT($I$1:$I$32))</f>
        <v>6.74045875682915</v>
      </c>
    </row>
    <row r="4" customFormat="false" ht="13.8" hidden="false" customHeight="false" outlineLevel="0" collapsed="false">
      <c r="A4" s="33" t="n">
        <v>3</v>
      </c>
      <c r="B4" s="32" t="n">
        <v>44929</v>
      </c>
      <c r="C4" s="33" t="n">
        <v>2155</v>
      </c>
      <c r="D4" s="33" t="n">
        <f aca="false">C4-C3</f>
        <v>-5922</v>
      </c>
      <c r="E4" s="33" t="n">
        <v>99.4</v>
      </c>
      <c r="F4" s="33" t="n">
        <f aca="false">E4-E3</f>
        <v>-253</v>
      </c>
      <c r="G4" s="33" t="n">
        <v>1.55</v>
      </c>
      <c r="H4" s="33" t="n">
        <f aca="false">G4-G3</f>
        <v>-4.27</v>
      </c>
      <c r="I4" s="33" t="n">
        <v>24</v>
      </c>
      <c r="J4" s="33" t="n">
        <f aca="false">I4-I3</f>
        <v>-47</v>
      </c>
      <c r="K4" s="1" t="s">
        <v>14</v>
      </c>
      <c r="L4" s="1" t="e">
        <f aca="false">MODE($C$1:$C$32)</f>
        <v>#VALUE!</v>
      </c>
      <c r="M4" s="1" t="e">
        <f aca="false">MODE($E$1:$E$32)</f>
        <v>#VALUE!</v>
      </c>
      <c r="N4" s="1" t="e">
        <f aca="false">MODE($G$1:$G$32)</f>
        <v>#VALUE!</v>
      </c>
      <c r="O4" s="1" t="n">
        <f aca="false">MODE($I$1:$I$32)</f>
        <v>71</v>
      </c>
    </row>
    <row r="5" customFormat="false" ht="13.8" hidden="false" customHeight="false" outlineLevel="0" collapsed="false">
      <c r="A5" s="1" t="n">
        <v>4</v>
      </c>
      <c r="B5" s="32" t="n">
        <v>44930</v>
      </c>
      <c r="C5" s="33" t="n">
        <v>9107</v>
      </c>
      <c r="D5" s="33" t="n">
        <f aca="false">C5-C4</f>
        <v>6952</v>
      </c>
      <c r="E5" s="33" t="n">
        <v>396.1</v>
      </c>
      <c r="F5" s="33" t="n">
        <f aca="false">E5-E4</f>
        <v>296.7</v>
      </c>
      <c r="G5" s="33" t="n">
        <v>6.56</v>
      </c>
      <c r="H5" s="33" t="n">
        <f aca="false">G5-G4</f>
        <v>5.01</v>
      </c>
      <c r="I5" s="33" t="n">
        <v>69</v>
      </c>
      <c r="J5" s="33" t="n">
        <f aca="false">I5-I4</f>
        <v>45</v>
      </c>
      <c r="K5" s="1" t="s">
        <v>12</v>
      </c>
      <c r="L5" s="1" t="n">
        <f aca="false">MEDIAN($C$1:$C$32)</f>
        <v>8931</v>
      </c>
      <c r="M5" s="1" t="n">
        <f aca="false">MEDIAN($E$1:$E$32)</f>
        <v>397.2</v>
      </c>
      <c r="N5" s="1" t="n">
        <f aca="false">MEDIAN($G$1:$G$32)</f>
        <v>6.43</v>
      </c>
      <c r="O5" s="1" t="n">
        <f aca="false">MEDIAN($I$1:$I$32)</f>
        <v>71</v>
      </c>
    </row>
    <row r="6" customFormat="false" ht="13.8" hidden="false" customHeight="false" outlineLevel="0" collapsed="false">
      <c r="A6" s="33" t="n">
        <v>5</v>
      </c>
      <c r="B6" s="32" t="n">
        <v>44931</v>
      </c>
      <c r="C6" s="33" t="n">
        <v>1808</v>
      </c>
      <c r="D6" s="33" t="n">
        <f aca="false">C6-C5</f>
        <v>-7299</v>
      </c>
      <c r="E6" s="33" t="n">
        <v>83.9</v>
      </c>
      <c r="F6" s="33" t="n">
        <f aca="false">E6-E5</f>
        <v>-312.2</v>
      </c>
      <c r="G6" s="33" t="n">
        <v>1.3</v>
      </c>
      <c r="H6" s="33" t="n">
        <f aca="false">G6-G5</f>
        <v>-5.26</v>
      </c>
      <c r="I6" s="33" t="n">
        <v>20</v>
      </c>
      <c r="J6" s="33" t="n">
        <f aca="false">I6-I5</f>
        <v>-49</v>
      </c>
      <c r="K6" s="1" t="s">
        <v>195</v>
      </c>
      <c r="L6" s="1" t="n">
        <f aca="false">QUARTILE($C$1:$C$32, 1)</f>
        <v>6141.5</v>
      </c>
      <c r="M6" s="1" t="n">
        <f aca="false">QUARTILE($E$1:$E$32, 1)</f>
        <v>286.5</v>
      </c>
      <c r="N6" s="1" t="n">
        <f aca="false">QUARTILE($G$1:$G$32, 1)</f>
        <v>4.42</v>
      </c>
      <c r="O6" s="1" t="n">
        <f aca="false">QUARTILE($I$1:$I$32, 1)</f>
        <v>57</v>
      </c>
    </row>
    <row r="7" customFormat="false" ht="13.8" hidden="false" customHeight="false" outlineLevel="0" collapsed="false">
      <c r="A7" s="1" t="n">
        <v>6</v>
      </c>
      <c r="B7" s="32" t="n">
        <v>44932</v>
      </c>
      <c r="C7" s="33" t="n">
        <v>6640</v>
      </c>
      <c r="D7" s="33" t="n">
        <f aca="false">C7-C6</f>
        <v>4832</v>
      </c>
      <c r="E7" s="33" t="n">
        <v>287.3</v>
      </c>
      <c r="F7" s="33" t="n">
        <f aca="false">E7-E6</f>
        <v>203.4</v>
      </c>
      <c r="G7" s="33" t="n">
        <v>4.78</v>
      </c>
      <c r="H7" s="33" t="n">
        <f aca="false">G7-G6</f>
        <v>3.48</v>
      </c>
      <c r="I7" s="33" t="n">
        <v>54</v>
      </c>
      <c r="J7" s="33" t="n">
        <f aca="false">I7-I6</f>
        <v>34</v>
      </c>
      <c r="K7" s="1" t="s">
        <v>181</v>
      </c>
      <c r="L7" s="1" t="n">
        <f aca="false">QUARTILE($C$1:$C$32, 3)</f>
        <v>10321.5</v>
      </c>
      <c r="M7" s="1" t="n">
        <f aca="false">QUARTILE($E$1:$E$32, 3)</f>
        <v>474.8</v>
      </c>
      <c r="N7" s="1" t="n">
        <f aca="false">QUARTILE($G$1:$G$32, 3)</f>
        <v>7.435</v>
      </c>
      <c r="O7" s="1" t="n">
        <f aca="false">QUARTILE($I$1:$I$32, 3)</f>
        <v>89</v>
      </c>
    </row>
    <row r="8" customFormat="false" ht="13.8" hidden="false" customHeight="false" outlineLevel="0" collapsed="false">
      <c r="A8" s="33" t="n">
        <v>7</v>
      </c>
      <c r="B8" s="32" t="n">
        <v>44933</v>
      </c>
      <c r="C8" s="33" t="n">
        <v>18026</v>
      </c>
      <c r="D8" s="33" t="n">
        <f aca="false">C8-C7</f>
        <v>11386</v>
      </c>
      <c r="E8" s="33" t="n">
        <v>791.3</v>
      </c>
      <c r="F8" s="33" t="n">
        <f aca="false">E8-E7</f>
        <v>504</v>
      </c>
      <c r="G8" s="33" t="n">
        <v>12.98</v>
      </c>
      <c r="H8" s="33" t="n">
        <f aca="false">G8-G7</f>
        <v>8.2</v>
      </c>
      <c r="I8" s="33" t="n">
        <v>171</v>
      </c>
      <c r="J8" s="33" t="n">
        <f aca="false">I8-I7</f>
        <v>117</v>
      </c>
      <c r="K8" s="1" t="s">
        <v>182</v>
      </c>
      <c r="L8" s="1" t="n">
        <f aca="false">VAR($C$1:$C$32)</f>
        <v>18861102.7698925</v>
      </c>
      <c r="M8" s="1" t="n">
        <f aca="false">VAR($E$1:$E$32)</f>
        <v>36672.7689462366</v>
      </c>
      <c r="N8" s="1" t="n">
        <f aca="false">VAR($G$1:$G$32)</f>
        <v>9.77741827956989</v>
      </c>
      <c r="O8" s="1" t="n">
        <f aca="false">VAR($I$1:$I$32)</f>
        <v>1408.44731182796</v>
      </c>
    </row>
    <row r="9" customFormat="false" ht="13.8" hidden="false" customHeight="false" outlineLevel="0" collapsed="false">
      <c r="A9" s="1" t="n">
        <v>8</v>
      </c>
      <c r="B9" s="32" t="n">
        <v>44934</v>
      </c>
      <c r="C9" s="33" t="n">
        <v>8405</v>
      </c>
      <c r="D9" s="33" t="n">
        <f aca="false">C9-C8</f>
        <v>-9621</v>
      </c>
      <c r="E9" s="33" t="n">
        <v>375</v>
      </c>
      <c r="F9" s="33" t="n">
        <f aca="false">E9-E8</f>
        <v>-416.3</v>
      </c>
      <c r="G9" s="33" t="n">
        <v>6.05</v>
      </c>
      <c r="H9" s="33" t="n">
        <f aca="false">G9-G8</f>
        <v>-6.93</v>
      </c>
      <c r="I9" s="33" t="n">
        <v>64</v>
      </c>
      <c r="J9" s="33" t="n">
        <f aca="false">I9-I8</f>
        <v>-107</v>
      </c>
      <c r="K9" s="1" t="s">
        <v>16</v>
      </c>
      <c r="L9" s="1" t="n">
        <f aca="false">STDEV($C$1:$C$32)</f>
        <v>4342.93711327858</v>
      </c>
      <c r="M9" s="1" t="n">
        <f aca="false">STDEV($E$1:$E$32)</f>
        <v>191.501354946216</v>
      </c>
      <c r="N9" s="1" t="n">
        <f aca="false">STDEV($G$1:$G$32)</f>
        <v>3.12688635539731</v>
      </c>
      <c r="O9" s="1" t="n">
        <f aca="false">STDEV($I$1:$I$32)</f>
        <v>37.5292860553989</v>
      </c>
    </row>
    <row r="10" customFormat="false" ht="13.8" hidden="false" customHeight="false" outlineLevel="0" collapsed="false">
      <c r="A10" s="33" t="n">
        <v>9</v>
      </c>
      <c r="B10" s="32" t="n">
        <v>44935</v>
      </c>
      <c r="C10" s="33" t="n">
        <v>4765</v>
      </c>
      <c r="D10" s="33" t="n">
        <f aca="false">C10-C9</f>
        <v>-3640</v>
      </c>
      <c r="E10" s="33" t="n">
        <v>215.6</v>
      </c>
      <c r="F10" s="33" t="n">
        <f aca="false">E10-E9</f>
        <v>-159.4</v>
      </c>
      <c r="G10" s="33" t="n">
        <v>3.43</v>
      </c>
      <c r="H10" s="33" t="n">
        <f aca="false">G10-G9</f>
        <v>-2.62</v>
      </c>
      <c r="I10" s="33" t="n">
        <v>49</v>
      </c>
      <c r="J10" s="33" t="n">
        <f aca="false">I10-I9</f>
        <v>-15</v>
      </c>
      <c r="K10" s="1" t="s">
        <v>20</v>
      </c>
      <c r="L10" s="1" t="n">
        <f aca="false">KURT($C$1:$C$32)</f>
        <v>0.590767023293163</v>
      </c>
      <c r="M10" s="1" t="n">
        <f aca="false">KURT($E$1:$E$32)</f>
        <v>0.586827301143599</v>
      </c>
      <c r="N10" s="1" t="n">
        <f aca="false">KURT($G$1:$G$32)</f>
        <v>0.587664173474459</v>
      </c>
      <c r="O10" s="1" t="n">
        <f aca="false">KURT($I$1:$I$32)</f>
        <v>2.41265170781411</v>
      </c>
    </row>
    <row r="11" customFormat="false" ht="13.8" hidden="false" customHeight="false" outlineLevel="0" collapsed="false">
      <c r="A11" s="1" t="n">
        <v>10</v>
      </c>
      <c r="B11" s="32" t="n">
        <v>44936</v>
      </c>
      <c r="C11" s="33" t="n">
        <v>3768</v>
      </c>
      <c r="D11" s="33" t="n">
        <f aca="false">C11-C10</f>
        <v>-997</v>
      </c>
      <c r="E11" s="33" t="n">
        <v>181</v>
      </c>
      <c r="F11" s="33" t="n">
        <f aca="false">E11-E10</f>
        <v>-34.6</v>
      </c>
      <c r="G11" s="33" t="n">
        <v>2.71</v>
      </c>
      <c r="H11" s="33" t="n">
        <f aca="false">G11-G10</f>
        <v>-0.72</v>
      </c>
      <c r="I11" s="33" t="n">
        <v>45</v>
      </c>
      <c r="J11" s="33" t="n">
        <f aca="false">I11-I10</f>
        <v>-4</v>
      </c>
      <c r="K11" s="1" t="s">
        <v>22</v>
      </c>
      <c r="L11" s="1" t="n">
        <f aca="false">SKEW($C$1:$C$32)</f>
        <v>0.775446794891555</v>
      </c>
      <c r="M11" s="1" t="n">
        <f aca="false">SKEW($E$1:$E$32)</f>
        <v>0.730093775288921</v>
      </c>
      <c r="N11" s="1" t="n">
        <f aca="false">SKEW($G$1:$G$32)</f>
        <v>0.774334279240197</v>
      </c>
      <c r="O11" s="1" t="n">
        <f aca="false">SKEW($I$1:$I$32)</f>
        <v>1.27386564269534</v>
      </c>
    </row>
    <row r="12" customFormat="false" ht="13.8" hidden="false" customHeight="false" outlineLevel="0" collapsed="false">
      <c r="A12" s="33" t="n">
        <v>11</v>
      </c>
      <c r="B12" s="32" t="n">
        <v>44937</v>
      </c>
      <c r="C12" s="33" t="n">
        <v>6016</v>
      </c>
      <c r="D12" s="33" t="n">
        <f aca="false">C12-C11</f>
        <v>2248</v>
      </c>
      <c r="E12" s="33" t="n">
        <v>562.7</v>
      </c>
      <c r="F12" s="33" t="n">
        <f aca="false">E12-E11</f>
        <v>381.7</v>
      </c>
      <c r="G12" s="33" t="n">
        <v>4.33</v>
      </c>
      <c r="H12" s="33" t="n">
        <f aca="false">G12-G11</f>
        <v>1.62</v>
      </c>
      <c r="I12" s="33" t="n">
        <v>56</v>
      </c>
      <c r="J12" s="33" t="n">
        <f aca="false">I12-I11</f>
        <v>11</v>
      </c>
      <c r="K12" s="1" t="s">
        <v>24</v>
      </c>
      <c r="L12" s="1" t="n">
        <f aca="false">MAX($C$1:$C$32)-MIN($C$1:$C$32)</f>
        <v>16739</v>
      </c>
      <c r="M12" s="1" t="n">
        <f aca="false">MAX($E$1:$E$32)-MIN($E$1:$E$32)</f>
        <v>749.9</v>
      </c>
      <c r="N12" s="1" t="n">
        <f aca="false">MAX($G$1:$G$32)-MIN($G$1:$G$32)</f>
        <v>12.05</v>
      </c>
      <c r="O12" s="1" t="n">
        <f aca="false">MAX($I$1:$I$32)-MIN($I$1:$I$32)</f>
        <v>172</v>
      </c>
    </row>
    <row r="13" customFormat="false" ht="13.8" hidden="false" customHeight="false" outlineLevel="0" collapsed="false">
      <c r="A13" s="1" t="n">
        <v>12</v>
      </c>
      <c r="B13" s="32" t="n">
        <v>44938</v>
      </c>
      <c r="C13" s="33" t="n">
        <v>6515</v>
      </c>
      <c r="D13" s="33" t="n">
        <f aca="false">C13-C12</f>
        <v>499</v>
      </c>
      <c r="E13" s="33" t="n">
        <v>291.8</v>
      </c>
      <c r="F13" s="33" t="n">
        <f aca="false">E13-E12</f>
        <v>-270.9</v>
      </c>
      <c r="G13" s="33" t="n">
        <v>4.69</v>
      </c>
      <c r="H13" s="33" t="n">
        <f aca="false">G13-G12</f>
        <v>0.36</v>
      </c>
      <c r="I13" s="33" t="n">
        <v>67</v>
      </c>
      <c r="J13" s="33" t="n">
        <f aca="false">I13-I12</f>
        <v>11</v>
      </c>
      <c r="K13" s="1" t="s">
        <v>26</v>
      </c>
      <c r="L13" s="1" t="n">
        <f aca="false">MIN($C$1:$C$32)</f>
        <v>1808</v>
      </c>
      <c r="M13" s="1" t="n">
        <f aca="false">MIN($E$1:$E$32)</f>
        <v>83.9</v>
      </c>
      <c r="N13" s="1" t="n">
        <f aca="false">MIN($G$1:$G$32)</f>
        <v>1.3</v>
      </c>
      <c r="O13" s="1" t="n">
        <f aca="false">MIN($I$1:$I$32)</f>
        <v>20</v>
      </c>
    </row>
    <row r="14" customFormat="false" ht="13.8" hidden="false" customHeight="false" outlineLevel="0" collapsed="false">
      <c r="A14" s="33" t="n">
        <v>13</v>
      </c>
      <c r="B14" s="32" t="n">
        <v>44939</v>
      </c>
      <c r="C14" s="33" t="n">
        <v>4989</v>
      </c>
      <c r="D14" s="33" t="n">
        <f aca="false">C14-C13</f>
        <v>-1526</v>
      </c>
      <c r="E14" s="33" t="n">
        <v>235.7</v>
      </c>
      <c r="F14" s="33" t="n">
        <f aca="false">E14-E13</f>
        <v>-56.1</v>
      </c>
      <c r="G14" s="33" t="n">
        <v>3.59</v>
      </c>
      <c r="H14" s="33" t="n">
        <f aca="false">G14-G13</f>
        <v>-1.1</v>
      </c>
      <c r="I14" s="33" t="n">
        <v>58</v>
      </c>
      <c r="J14" s="33" t="n">
        <f aca="false">I14-I13</f>
        <v>-9</v>
      </c>
      <c r="K14" s="1" t="s">
        <v>28</v>
      </c>
      <c r="L14" s="1" t="n">
        <f aca="false">MAX($C$1:$C$32)</f>
        <v>18547</v>
      </c>
      <c r="M14" s="1" t="n">
        <f aca="false">MAX($E$1:$E$32)</f>
        <v>833.8</v>
      </c>
      <c r="N14" s="1" t="n">
        <f aca="false">MAX($G$1:$G$32)</f>
        <v>13.35</v>
      </c>
      <c r="O14" s="1" t="n">
        <f aca="false">MAX($I$1:$I$32)</f>
        <v>192</v>
      </c>
    </row>
    <row r="15" customFormat="false" ht="13.8" hidden="false" customHeight="false" outlineLevel="0" collapsed="false">
      <c r="A15" s="1" t="n">
        <v>14</v>
      </c>
      <c r="B15" s="32" t="n">
        <v>44940</v>
      </c>
      <c r="C15" s="33" t="n">
        <v>9852</v>
      </c>
      <c r="D15" s="33" t="n">
        <f aca="false">C15-C14</f>
        <v>4863</v>
      </c>
      <c r="E15" s="33" t="n">
        <v>427.8</v>
      </c>
      <c r="F15" s="33" t="n">
        <f aca="false">E15-E14</f>
        <v>192.1</v>
      </c>
      <c r="G15" s="33" t="n">
        <v>7.09</v>
      </c>
      <c r="H15" s="33" t="n">
        <f aca="false">G15-G14</f>
        <v>3.5</v>
      </c>
      <c r="I15" s="33" t="n">
        <v>89</v>
      </c>
      <c r="J15" s="33" t="n">
        <f aca="false">I15-I14</f>
        <v>31</v>
      </c>
      <c r="K15" s="1" t="s">
        <v>30</v>
      </c>
      <c r="L15" s="1" t="n">
        <f aca="false">SUM($C$1:$C$32)</f>
        <v>269596</v>
      </c>
      <c r="M15" s="1" t="n">
        <f aca="false">SUM($E$1:$E$32)</f>
        <v>12242.5</v>
      </c>
      <c r="N15" s="1" t="n">
        <f aca="false">SUM($G$1:$G$32)</f>
        <v>194.1</v>
      </c>
      <c r="O15" s="1" t="n">
        <f aca="false">SUM($I$1:$I$32)</f>
        <v>2442</v>
      </c>
    </row>
    <row r="16" customFormat="false" ht="13.8" hidden="false" customHeight="false" outlineLevel="0" collapsed="false">
      <c r="A16" s="33" t="n">
        <v>15</v>
      </c>
      <c r="B16" s="32" t="n">
        <v>44941</v>
      </c>
      <c r="C16" s="33" t="n">
        <v>10634</v>
      </c>
      <c r="D16" s="33" t="n">
        <f aca="false">C16-C15</f>
        <v>782</v>
      </c>
      <c r="E16" s="33" t="n">
        <v>472.2</v>
      </c>
      <c r="F16" s="33" t="n">
        <f aca="false">E16-E15</f>
        <v>44.4</v>
      </c>
      <c r="G16" s="33" t="n">
        <v>7.66</v>
      </c>
      <c r="H16" s="33" t="n">
        <f aca="false">G16-G15</f>
        <v>0.57</v>
      </c>
      <c r="I16" s="33" t="n">
        <v>85</v>
      </c>
      <c r="J16" s="33" t="n">
        <f aca="false">I16-I15</f>
        <v>-4</v>
      </c>
      <c r="K16" s="1" t="s">
        <v>32</v>
      </c>
      <c r="L16" s="1" t="n">
        <f aca="false">COUNT($C$1:$C$32)</f>
        <v>31</v>
      </c>
      <c r="M16" s="1" t="n">
        <f aca="false">COUNT($E$1:$E$32)</f>
        <v>31</v>
      </c>
      <c r="N16" s="1" t="n">
        <f aca="false">COUNT($G$1:$G$32)</f>
        <v>31</v>
      </c>
      <c r="O16" s="1" t="n">
        <f aca="false">COUNT($I$1:$I$32)</f>
        <v>31</v>
      </c>
    </row>
    <row r="17" customFormat="false" ht="13.8" hidden="false" customHeight="false" outlineLevel="0" collapsed="false">
      <c r="A17" s="1" t="n">
        <v>16</v>
      </c>
      <c r="B17" s="32" t="n">
        <v>44942</v>
      </c>
      <c r="C17" s="33" t="n">
        <v>11086</v>
      </c>
      <c r="D17" s="33" t="n">
        <f aca="false">C17-C16</f>
        <v>452</v>
      </c>
      <c r="E17" s="33" t="n">
        <v>477.4</v>
      </c>
      <c r="F17" s="33" t="n">
        <f aca="false">E17-E16</f>
        <v>5.19999999999999</v>
      </c>
      <c r="G17" s="33" t="n">
        <v>7.98</v>
      </c>
      <c r="H17" s="33" t="n">
        <f aca="false">G17-G16</f>
        <v>0.32</v>
      </c>
      <c r="I17" s="33" t="n">
        <v>88</v>
      </c>
      <c r="J17" s="33" t="n">
        <f aca="false">I17-I16</f>
        <v>3</v>
      </c>
    </row>
    <row r="18" customFormat="false" ht="13.8" hidden="false" customHeight="false" outlineLevel="0" collapsed="false">
      <c r="A18" s="33" t="n">
        <v>17</v>
      </c>
      <c r="B18" s="32" t="n">
        <v>44943</v>
      </c>
      <c r="C18" s="33" t="n">
        <v>14982</v>
      </c>
      <c r="D18" s="33" t="n">
        <f aca="false">C18-C17</f>
        <v>3896</v>
      </c>
      <c r="E18" s="33" t="n">
        <v>638.6</v>
      </c>
      <c r="F18" s="33" t="n">
        <f aca="false">E18-E17</f>
        <v>161.2</v>
      </c>
      <c r="G18" s="33" t="n">
        <v>10.79</v>
      </c>
      <c r="H18" s="33" t="n">
        <f aca="false">G18-G17</f>
        <v>2.81</v>
      </c>
      <c r="I18" s="33" t="n">
        <v>119</v>
      </c>
      <c r="J18" s="33" t="n">
        <f aca="false">I18-I17</f>
        <v>31</v>
      </c>
    </row>
    <row r="19" customFormat="false" ht="13.8" hidden="false" customHeight="false" outlineLevel="0" collapsed="false">
      <c r="A19" s="1" t="n">
        <v>18</v>
      </c>
      <c r="B19" s="32" t="n">
        <v>44944</v>
      </c>
      <c r="C19" s="33" t="n">
        <v>18547</v>
      </c>
      <c r="D19" s="33" t="n">
        <f aca="false">C19-C18</f>
        <v>3565</v>
      </c>
      <c r="E19" s="33" t="n">
        <v>833.8</v>
      </c>
      <c r="F19" s="33" t="n">
        <f aca="false">E19-E18</f>
        <v>195.2</v>
      </c>
      <c r="G19" s="33" t="n">
        <v>13.35</v>
      </c>
      <c r="H19" s="33" t="n">
        <f aca="false">G19-G18</f>
        <v>2.56</v>
      </c>
      <c r="I19" s="33" t="n">
        <v>132</v>
      </c>
      <c r="J19" s="33" t="n">
        <f aca="false">I19-I18</f>
        <v>13</v>
      </c>
    </row>
    <row r="20" customFormat="false" ht="13.8" hidden="false" customHeight="false" outlineLevel="0" collapsed="false">
      <c r="A20" s="33" t="n">
        <v>19</v>
      </c>
      <c r="B20" s="32" t="n">
        <v>44945</v>
      </c>
      <c r="C20" s="33" t="n">
        <v>9134</v>
      </c>
      <c r="D20" s="33" t="n">
        <f aca="false">C20-C19</f>
        <v>-9413</v>
      </c>
      <c r="E20" s="33" t="n">
        <v>397.2</v>
      </c>
      <c r="F20" s="33" t="n">
        <f aca="false">E20-E19</f>
        <v>-436.6</v>
      </c>
      <c r="G20" s="33" t="n">
        <v>6.58</v>
      </c>
      <c r="H20" s="33" t="n">
        <f aca="false">G20-G19</f>
        <v>-6.77</v>
      </c>
      <c r="I20" s="33" t="n">
        <v>78</v>
      </c>
      <c r="J20" s="33" t="n">
        <f aca="false">I20-I19</f>
        <v>-54</v>
      </c>
    </row>
    <row r="21" customFormat="false" ht="13.8" hidden="false" customHeight="false" outlineLevel="0" collapsed="false">
      <c r="A21" s="1" t="n">
        <v>20</v>
      </c>
      <c r="B21" s="32" t="n">
        <v>44946</v>
      </c>
      <c r="C21" s="33" t="n">
        <v>5017</v>
      </c>
      <c r="D21" s="33" t="n">
        <f aca="false">C21-C20</f>
        <v>-4117</v>
      </c>
      <c r="E21" s="33" t="n">
        <v>226.4</v>
      </c>
      <c r="F21" s="33" t="n">
        <f aca="false">E21-E20</f>
        <v>-170.8</v>
      </c>
      <c r="G21" s="33" t="n">
        <v>3.61</v>
      </c>
      <c r="H21" s="33" t="n">
        <f aca="false">G21-G20</f>
        <v>-2.97</v>
      </c>
      <c r="I21" s="33" t="n">
        <v>52</v>
      </c>
      <c r="J21" s="33" t="n">
        <f aca="false">I21-I20</f>
        <v>-26</v>
      </c>
    </row>
    <row r="22" customFormat="false" ht="13.8" hidden="false" customHeight="false" outlineLevel="0" collapsed="false">
      <c r="A22" s="33" t="n">
        <v>21</v>
      </c>
      <c r="B22" s="32" t="n">
        <v>44947</v>
      </c>
      <c r="C22" s="33" t="n">
        <v>10743</v>
      </c>
      <c r="D22" s="33" t="n">
        <f aca="false">C22-C21</f>
        <v>5726</v>
      </c>
      <c r="E22" s="33" t="n">
        <v>488.6</v>
      </c>
      <c r="F22" s="33" t="n">
        <f aca="false">E22-E21</f>
        <v>262.2</v>
      </c>
      <c r="G22" s="33" t="n">
        <v>7.73</v>
      </c>
      <c r="H22" s="33" t="n">
        <f aca="false">G22-G21</f>
        <v>4.12</v>
      </c>
      <c r="I22" s="33" t="n">
        <v>115</v>
      </c>
      <c r="J22" s="33" t="n">
        <f aca="false">I22-I21</f>
        <v>63</v>
      </c>
    </row>
    <row r="23" customFormat="false" ht="13.8" hidden="false" customHeight="false" outlineLevel="0" collapsed="false">
      <c r="A23" s="1" t="n">
        <v>22</v>
      </c>
      <c r="B23" s="32" t="n">
        <v>44948</v>
      </c>
      <c r="C23" s="33" t="n">
        <v>18354</v>
      </c>
      <c r="D23" s="33" t="n">
        <f aca="false">C23-C22</f>
        <v>7611</v>
      </c>
      <c r="E23" s="33" t="n">
        <v>828</v>
      </c>
      <c r="F23" s="33" t="n">
        <f aca="false">E23-E22</f>
        <v>339.4</v>
      </c>
      <c r="G23" s="33" t="n">
        <v>13.21</v>
      </c>
      <c r="H23" s="33" t="n">
        <f aca="false">G23-G22</f>
        <v>5.48</v>
      </c>
      <c r="I23" s="33" t="n">
        <v>192</v>
      </c>
      <c r="J23" s="33" t="n">
        <f aca="false">I23-I22</f>
        <v>77</v>
      </c>
    </row>
    <row r="24" customFormat="false" ht="13.8" hidden="false" customHeight="false" outlineLevel="0" collapsed="false">
      <c r="A24" s="33" t="n">
        <v>23</v>
      </c>
      <c r="B24" s="32" t="n">
        <v>44949</v>
      </c>
      <c r="C24" s="33" t="n">
        <v>9956</v>
      </c>
      <c r="D24" s="33" t="n">
        <f aca="false">C24-C23</f>
        <v>-8398</v>
      </c>
      <c r="E24" s="33" t="n">
        <v>435.5</v>
      </c>
      <c r="F24" s="33" t="n">
        <f aca="false">E24-E23</f>
        <v>-392.5</v>
      </c>
      <c r="G24" s="33" t="n">
        <v>7.17</v>
      </c>
      <c r="H24" s="33" t="n">
        <f aca="false">G24-G23</f>
        <v>-6.04</v>
      </c>
      <c r="I24" s="33" t="n">
        <v>81</v>
      </c>
      <c r="J24" s="33" t="n">
        <f aca="false">I24-I23</f>
        <v>-111</v>
      </c>
    </row>
    <row r="25" customFormat="false" ht="13.8" hidden="false" customHeight="false" outlineLevel="0" collapsed="false">
      <c r="A25" s="1" t="n">
        <v>24</v>
      </c>
      <c r="B25" s="32" t="n">
        <v>44950</v>
      </c>
      <c r="C25" s="33" t="n">
        <v>7323</v>
      </c>
      <c r="D25" s="33" t="n">
        <f aca="false">C25-C24</f>
        <v>-2633</v>
      </c>
      <c r="E25" s="33" t="n">
        <v>325.8</v>
      </c>
      <c r="F25" s="33" t="n">
        <f aca="false">E25-E24</f>
        <v>-109.7</v>
      </c>
      <c r="G25" s="33" t="n">
        <v>5.27</v>
      </c>
      <c r="H25" s="33" t="n">
        <f aca="false">G25-G24</f>
        <v>-1.9</v>
      </c>
      <c r="I25" s="33" t="n">
        <v>62</v>
      </c>
      <c r="J25" s="33" t="n">
        <f aca="false">I25-I24</f>
        <v>-19</v>
      </c>
    </row>
    <row r="26" customFormat="false" ht="13.8" hidden="false" customHeight="false" outlineLevel="0" collapsed="false">
      <c r="A26" s="33" t="n">
        <v>25</v>
      </c>
      <c r="B26" s="32" t="n">
        <v>44951</v>
      </c>
      <c r="C26" s="33" t="n">
        <v>6548</v>
      </c>
      <c r="D26" s="33" t="n">
        <f aca="false">C26-C25</f>
        <v>-775</v>
      </c>
      <c r="E26" s="33" t="n">
        <v>285.7</v>
      </c>
      <c r="F26" s="33" t="n">
        <f aca="false">E26-E25</f>
        <v>-40.1</v>
      </c>
      <c r="G26" s="33" t="n">
        <v>4.71</v>
      </c>
      <c r="H26" s="33" t="n">
        <f aca="false">G26-G25</f>
        <v>-0.56</v>
      </c>
      <c r="I26" s="33" t="n">
        <v>61</v>
      </c>
      <c r="J26" s="33" t="n">
        <f aca="false">I26-I25</f>
        <v>-1</v>
      </c>
    </row>
    <row r="27" customFormat="false" ht="13.8" hidden="false" customHeight="false" outlineLevel="0" collapsed="false">
      <c r="A27" s="1" t="n">
        <v>26</v>
      </c>
      <c r="B27" s="32" t="n">
        <v>44952</v>
      </c>
      <c r="C27" s="33" t="n">
        <v>11140</v>
      </c>
      <c r="D27" s="33" t="n">
        <f aca="false">C27-C26</f>
        <v>4592</v>
      </c>
      <c r="E27" s="33" t="n">
        <v>479</v>
      </c>
      <c r="F27" s="33" t="n">
        <f aca="false">E27-E26</f>
        <v>193.3</v>
      </c>
      <c r="G27" s="33" t="n">
        <v>8.02</v>
      </c>
      <c r="H27" s="33" t="n">
        <f aca="false">G27-G26</f>
        <v>3.31</v>
      </c>
      <c r="I27" s="33" t="n">
        <v>92</v>
      </c>
      <c r="J27" s="33" t="n">
        <f aca="false">I27-I26</f>
        <v>31</v>
      </c>
    </row>
    <row r="28" customFormat="false" ht="13.8" hidden="false" customHeight="false" outlineLevel="0" collapsed="false">
      <c r="A28" s="33" t="n">
        <v>27</v>
      </c>
      <c r="B28" s="32" t="n">
        <v>44953</v>
      </c>
      <c r="C28" s="33" t="n">
        <v>9063</v>
      </c>
      <c r="D28" s="33" t="n">
        <f aca="false">C28-C27</f>
        <v>-2077</v>
      </c>
      <c r="E28" s="33" t="n">
        <v>402</v>
      </c>
      <c r="F28" s="33" t="n">
        <f aca="false">E28-E27</f>
        <v>-77</v>
      </c>
      <c r="G28" s="33" t="n">
        <v>6.53</v>
      </c>
      <c r="H28" s="33" t="n">
        <f aca="false">G28-G27</f>
        <v>-1.49</v>
      </c>
      <c r="I28" s="33" t="n">
        <v>77</v>
      </c>
      <c r="J28" s="33" t="n">
        <f aca="false">I28-I27</f>
        <v>-15</v>
      </c>
    </row>
    <row r="29" customFormat="false" ht="13.8" hidden="false" customHeight="false" outlineLevel="0" collapsed="false">
      <c r="A29" s="1" t="n">
        <v>28</v>
      </c>
      <c r="B29" s="32" t="n">
        <v>44954</v>
      </c>
      <c r="C29" s="33" t="n">
        <v>10009</v>
      </c>
      <c r="D29" s="33" t="n">
        <f aca="false">C29-C28</f>
        <v>946</v>
      </c>
      <c r="E29" s="33" t="n">
        <v>429.6</v>
      </c>
      <c r="F29" s="33" t="n">
        <f aca="false">E29-E28</f>
        <v>27.6</v>
      </c>
      <c r="G29" s="33" t="n">
        <v>7.21</v>
      </c>
      <c r="H29" s="33" t="n">
        <f aca="false">G29-G28</f>
        <v>0.68</v>
      </c>
      <c r="I29" s="33" t="n">
        <v>85</v>
      </c>
      <c r="J29" s="33" t="n">
        <f aca="false">I29-I28</f>
        <v>8</v>
      </c>
    </row>
    <row r="30" customFormat="false" ht="13.8" hidden="false" customHeight="false" outlineLevel="0" collapsed="false">
      <c r="A30" s="33" t="n">
        <v>29</v>
      </c>
      <c r="B30" s="32" t="n">
        <v>44955</v>
      </c>
      <c r="C30" s="33" t="n">
        <v>2563</v>
      </c>
      <c r="D30" s="33" t="n">
        <f aca="false">C30-C29</f>
        <v>-7446</v>
      </c>
      <c r="E30" s="33" t="n">
        <v>121.3</v>
      </c>
      <c r="F30" s="33" t="n">
        <f aca="false">E30-E29</f>
        <v>-308.3</v>
      </c>
      <c r="G30" s="33" t="n">
        <v>1.85</v>
      </c>
      <c r="H30" s="33" t="n">
        <f aca="false">G30-G29</f>
        <v>-5.36</v>
      </c>
      <c r="I30" s="33" t="n">
        <v>30</v>
      </c>
      <c r="J30" s="33" t="n">
        <f aca="false">I30-I29</f>
        <v>-55</v>
      </c>
    </row>
    <row r="31" customFormat="false" ht="13.8" hidden="false" customHeight="false" outlineLevel="0" collapsed="false">
      <c r="A31" s="1" t="n">
        <v>30</v>
      </c>
      <c r="B31" s="32" t="n">
        <v>44956</v>
      </c>
      <c r="C31" s="33" t="n">
        <v>9176</v>
      </c>
      <c r="D31" s="33" t="n">
        <f aca="false">C31-C30</f>
        <v>6613</v>
      </c>
      <c r="E31" s="33" t="n">
        <v>412.3</v>
      </c>
      <c r="F31" s="33" t="n">
        <f aca="false">E31-E30</f>
        <v>291</v>
      </c>
      <c r="G31" s="33" t="n">
        <v>6.61</v>
      </c>
      <c r="H31" s="33" t="n">
        <f aca="false">G31-G30</f>
        <v>4.76</v>
      </c>
      <c r="I31" s="33" t="n">
        <v>96</v>
      </c>
      <c r="J31" s="33" t="n">
        <f aca="false">I31-I30</f>
        <v>66</v>
      </c>
    </row>
    <row r="32" customFormat="false" ht="13.8" hidden="false" customHeight="false" outlineLevel="0" collapsed="false">
      <c r="A32" s="33" t="n">
        <v>31</v>
      </c>
      <c r="B32" s="32" t="n">
        <v>44957</v>
      </c>
      <c r="C32" s="33" t="n">
        <v>8931</v>
      </c>
      <c r="D32" s="33" t="n">
        <f aca="false">C32-C31</f>
        <v>-245</v>
      </c>
      <c r="E32" s="33" t="n">
        <v>397.7</v>
      </c>
      <c r="F32" s="33" t="n">
        <f aca="false">E32-E31</f>
        <v>-14.6</v>
      </c>
      <c r="G32" s="33" t="n">
        <v>6.43</v>
      </c>
      <c r="H32" s="33" t="n">
        <f aca="false">G32-G31</f>
        <v>-0.180000000000001</v>
      </c>
      <c r="I32" s="33" t="n">
        <v>89</v>
      </c>
      <c r="J32" s="33" t="n">
        <f aca="false">I32-I31</f>
        <v>-7</v>
      </c>
    </row>
    <row r="33" customFormat="false" ht="13.8" hidden="false" customHeight="false" outlineLevel="0" collapsed="false">
      <c r="A33" s="1" t="n">
        <v>32</v>
      </c>
      <c r="B33" s="32" t="n">
        <v>44958</v>
      </c>
      <c r="C33" s="33" t="n">
        <v>10345</v>
      </c>
      <c r="D33" s="33" t="n">
        <f aca="false">C33-C32</f>
        <v>1414</v>
      </c>
      <c r="E33" s="33" t="n">
        <v>454.6</v>
      </c>
      <c r="F33" s="33" t="n">
        <f aca="false">E33-E32</f>
        <v>56.9</v>
      </c>
      <c r="G33" s="33" t="n">
        <v>7.45</v>
      </c>
      <c r="H33" s="33" t="n">
        <f aca="false">G33-G32</f>
        <v>1.02</v>
      </c>
      <c r="I33" s="33" t="n">
        <v>83</v>
      </c>
      <c r="J33" s="33" t="n">
        <f aca="false">I33-I32</f>
        <v>-6</v>
      </c>
      <c r="L33" s="34" t="s">
        <v>2</v>
      </c>
      <c r="M33" s="34" t="s">
        <v>179</v>
      </c>
      <c r="N33" s="34" t="s">
        <v>175</v>
      </c>
      <c r="O33" s="34" t="s">
        <v>177</v>
      </c>
    </row>
    <row r="34" customFormat="false" ht="13.8" hidden="false" customHeight="false" outlineLevel="0" collapsed="false">
      <c r="A34" s="33" t="n">
        <v>33</v>
      </c>
      <c r="B34" s="32" t="n">
        <v>44959</v>
      </c>
      <c r="C34" s="33" t="n">
        <v>6524</v>
      </c>
      <c r="D34" s="33" t="n">
        <f aca="false">C34-C33</f>
        <v>-3821</v>
      </c>
      <c r="E34" s="33" t="n">
        <v>297.1</v>
      </c>
      <c r="F34" s="33" t="n">
        <f aca="false">E34-E33</f>
        <v>-157.5</v>
      </c>
      <c r="G34" s="33" t="n">
        <v>4.7</v>
      </c>
      <c r="H34" s="33" t="n">
        <f aca="false">G34-G33</f>
        <v>-2.75</v>
      </c>
      <c r="I34" s="33" t="n">
        <v>70</v>
      </c>
      <c r="J34" s="33" t="n">
        <f aca="false">I34-I33</f>
        <v>-13</v>
      </c>
      <c r="K34" s="1" t="s">
        <v>8</v>
      </c>
      <c r="L34" s="1" t="n">
        <f aca="false">AVERAGE($C$33:$C$60)</f>
        <v>8440.85714285714</v>
      </c>
      <c r="M34" s="1" t="n">
        <f aca="false">AVERAGE($E$33:$E$60)</f>
        <v>377.835714285714</v>
      </c>
      <c r="N34" s="1" t="n">
        <f aca="false">AVERAGE($G$33:$G$60)</f>
        <v>6.0775</v>
      </c>
      <c r="O34" s="1" t="n">
        <f aca="false">AVERAGE($I$33:$I$60)</f>
        <v>79.6071428571429</v>
      </c>
    </row>
    <row r="35" customFormat="false" ht="13.8" hidden="false" customHeight="false" outlineLevel="0" collapsed="false">
      <c r="A35" s="1" t="n">
        <v>34</v>
      </c>
      <c r="B35" s="32" t="n">
        <v>44960</v>
      </c>
      <c r="C35" s="33" t="n">
        <v>2193</v>
      </c>
      <c r="D35" s="33" t="n">
        <f aca="false">C35-C34</f>
        <v>-4331</v>
      </c>
      <c r="E35" s="33" t="n">
        <v>99.7</v>
      </c>
      <c r="F35" s="33" t="n">
        <f aca="false">E35-E34</f>
        <v>-197.4</v>
      </c>
      <c r="G35" s="33" t="n">
        <v>1.58</v>
      </c>
      <c r="H35" s="33" t="n">
        <f aca="false">G35-G34</f>
        <v>-3.12</v>
      </c>
      <c r="I35" s="33" t="n">
        <v>23</v>
      </c>
      <c r="J35" s="33" t="n">
        <f aca="false">I35-I34</f>
        <v>-47</v>
      </c>
      <c r="K35" s="1" t="s">
        <v>10</v>
      </c>
      <c r="L35" s="1" t="n">
        <f aca="false">SQRT(VAR($C$33:$C$60)/COUNT($C$33:$C$60))</f>
        <v>756.219808465133</v>
      </c>
      <c r="M35" s="1" t="n">
        <f aca="false">SQRT(VAR($E$33:$E$60)/COUNT($E$33:$E$60))</f>
        <v>33.0601452919847</v>
      </c>
      <c r="N35" s="1" t="n">
        <f aca="false">SQRT(VAR($G$33:$G$60)/COUNT($G$33:$G$60))</f>
        <v>0.54448889314834</v>
      </c>
      <c r="O35" s="1" t="n">
        <f aca="false">SQRT(VAR($I$33:$I$60)/COUNT($I$33:$I$60))</f>
        <v>7.2825331523891</v>
      </c>
    </row>
    <row r="36" customFormat="false" ht="13.8" hidden="false" customHeight="false" outlineLevel="0" collapsed="false">
      <c r="A36" s="33" t="n">
        <v>35</v>
      </c>
      <c r="B36" s="32" t="n">
        <v>44961</v>
      </c>
      <c r="C36" s="33" t="n">
        <v>4327</v>
      </c>
      <c r="D36" s="33" t="n">
        <f aca="false">C36-C35</f>
        <v>2134</v>
      </c>
      <c r="E36" s="33" t="n">
        <v>199</v>
      </c>
      <c r="F36" s="33" t="n">
        <f aca="false">E36-E35</f>
        <v>99.3</v>
      </c>
      <c r="G36" s="33" t="n">
        <v>3.12</v>
      </c>
      <c r="H36" s="33" t="n">
        <f aca="false">G36-G35</f>
        <v>1.54</v>
      </c>
      <c r="I36" s="33" t="n">
        <v>47</v>
      </c>
      <c r="J36" s="33" t="n">
        <f aca="false">I36-I35</f>
        <v>24</v>
      </c>
      <c r="K36" s="1" t="s">
        <v>14</v>
      </c>
      <c r="L36" s="1" t="e">
        <f aca="false">MODE($C$33:$C$60)</f>
        <v>#VALUE!</v>
      </c>
      <c r="M36" s="1" t="e">
        <f aca="false">MODE($E$33:$E$60)</f>
        <v>#VALUE!</v>
      </c>
      <c r="N36" s="1" t="e">
        <f aca="false">MODE($G$33:$G$60)</f>
        <v>#VALUE!</v>
      </c>
      <c r="O36" s="1" t="n">
        <f aca="false">MODE($I$33:$I$60)</f>
        <v>62</v>
      </c>
    </row>
    <row r="37" customFormat="false" ht="13.8" hidden="false" customHeight="false" outlineLevel="0" collapsed="false">
      <c r="A37" s="1" t="n">
        <v>36</v>
      </c>
      <c r="B37" s="32" t="n">
        <v>44962</v>
      </c>
      <c r="C37" s="33" t="n">
        <v>6007</v>
      </c>
      <c r="D37" s="33" t="n">
        <f aca="false">C37-C36</f>
        <v>1680</v>
      </c>
      <c r="E37" s="33" t="n">
        <v>283.7</v>
      </c>
      <c r="F37" s="33" t="n">
        <f aca="false">E37-E36</f>
        <v>84.7</v>
      </c>
      <c r="G37" s="33" t="n">
        <v>4.33</v>
      </c>
      <c r="H37" s="33" t="n">
        <f aca="false">G37-G36</f>
        <v>1.21</v>
      </c>
      <c r="I37" s="33" t="n">
        <v>70</v>
      </c>
      <c r="J37" s="33" t="n">
        <f aca="false">I37-I36</f>
        <v>23</v>
      </c>
      <c r="K37" s="1" t="s">
        <v>12</v>
      </c>
      <c r="L37" s="1" t="n">
        <f aca="false">MEDIAN($C$33:$C$60)</f>
        <v>8335</v>
      </c>
      <c r="M37" s="1" t="n">
        <f aca="false">MEDIAN($E$33:$E$60)</f>
        <v>380.85</v>
      </c>
      <c r="N37" s="1" t="n">
        <f aca="false">MEDIAN($G$33:$G$60)</f>
        <v>6</v>
      </c>
      <c r="O37" s="1" t="n">
        <f aca="false">MEDIAN($I$33:$I$60)</f>
        <v>72.5</v>
      </c>
    </row>
    <row r="38" customFormat="false" ht="13.8" hidden="false" customHeight="false" outlineLevel="0" collapsed="false">
      <c r="A38" s="33" t="n">
        <v>37</v>
      </c>
      <c r="B38" s="32" t="n">
        <v>44963</v>
      </c>
      <c r="C38" s="33" t="n">
        <v>12764</v>
      </c>
      <c r="D38" s="33" t="n">
        <f aca="false">C38-C37</f>
        <v>6757</v>
      </c>
      <c r="E38" s="33" t="n">
        <v>573.9</v>
      </c>
      <c r="F38" s="33" t="n">
        <f aca="false">E38-E37</f>
        <v>290.2</v>
      </c>
      <c r="G38" s="33" t="n">
        <v>9.19</v>
      </c>
      <c r="H38" s="33" t="n">
        <f aca="false">G38-G37</f>
        <v>4.86</v>
      </c>
      <c r="I38" s="33" t="n">
        <v>134</v>
      </c>
      <c r="J38" s="33" t="n">
        <f aca="false">I38-I37</f>
        <v>64</v>
      </c>
      <c r="K38" s="1" t="s">
        <v>195</v>
      </c>
      <c r="L38" s="1" t="n">
        <f aca="false">QUARTILE($C$33:$C$60, 1)</f>
        <v>5866.75</v>
      </c>
      <c r="M38" s="1" t="n">
        <f aca="false">QUARTILE($E$33:$E$60, 1)</f>
        <v>270.7</v>
      </c>
      <c r="N38" s="1" t="n">
        <f aca="false">QUARTILE($G$33:$G$60, 1)</f>
        <v>4.2275</v>
      </c>
      <c r="O38" s="1" t="n">
        <f aca="false">QUARTILE($I$33:$I$60, 1)</f>
        <v>60.75</v>
      </c>
    </row>
    <row r="39" customFormat="false" ht="13.8" hidden="false" customHeight="false" outlineLevel="0" collapsed="false">
      <c r="A39" s="1" t="n">
        <v>38</v>
      </c>
      <c r="B39" s="32" t="n">
        <v>44964</v>
      </c>
      <c r="C39" s="33" t="n">
        <v>7518</v>
      </c>
      <c r="D39" s="33" t="n">
        <f aca="false">C39-C38</f>
        <v>-5246</v>
      </c>
      <c r="E39" s="33" t="n">
        <v>336.6</v>
      </c>
      <c r="F39" s="33" t="n">
        <f aca="false">E39-E38</f>
        <v>-237.3</v>
      </c>
      <c r="G39" s="33" t="n">
        <v>5.41</v>
      </c>
      <c r="H39" s="33" t="n">
        <f aca="false">G39-G38</f>
        <v>-3.78</v>
      </c>
      <c r="I39" s="33" t="n">
        <v>76</v>
      </c>
      <c r="J39" s="33" t="n">
        <f aca="false">I39-I38</f>
        <v>-58</v>
      </c>
      <c r="K39" s="1" t="s">
        <v>181</v>
      </c>
      <c r="L39" s="1" t="n">
        <f aca="false">QUARTILE($C$33:$C$60, 3)</f>
        <v>10273.75</v>
      </c>
      <c r="M39" s="1" t="n">
        <f aca="false">QUARTILE($E$33:$E$60, 3)</f>
        <v>447.85</v>
      </c>
      <c r="N39" s="1" t="n">
        <f aca="false">QUARTILE($G$33:$G$60, 3)</f>
        <v>7.3975</v>
      </c>
      <c r="O39" s="1" t="n">
        <f aca="false">QUARTILE($I$33:$I$60, 3)</f>
        <v>90.25</v>
      </c>
    </row>
    <row r="40" customFormat="false" ht="13.8" hidden="false" customHeight="false" outlineLevel="0" collapsed="false">
      <c r="A40" s="33" t="n">
        <v>39</v>
      </c>
      <c r="B40" s="32" t="n">
        <v>44965</v>
      </c>
      <c r="C40" s="33" t="n">
        <v>6237</v>
      </c>
      <c r="D40" s="33" t="n">
        <f aca="false">C40-C39</f>
        <v>-1281</v>
      </c>
      <c r="E40" s="33" t="n">
        <v>279.1</v>
      </c>
      <c r="F40" s="33" t="n">
        <f aca="false">E40-E39</f>
        <v>-57.5</v>
      </c>
      <c r="G40" s="33" t="n">
        <v>4.49</v>
      </c>
      <c r="H40" s="33" t="n">
        <f aca="false">G40-G39</f>
        <v>-0.92</v>
      </c>
      <c r="I40" s="33" t="n">
        <v>62</v>
      </c>
      <c r="J40" s="33" t="n">
        <f aca="false">I40-I39</f>
        <v>-14</v>
      </c>
      <c r="K40" s="1" t="s">
        <v>182</v>
      </c>
      <c r="L40" s="1" t="n">
        <f aca="false">VAR($C$33:$C$60)</f>
        <v>16012315.1640212</v>
      </c>
      <c r="M40" s="1" t="n">
        <f aca="false">VAR($E$33:$E$60)</f>
        <v>30603.2497883598</v>
      </c>
      <c r="N40" s="1" t="n">
        <f aca="false">VAR($G$33:$G$60)</f>
        <v>8.30110833333333</v>
      </c>
      <c r="O40" s="1" t="n">
        <f aca="false">VAR($I$33:$I$60)</f>
        <v>1484.9880952381</v>
      </c>
    </row>
    <row r="41" customFormat="false" ht="13.8" hidden="false" customHeight="false" outlineLevel="0" collapsed="false">
      <c r="A41" s="1" t="n">
        <v>40</v>
      </c>
      <c r="B41" s="32" t="n">
        <v>44966</v>
      </c>
      <c r="C41" s="33" t="n">
        <v>8243</v>
      </c>
      <c r="D41" s="33" t="n">
        <f aca="false">C41-C40</f>
        <v>2006</v>
      </c>
      <c r="E41" s="33" t="n">
        <v>373.6</v>
      </c>
      <c r="F41" s="33" t="n">
        <f aca="false">E41-E40</f>
        <v>94.5</v>
      </c>
      <c r="G41" s="33" t="n">
        <v>5.93</v>
      </c>
      <c r="H41" s="33" t="n">
        <f aca="false">G41-G40</f>
        <v>1.44</v>
      </c>
      <c r="I41" s="33" t="n">
        <v>82</v>
      </c>
      <c r="J41" s="33" t="n">
        <f aca="false">I41-I40</f>
        <v>20</v>
      </c>
      <c r="K41" s="1" t="s">
        <v>16</v>
      </c>
      <c r="L41" s="1" t="n">
        <f aca="false">STDEV($C$33:$C$60)</f>
        <v>4001.53909939928</v>
      </c>
      <c r="M41" s="1" t="n">
        <f aca="false">STDEV($E$33:$E$60)</f>
        <v>174.937845500509</v>
      </c>
      <c r="N41" s="1" t="n">
        <f aca="false">STDEV($G$33:$G$60)</f>
        <v>2.88116440581466</v>
      </c>
      <c r="O41" s="1" t="n">
        <f aca="false">STDEV($I$33:$I$60)</f>
        <v>38.5355432716096</v>
      </c>
    </row>
    <row r="42" customFormat="false" ht="13.8" hidden="false" customHeight="false" outlineLevel="0" collapsed="false">
      <c r="A42" s="33" t="n">
        <v>41</v>
      </c>
      <c r="B42" s="32" t="n">
        <v>44967</v>
      </c>
      <c r="C42" s="33" t="n">
        <v>3508</v>
      </c>
      <c r="D42" s="33" t="n">
        <f aca="false">C42-C41</f>
        <v>-4735</v>
      </c>
      <c r="E42" s="33" t="n">
        <v>153.9</v>
      </c>
      <c r="F42" s="33" t="n">
        <f aca="false">E42-E41</f>
        <v>-219.7</v>
      </c>
      <c r="G42" s="33" t="n">
        <v>2.53</v>
      </c>
      <c r="H42" s="33" t="n">
        <f aca="false">G42-G41</f>
        <v>-3.4</v>
      </c>
      <c r="I42" s="33" t="n">
        <v>33</v>
      </c>
      <c r="J42" s="33" t="n">
        <f aca="false">I42-I41</f>
        <v>-49</v>
      </c>
      <c r="K42" s="1" t="s">
        <v>20</v>
      </c>
      <c r="L42" s="1" t="n">
        <f aca="false">KURT($C$33:$C$60)</f>
        <v>4.51492375396151</v>
      </c>
      <c r="M42" s="1" t="n">
        <f aca="false">KURT($E$33:$E$60)</f>
        <v>4.20995878341309</v>
      </c>
      <c r="N42" s="1" t="n">
        <f aca="false">KURT($G$33:$G$60)</f>
        <v>4.52171386527792</v>
      </c>
      <c r="O42" s="1" t="n">
        <f aca="false">KURT($I$33:$I$60)</f>
        <v>5.60253396618874</v>
      </c>
    </row>
    <row r="43" customFormat="false" ht="13.8" hidden="false" customHeight="false" outlineLevel="0" collapsed="false">
      <c r="A43" s="1" t="n">
        <v>42</v>
      </c>
      <c r="B43" s="32" t="n">
        <v>44968</v>
      </c>
      <c r="C43" s="33" t="n">
        <v>5070</v>
      </c>
      <c r="D43" s="33" t="n">
        <f aca="false">C43-C42</f>
        <v>1562</v>
      </c>
      <c r="E43" s="33" t="n">
        <v>225.9</v>
      </c>
      <c r="F43" s="33" t="n">
        <f aca="false">E43-E42</f>
        <v>72</v>
      </c>
      <c r="G43" s="33" t="n">
        <v>3.65</v>
      </c>
      <c r="H43" s="33" t="n">
        <f aca="false">G43-G42</f>
        <v>1.12</v>
      </c>
      <c r="I43" s="33" t="n">
        <v>52</v>
      </c>
      <c r="J43" s="33" t="n">
        <f aca="false">I43-I42</f>
        <v>19</v>
      </c>
      <c r="K43" s="1" t="s">
        <v>22</v>
      </c>
      <c r="L43" s="1" t="n">
        <f aca="false">SKEW($C$33:$C$60)</f>
        <v>1.4168232604176</v>
      </c>
      <c r="M43" s="1" t="n">
        <f aca="false">SKEW($E$33:$E$60)</f>
        <v>1.32604997262097</v>
      </c>
      <c r="N43" s="1" t="n">
        <f aca="false">SKEW($G$33:$G$60)</f>
        <v>1.41853393402384</v>
      </c>
      <c r="O43" s="1" t="n">
        <f aca="false">SKEW($I$33:$I$60)</f>
        <v>1.81300517399162</v>
      </c>
    </row>
    <row r="44" customFormat="false" ht="13.8" hidden="false" customHeight="false" outlineLevel="0" collapsed="false">
      <c r="A44" s="33" t="n">
        <v>43</v>
      </c>
      <c r="B44" s="32" t="n">
        <v>44969</v>
      </c>
      <c r="C44" s="33" t="n">
        <v>11771</v>
      </c>
      <c r="D44" s="33" t="n">
        <f aca="false">C44-C43</f>
        <v>6701</v>
      </c>
      <c r="E44" s="33" t="n">
        <v>531.8</v>
      </c>
      <c r="F44" s="33" t="n">
        <f aca="false">E44-E43</f>
        <v>305.9</v>
      </c>
      <c r="G44" s="33" t="n">
        <v>8.48</v>
      </c>
      <c r="H44" s="33" t="n">
        <f aca="false">G44-G43</f>
        <v>4.83</v>
      </c>
      <c r="I44" s="33" t="n">
        <v>124</v>
      </c>
      <c r="J44" s="33" t="n">
        <f aca="false">I44-I43</f>
        <v>72</v>
      </c>
      <c r="K44" s="1" t="s">
        <v>24</v>
      </c>
      <c r="L44" s="1" t="n">
        <f aca="false">MAX($C$33:$C$60)-MIN($C$33:$C$60)</f>
        <v>20303</v>
      </c>
      <c r="M44" s="1" t="n">
        <f aca="false">MAX($E$33:$E$60)-MIN($E$33:$E$60)</f>
        <v>884.6</v>
      </c>
      <c r="N44" s="1" t="n">
        <f aca="false">MAX($G$33:$G$60)-MIN($G$33:$G$60)</f>
        <v>14.62</v>
      </c>
      <c r="O44" s="1" t="n">
        <f aca="false">MAX($I$33:$I$60)-MIN($I$33:$I$60)</f>
        <v>197</v>
      </c>
    </row>
    <row r="45" customFormat="false" ht="13.8" hidden="false" customHeight="false" outlineLevel="0" collapsed="false">
      <c r="A45" s="1" t="n">
        <v>44</v>
      </c>
      <c r="B45" s="32" t="n">
        <v>44970</v>
      </c>
      <c r="C45" s="33" t="n">
        <v>11827</v>
      </c>
      <c r="D45" s="33" t="n">
        <f aca="false">C45-C44</f>
        <v>56</v>
      </c>
      <c r="E45" s="33" t="n">
        <v>518.8</v>
      </c>
      <c r="F45" s="33" t="n">
        <f aca="false">E45-E44</f>
        <v>-13</v>
      </c>
      <c r="G45" s="33" t="n">
        <v>8.52</v>
      </c>
      <c r="H45" s="33" t="n">
        <f aca="false">G45-G44</f>
        <v>0.0399999999999992</v>
      </c>
      <c r="I45" s="33" t="n">
        <v>112</v>
      </c>
      <c r="J45" s="33" t="n">
        <f aca="false">I45-I44</f>
        <v>-12</v>
      </c>
      <c r="K45" s="1" t="s">
        <v>26</v>
      </c>
      <c r="L45" s="1" t="n">
        <f aca="false">MIN($C$33:$C$60)</f>
        <v>2193</v>
      </c>
      <c r="M45" s="1" t="n">
        <f aca="false">MIN($E$33:$E$60)</f>
        <v>99.7</v>
      </c>
      <c r="N45" s="1" t="n">
        <f aca="false">MIN($G$33:$G$60)</f>
        <v>1.58</v>
      </c>
      <c r="O45" s="1" t="n">
        <f aca="false">MIN($I$33:$I$60)</f>
        <v>23</v>
      </c>
    </row>
    <row r="46" customFormat="false" ht="13.8" hidden="false" customHeight="false" outlineLevel="0" collapsed="false">
      <c r="A46" s="33" t="n">
        <v>45</v>
      </c>
      <c r="B46" s="32" t="n">
        <v>44971</v>
      </c>
      <c r="C46" s="33" t="n">
        <v>9374</v>
      </c>
      <c r="D46" s="33" t="n">
        <f aca="false">C46-C45</f>
        <v>-2453</v>
      </c>
      <c r="E46" s="33" t="n">
        <v>427.9</v>
      </c>
      <c r="F46" s="33" t="n">
        <f aca="false">E46-E45</f>
        <v>-90.9</v>
      </c>
      <c r="G46" s="33" t="n">
        <v>6.75</v>
      </c>
      <c r="H46" s="33" t="n">
        <f aca="false">G46-G45</f>
        <v>-1.77</v>
      </c>
      <c r="I46" s="33" t="n">
        <v>67</v>
      </c>
      <c r="J46" s="33" t="n">
        <f aca="false">I46-I45</f>
        <v>-45</v>
      </c>
      <c r="K46" s="1" t="s">
        <v>28</v>
      </c>
      <c r="L46" s="1" t="n">
        <f aca="false">MAX($C$33:$C$60)</f>
        <v>22496</v>
      </c>
      <c r="M46" s="1" t="n">
        <f aca="false">MAX($E$33:$E$60)</f>
        <v>984.3</v>
      </c>
      <c r="N46" s="1" t="n">
        <f aca="false">MAX($G$33:$G$60)</f>
        <v>16.2</v>
      </c>
      <c r="O46" s="1" t="n">
        <f aca="false">MAX($I$33:$I$60)</f>
        <v>220</v>
      </c>
    </row>
    <row r="47" customFormat="false" ht="13.8" hidden="false" customHeight="false" outlineLevel="0" collapsed="false">
      <c r="A47" s="1" t="n">
        <v>46</v>
      </c>
      <c r="B47" s="32" t="n">
        <v>44972</v>
      </c>
      <c r="C47" s="33" t="n">
        <v>8427</v>
      </c>
      <c r="D47" s="33" t="n">
        <f aca="false">C47-C46</f>
        <v>-947</v>
      </c>
      <c r="E47" s="33" t="n">
        <v>388.1</v>
      </c>
      <c r="F47" s="33" t="n">
        <f aca="false">E47-E46</f>
        <v>-39.8</v>
      </c>
      <c r="G47" s="33" t="n">
        <v>6.07</v>
      </c>
      <c r="H47" s="33" t="n">
        <f aca="false">G47-G46</f>
        <v>-0.68</v>
      </c>
      <c r="I47" s="33" t="n">
        <v>62</v>
      </c>
      <c r="J47" s="33" t="n">
        <f aca="false">I47-I46</f>
        <v>-5</v>
      </c>
      <c r="K47" s="1" t="s">
        <v>30</v>
      </c>
      <c r="L47" s="1" t="n">
        <f aca="false">SUM($C$33:$C$60)</f>
        <v>236344</v>
      </c>
      <c r="M47" s="1" t="n">
        <f aca="false">SUM($E$33:$E$60)</f>
        <v>10579.4</v>
      </c>
      <c r="N47" s="1" t="n">
        <f aca="false">SUM($G$33:$G$60)</f>
        <v>170.17</v>
      </c>
      <c r="O47" s="1" t="n">
        <f aca="false">SUM($I$33:$I$60)</f>
        <v>2229</v>
      </c>
    </row>
    <row r="48" customFormat="false" ht="13.8" hidden="false" customHeight="false" outlineLevel="0" collapsed="false">
      <c r="A48" s="33" t="n">
        <v>47</v>
      </c>
      <c r="B48" s="32" t="n">
        <v>44973</v>
      </c>
      <c r="C48" s="33" t="n">
        <v>5446</v>
      </c>
      <c r="D48" s="33" t="n">
        <f aca="false">C48-C47</f>
        <v>-2981</v>
      </c>
      <c r="E48" s="33" t="n">
        <v>245.5</v>
      </c>
      <c r="F48" s="33" t="n">
        <f aca="false">E48-E47</f>
        <v>-142.6</v>
      </c>
      <c r="G48" s="33" t="n">
        <v>3.92</v>
      </c>
      <c r="H48" s="33" t="n">
        <f aca="false">G48-G47</f>
        <v>-2.15</v>
      </c>
      <c r="I48" s="33" t="n">
        <v>57</v>
      </c>
      <c r="J48" s="33" t="n">
        <f aca="false">I48-I47</f>
        <v>-5</v>
      </c>
      <c r="K48" s="1" t="s">
        <v>32</v>
      </c>
      <c r="L48" s="1" t="n">
        <f aca="false">COUNT($C$33:$C$60)</f>
        <v>28</v>
      </c>
      <c r="M48" s="1" t="n">
        <f aca="false">COUNT($E$33:$E$60)</f>
        <v>28</v>
      </c>
      <c r="N48" s="1" t="n">
        <f aca="false">COUNT($G$33:$G$60)</f>
        <v>28</v>
      </c>
      <c r="O48" s="1" t="n">
        <f aca="false">COUNT($I$33:$I$60)</f>
        <v>28</v>
      </c>
    </row>
    <row r="49" customFormat="false" ht="13.8" hidden="false" customHeight="false" outlineLevel="0" collapsed="false">
      <c r="A49" s="1" t="n">
        <v>48</v>
      </c>
      <c r="B49" s="32" t="n">
        <v>44974</v>
      </c>
      <c r="C49" s="33" t="n">
        <v>4569</v>
      </c>
      <c r="D49" s="33" t="n">
        <f aca="false">C49-C48</f>
        <v>-877</v>
      </c>
      <c r="E49" s="33" t="n">
        <v>205.5</v>
      </c>
      <c r="F49" s="33" t="n">
        <f aca="false">E49-E48</f>
        <v>-40</v>
      </c>
      <c r="G49" s="33" t="n">
        <v>3.29</v>
      </c>
      <c r="H49" s="33" t="n">
        <f aca="false">G49-G48</f>
        <v>-0.63</v>
      </c>
      <c r="I49" s="33" t="n">
        <v>48</v>
      </c>
      <c r="J49" s="33" t="n">
        <f aca="false">I49-I48</f>
        <v>-9</v>
      </c>
    </row>
    <row r="50" customFormat="false" ht="13.8" hidden="false" customHeight="false" outlineLevel="0" collapsed="false">
      <c r="A50" s="33" t="n">
        <v>49</v>
      </c>
      <c r="B50" s="32" t="n">
        <v>44975</v>
      </c>
      <c r="C50" s="33" t="n">
        <v>7612</v>
      </c>
      <c r="D50" s="33" t="n">
        <f aca="false">C50-C49</f>
        <v>3043</v>
      </c>
      <c r="E50" s="33" t="n">
        <v>333.6</v>
      </c>
      <c r="F50" s="33" t="n">
        <f aca="false">E50-E49</f>
        <v>128.1</v>
      </c>
      <c r="G50" s="33" t="n">
        <v>5.48</v>
      </c>
      <c r="H50" s="33" t="n">
        <f aca="false">G50-G49</f>
        <v>2.19</v>
      </c>
      <c r="I50" s="33" t="n">
        <v>73</v>
      </c>
      <c r="J50" s="33" t="n">
        <f aca="false">I50-I49</f>
        <v>25</v>
      </c>
    </row>
    <row r="51" customFormat="false" ht="13.8" hidden="false" customHeight="false" outlineLevel="0" collapsed="false">
      <c r="A51" s="1" t="n">
        <v>50</v>
      </c>
      <c r="B51" s="32" t="n">
        <v>44976</v>
      </c>
      <c r="C51" s="33" t="n">
        <v>10250</v>
      </c>
      <c r="D51" s="33" t="n">
        <f aca="false">C51-C50</f>
        <v>2638</v>
      </c>
      <c r="E51" s="33" t="n">
        <v>444.7</v>
      </c>
      <c r="F51" s="33" t="n">
        <f aca="false">E51-E50</f>
        <v>111.1</v>
      </c>
      <c r="G51" s="33" t="n">
        <v>7.38</v>
      </c>
      <c r="H51" s="33" t="n">
        <f aca="false">G51-G50</f>
        <v>1.9</v>
      </c>
      <c r="I51" s="33" t="n">
        <v>89</v>
      </c>
      <c r="J51" s="33" t="n">
        <f aca="false">I51-I50</f>
        <v>16</v>
      </c>
    </row>
    <row r="52" customFormat="false" ht="13.8" hidden="false" customHeight="false" outlineLevel="0" collapsed="false">
      <c r="A52" s="33" t="n">
        <v>51</v>
      </c>
      <c r="B52" s="32" t="n">
        <v>44977</v>
      </c>
      <c r="C52" s="33" t="n">
        <v>12143</v>
      </c>
      <c r="D52" s="33" t="n">
        <f aca="false">C52-C51</f>
        <v>1893</v>
      </c>
      <c r="E52" s="33" t="n">
        <v>529</v>
      </c>
      <c r="F52" s="33" t="n">
        <f aca="false">E52-E51</f>
        <v>84.3</v>
      </c>
      <c r="G52" s="33" t="n">
        <v>8.74</v>
      </c>
      <c r="H52" s="33" t="n">
        <f aca="false">G52-G51</f>
        <v>1.36</v>
      </c>
      <c r="I52" s="33" t="n">
        <v>113</v>
      </c>
      <c r="J52" s="33" t="n">
        <f aca="false">I52-I51</f>
        <v>24</v>
      </c>
    </row>
    <row r="53" customFormat="false" ht="13.8" hidden="false" customHeight="false" outlineLevel="0" collapsed="false">
      <c r="A53" s="1" t="n">
        <v>52</v>
      </c>
      <c r="B53" s="32" t="n">
        <v>44978</v>
      </c>
      <c r="C53" s="33" t="n">
        <v>8134</v>
      </c>
      <c r="D53" s="33" t="n">
        <f aca="false">C53-C52</f>
        <v>-4009</v>
      </c>
      <c r="E53" s="33" t="n">
        <v>359.3</v>
      </c>
      <c r="F53" s="33" t="n">
        <f aca="false">E53-E52</f>
        <v>-169.7</v>
      </c>
      <c r="G53" s="33" t="n">
        <v>5.86</v>
      </c>
      <c r="H53" s="33" t="n">
        <f aca="false">G53-G52</f>
        <v>-2.88</v>
      </c>
      <c r="I53" s="33" t="n">
        <v>72</v>
      </c>
      <c r="J53" s="33" t="n">
        <f aca="false">I53-I52</f>
        <v>-41</v>
      </c>
    </row>
    <row r="54" customFormat="false" ht="13.8" hidden="false" customHeight="false" outlineLevel="0" collapsed="false">
      <c r="A54" s="33" t="n">
        <v>53</v>
      </c>
      <c r="B54" s="32" t="n">
        <v>44979</v>
      </c>
      <c r="C54" s="33" t="n">
        <v>9462</v>
      </c>
      <c r="D54" s="33" t="n">
        <f aca="false">C54-C53</f>
        <v>1328</v>
      </c>
      <c r="E54" s="33" t="n">
        <v>445.6</v>
      </c>
      <c r="F54" s="33" t="n">
        <f aca="false">E54-E53</f>
        <v>86.3</v>
      </c>
      <c r="G54" s="33" t="n">
        <v>6.81</v>
      </c>
      <c r="H54" s="33" t="n">
        <f aca="false">G54-G53</f>
        <v>0.949999999999999</v>
      </c>
      <c r="I54" s="33" t="n">
        <v>65</v>
      </c>
      <c r="J54" s="33" t="n">
        <f aca="false">I54-I53</f>
        <v>-7</v>
      </c>
    </row>
    <row r="55" customFormat="false" ht="13.8" hidden="false" customHeight="false" outlineLevel="0" collapsed="false">
      <c r="A55" s="1" t="n">
        <v>54</v>
      </c>
      <c r="B55" s="32" t="n">
        <v>44980</v>
      </c>
      <c r="C55" s="33" t="n">
        <v>9270</v>
      </c>
      <c r="D55" s="33" t="n">
        <f aca="false">C55-C54</f>
        <v>-192</v>
      </c>
      <c r="E55" s="33" t="n">
        <v>414.2</v>
      </c>
      <c r="F55" s="33" t="n">
        <f aca="false">E55-E54</f>
        <v>-31.4</v>
      </c>
      <c r="G55" s="33" t="n">
        <v>6.67</v>
      </c>
      <c r="H55" s="33" t="n">
        <f aca="false">G55-G54</f>
        <v>-0.14</v>
      </c>
      <c r="I55" s="33" t="n">
        <v>83</v>
      </c>
      <c r="J55" s="33" t="n">
        <f aca="false">I55-I54</f>
        <v>18</v>
      </c>
    </row>
    <row r="56" customFormat="false" ht="13.8" hidden="false" customHeight="false" outlineLevel="0" collapsed="false">
      <c r="A56" s="33" t="n">
        <v>55</v>
      </c>
      <c r="B56" s="32" t="n">
        <v>44981</v>
      </c>
      <c r="C56" s="33" t="n">
        <v>3047</v>
      </c>
      <c r="D56" s="33" t="n">
        <f aca="false">C56-C55</f>
        <v>-6223</v>
      </c>
      <c r="E56" s="33" t="n">
        <v>137.9</v>
      </c>
      <c r="F56" s="33" t="n">
        <f aca="false">E56-E55</f>
        <v>-276.3</v>
      </c>
      <c r="G56" s="33" t="n">
        <v>2.19</v>
      </c>
      <c r="H56" s="33" t="n">
        <f aca="false">G56-G55</f>
        <v>-4.48</v>
      </c>
      <c r="I56" s="33" t="n">
        <v>32</v>
      </c>
      <c r="J56" s="33" t="n">
        <f aca="false">I56-I55</f>
        <v>-51</v>
      </c>
    </row>
    <row r="57" customFormat="false" ht="13.8" hidden="false" customHeight="false" outlineLevel="0" collapsed="false">
      <c r="A57" s="1" t="n">
        <v>56</v>
      </c>
      <c r="B57" s="32" t="n">
        <v>44982</v>
      </c>
      <c r="C57" s="33" t="n">
        <v>8965</v>
      </c>
      <c r="D57" s="33" t="n">
        <f aca="false">C57-C56</f>
        <v>5918</v>
      </c>
      <c r="E57" s="33" t="n">
        <v>424.7</v>
      </c>
      <c r="F57" s="33" t="n">
        <f aca="false">E57-E56</f>
        <v>286.8</v>
      </c>
      <c r="G57" s="33" t="n">
        <v>6.45</v>
      </c>
      <c r="H57" s="33" t="n">
        <f aca="false">G57-G56</f>
        <v>4.26</v>
      </c>
      <c r="I57" s="33" t="n">
        <v>106</v>
      </c>
      <c r="J57" s="33" t="n">
        <f aca="false">I57-I56</f>
        <v>74</v>
      </c>
    </row>
    <row r="58" customFormat="false" ht="13.8" hidden="false" customHeight="false" outlineLevel="0" collapsed="false">
      <c r="A58" s="33" t="n">
        <v>57</v>
      </c>
      <c r="B58" s="32" t="n">
        <v>44983</v>
      </c>
      <c r="C58" s="33" t="n">
        <v>22496</v>
      </c>
      <c r="D58" s="33" t="n">
        <f aca="false">C58-C57</f>
        <v>13531</v>
      </c>
      <c r="E58" s="33" t="n">
        <v>984.3</v>
      </c>
      <c r="F58" s="33" t="n">
        <f aca="false">E58-E57</f>
        <v>559.6</v>
      </c>
      <c r="G58" s="33" t="n">
        <v>16.2</v>
      </c>
      <c r="H58" s="33" t="n">
        <f aca="false">G58-G57</f>
        <v>9.75</v>
      </c>
      <c r="I58" s="33" t="n">
        <v>220</v>
      </c>
      <c r="J58" s="33" t="n">
        <f aca="false">I58-I57</f>
        <v>114</v>
      </c>
    </row>
    <row r="59" customFormat="false" ht="13.8" hidden="false" customHeight="false" outlineLevel="0" collapsed="false">
      <c r="A59" s="1" t="n">
        <v>58</v>
      </c>
      <c r="B59" s="32" t="n">
        <v>44984</v>
      </c>
      <c r="C59" s="33" t="n">
        <v>11270</v>
      </c>
      <c r="D59" s="33" t="n">
        <f aca="false">C59-C58</f>
        <v>-11226</v>
      </c>
      <c r="E59" s="33" t="n">
        <v>499.9</v>
      </c>
      <c r="F59" s="33" t="n">
        <f aca="false">E59-E58</f>
        <v>-484.4</v>
      </c>
      <c r="G59" s="33" t="n">
        <v>8.11</v>
      </c>
      <c r="H59" s="33" t="n">
        <f aca="false">G59-G58</f>
        <v>-8.09</v>
      </c>
      <c r="I59" s="33" t="n">
        <v>94</v>
      </c>
      <c r="J59" s="33" t="n">
        <f aca="false">I59-I58</f>
        <v>-126</v>
      </c>
    </row>
    <row r="60" customFormat="false" ht="13.8" hidden="false" customHeight="false" outlineLevel="0" collapsed="false">
      <c r="A60" s="33" t="n">
        <v>59</v>
      </c>
      <c r="B60" s="32" t="n">
        <v>44985</v>
      </c>
      <c r="C60" s="33" t="n">
        <v>9545</v>
      </c>
      <c r="D60" s="33" t="n">
        <f aca="false">C60-C59</f>
        <v>-1725</v>
      </c>
      <c r="E60" s="33" t="n">
        <v>411.5</v>
      </c>
      <c r="F60" s="33" t="n">
        <f aca="false">E60-E59</f>
        <v>-88.4</v>
      </c>
      <c r="G60" s="33" t="n">
        <v>6.87</v>
      </c>
      <c r="H60" s="33" t="n">
        <f aca="false">G60-G59</f>
        <v>-1.24</v>
      </c>
      <c r="I60" s="33" t="n">
        <v>80</v>
      </c>
      <c r="J60" s="33" t="n">
        <f aca="false">I60-I59</f>
        <v>-14</v>
      </c>
    </row>
    <row r="61" customFormat="false" ht="13.8" hidden="false" customHeight="false" outlineLevel="0" collapsed="false">
      <c r="A61" s="1" t="n">
        <v>60</v>
      </c>
      <c r="B61" s="32" t="n">
        <v>44986</v>
      </c>
      <c r="C61" s="33" t="n">
        <v>7829</v>
      </c>
      <c r="D61" s="33" t="n">
        <f aca="false">C61-C60</f>
        <v>-1716</v>
      </c>
      <c r="E61" s="33" t="n">
        <v>345.2</v>
      </c>
      <c r="F61" s="33" t="n">
        <f aca="false">E61-E60</f>
        <v>-66.3</v>
      </c>
      <c r="G61" s="33" t="n">
        <v>5.64</v>
      </c>
      <c r="H61" s="33" t="n">
        <f aca="false">G61-G60</f>
        <v>-1.23</v>
      </c>
      <c r="I61" s="33" t="n">
        <v>65</v>
      </c>
      <c r="J61" s="33" t="n">
        <f aca="false">I61-I60</f>
        <v>-15</v>
      </c>
      <c r="L61" s="34" t="s">
        <v>2</v>
      </c>
      <c r="M61" s="34" t="s">
        <v>179</v>
      </c>
      <c r="N61" s="34" t="s">
        <v>175</v>
      </c>
      <c r="O61" s="34" t="s">
        <v>177</v>
      </c>
    </row>
    <row r="62" customFormat="false" ht="13.8" hidden="false" customHeight="false" outlineLevel="0" collapsed="false">
      <c r="A62" s="33" t="n">
        <v>61</v>
      </c>
      <c r="B62" s="32" t="n">
        <v>44987</v>
      </c>
      <c r="C62" s="33" t="n">
        <v>6433</v>
      </c>
      <c r="D62" s="33" t="n">
        <f aca="false">C62-C61</f>
        <v>-1396</v>
      </c>
      <c r="E62" s="33" t="n">
        <v>276.3</v>
      </c>
      <c r="F62" s="33" t="n">
        <f aca="false">E62-E61</f>
        <v>-68.9</v>
      </c>
      <c r="G62" s="33" t="n">
        <v>4.63</v>
      </c>
      <c r="H62" s="33" t="n">
        <f aca="false">G62-G61</f>
        <v>-1.01</v>
      </c>
      <c r="I62" s="33" t="n">
        <v>55</v>
      </c>
      <c r="J62" s="33" t="n">
        <f aca="false">I62-I61</f>
        <v>-10</v>
      </c>
      <c r="K62" s="1" t="s">
        <v>8</v>
      </c>
      <c r="L62" s="1" t="n">
        <f aca="false">AVERAGE($C$61:$C$91)</f>
        <v>8472.29032258065</v>
      </c>
      <c r="M62" s="1" t="n">
        <f aca="false">AVERAGE($E$61:$E$91)</f>
        <v>372.061290322581</v>
      </c>
      <c r="N62" s="1" t="n">
        <f aca="false">AVERAGE($G$61:$G$91)</f>
        <v>6.10032258064516</v>
      </c>
      <c r="O62" s="1" t="n">
        <f aca="false">AVERAGE($I$61:$I$91)</f>
        <v>78.0322580645161</v>
      </c>
    </row>
    <row r="63" customFormat="false" ht="13.8" hidden="false" customHeight="false" outlineLevel="0" collapsed="false">
      <c r="A63" s="1" t="n">
        <v>62</v>
      </c>
      <c r="B63" s="32" t="n">
        <v>44988</v>
      </c>
      <c r="C63" s="33" t="n">
        <v>11653</v>
      </c>
      <c r="D63" s="33" t="n">
        <f aca="false">C63-C62</f>
        <v>5220</v>
      </c>
      <c r="E63" s="33" t="n">
        <v>506.3</v>
      </c>
      <c r="F63" s="33" t="n">
        <f aca="false">E63-E62</f>
        <v>230</v>
      </c>
      <c r="G63" s="33" t="n">
        <v>8.39</v>
      </c>
      <c r="H63" s="33" t="n">
        <f aca="false">G63-G62</f>
        <v>3.76</v>
      </c>
      <c r="I63" s="33" t="n">
        <v>109</v>
      </c>
      <c r="J63" s="33" t="n">
        <f aca="false">I63-I62</f>
        <v>54</v>
      </c>
      <c r="K63" s="1" t="s">
        <v>10</v>
      </c>
      <c r="L63" s="1" t="n">
        <f aca="false">SQRT(VAR($C$61:$C$91)/COUNT($C$61:$C$91))</f>
        <v>686.125881414931</v>
      </c>
      <c r="M63" s="1" t="n">
        <f aca="false">SQRT(VAR($E$61:$E$91)/COUNT($E$61:$E$91))</f>
        <v>30.0332824975711</v>
      </c>
      <c r="N63" s="1" t="n">
        <f aca="false">SQRT(VAR($G$61:$G$91)/COUNT($G$61:$G$91))</f>
        <v>0.493969326432444</v>
      </c>
      <c r="O63" s="1" t="n">
        <f aca="false">SQRT(VAR($I$61:$I$91)/COUNT($I$61:$I$91))</f>
        <v>6.49341831726106</v>
      </c>
    </row>
    <row r="64" customFormat="false" ht="13.8" hidden="false" customHeight="false" outlineLevel="0" collapsed="false">
      <c r="A64" s="33" t="n">
        <v>63</v>
      </c>
      <c r="B64" s="32" t="n">
        <v>44989</v>
      </c>
      <c r="C64" s="33" t="n">
        <v>4553</v>
      </c>
      <c r="D64" s="33" t="n">
        <f aca="false">C64-C63</f>
        <v>-7100</v>
      </c>
      <c r="E64" s="33" t="n">
        <v>208.5</v>
      </c>
      <c r="F64" s="33" t="n">
        <f aca="false">E64-E63</f>
        <v>-297.8</v>
      </c>
      <c r="G64" s="33" t="n">
        <v>3.28</v>
      </c>
      <c r="H64" s="33" t="n">
        <f aca="false">G64-G63</f>
        <v>-5.11</v>
      </c>
      <c r="I64" s="33" t="n">
        <v>49</v>
      </c>
      <c r="J64" s="33" t="n">
        <f aca="false">I64-I63</f>
        <v>-60</v>
      </c>
      <c r="K64" s="1" t="s">
        <v>14</v>
      </c>
      <c r="L64" s="1" t="e">
        <f aca="false">MODE($C$61:$C$91)</f>
        <v>#VALUE!</v>
      </c>
      <c r="M64" s="1" t="n">
        <f aca="false">MODE($E$61:$E$91)</f>
        <v>522.5</v>
      </c>
      <c r="N64" s="1" t="n">
        <f aca="false">MODE($G$61:$G$91)</f>
        <v>4.63</v>
      </c>
      <c r="O64" s="1" t="n">
        <f aca="false">MODE($I$61:$I$91)</f>
        <v>38</v>
      </c>
    </row>
    <row r="65" customFormat="false" ht="13.8" hidden="false" customHeight="false" outlineLevel="0" collapsed="false">
      <c r="A65" s="1" t="n">
        <v>64</v>
      </c>
      <c r="B65" s="32" t="n">
        <v>44990</v>
      </c>
      <c r="C65" s="33" t="n">
        <v>15460</v>
      </c>
      <c r="D65" s="33" t="n">
        <f aca="false">C65-C64</f>
        <v>10907</v>
      </c>
      <c r="E65" s="33" t="n">
        <v>703</v>
      </c>
      <c r="F65" s="33" t="n">
        <f aca="false">E65-E64</f>
        <v>494.5</v>
      </c>
      <c r="G65" s="33" t="n">
        <v>11.13</v>
      </c>
      <c r="H65" s="33" t="n">
        <f aca="false">G65-G64</f>
        <v>7.85</v>
      </c>
      <c r="I65" s="33" t="n">
        <v>168</v>
      </c>
      <c r="J65" s="33" t="n">
        <f aca="false">I65-I64</f>
        <v>119</v>
      </c>
      <c r="K65" s="1" t="s">
        <v>12</v>
      </c>
      <c r="L65" s="1" t="n">
        <f aca="false">MEDIAN($C$61:$C$91)</f>
        <v>7806</v>
      </c>
      <c r="M65" s="1" t="n">
        <f aca="false">MEDIAN($E$61:$E$91)</f>
        <v>337.7</v>
      </c>
      <c r="N65" s="1" t="n">
        <f aca="false">MEDIAN($G$61:$G$91)</f>
        <v>5.62</v>
      </c>
      <c r="O65" s="1" t="n">
        <f aca="false">MEDIAN($I$61:$I$91)</f>
        <v>71</v>
      </c>
    </row>
    <row r="66" customFormat="false" ht="13.8" hidden="false" customHeight="false" outlineLevel="0" collapsed="false">
      <c r="A66" s="33" t="n">
        <v>65</v>
      </c>
      <c r="B66" s="32" t="n">
        <v>44991</v>
      </c>
      <c r="C66" s="33" t="n">
        <v>7806</v>
      </c>
      <c r="D66" s="33" t="n">
        <f aca="false">C66-C65</f>
        <v>-7654</v>
      </c>
      <c r="E66" s="33" t="n">
        <v>337.3</v>
      </c>
      <c r="F66" s="33" t="n">
        <f aca="false">E66-E65</f>
        <v>-365.7</v>
      </c>
      <c r="G66" s="33" t="n">
        <v>5.62</v>
      </c>
      <c r="H66" s="33" t="n">
        <f aca="false">G66-G65</f>
        <v>-5.51</v>
      </c>
      <c r="I66" s="33" t="n">
        <v>71</v>
      </c>
      <c r="J66" s="33" t="n">
        <f aca="false">I66-I65</f>
        <v>-97</v>
      </c>
      <c r="K66" s="1" t="s">
        <v>195</v>
      </c>
      <c r="L66" s="1" t="n">
        <f aca="false">QUARTILE($C$61:$C$91, 1)</f>
        <v>6435</v>
      </c>
      <c r="M66" s="1" t="n">
        <f aca="false">QUARTILE($E$61:$E$91, 1)</f>
        <v>277.7</v>
      </c>
      <c r="N66" s="1" t="n">
        <f aca="false">QUARTILE($G$61:$G$91, 1)</f>
        <v>4.63</v>
      </c>
      <c r="O66" s="1" t="n">
        <f aca="false">QUARTILE($I$61:$I$91, 1)</f>
        <v>56.5</v>
      </c>
    </row>
    <row r="67" customFormat="false" ht="13.8" hidden="false" customHeight="false" outlineLevel="0" collapsed="false">
      <c r="A67" s="1" t="n">
        <v>66</v>
      </c>
      <c r="B67" s="32" t="n">
        <v>44992</v>
      </c>
      <c r="C67" s="33" t="n">
        <v>7329</v>
      </c>
      <c r="D67" s="33" t="n">
        <f aca="false">C67-C66</f>
        <v>-477</v>
      </c>
      <c r="E67" s="33" t="n">
        <v>318.2</v>
      </c>
      <c r="F67" s="33" t="n">
        <f aca="false">E67-E66</f>
        <v>-19.1</v>
      </c>
      <c r="G67" s="33" t="n">
        <v>5.28</v>
      </c>
      <c r="H67" s="33" t="n">
        <f aca="false">G67-G66</f>
        <v>-0.34</v>
      </c>
      <c r="I67" s="33" t="n">
        <v>67</v>
      </c>
      <c r="J67" s="33" t="n">
        <f aca="false">I67-I66</f>
        <v>-4</v>
      </c>
      <c r="K67" s="1" t="s">
        <v>181</v>
      </c>
      <c r="L67" s="1" t="n">
        <f aca="false">QUARTILE($C$61:$C$91, 3)</f>
        <v>11165</v>
      </c>
      <c r="M67" s="1" t="n">
        <f aca="false">QUARTILE($E$61:$E$91, 3)</f>
        <v>484.2</v>
      </c>
      <c r="N67" s="1" t="n">
        <f aca="false">QUARTILE($G$61:$G$91, 3)</f>
        <v>8.04</v>
      </c>
      <c r="O67" s="1" t="n">
        <f aca="false">QUARTILE($I$61:$I$91, 3)</f>
        <v>98.5</v>
      </c>
    </row>
    <row r="68" customFormat="false" ht="13.8" hidden="false" customHeight="false" outlineLevel="0" collapsed="false">
      <c r="A68" s="33" t="n">
        <v>67</v>
      </c>
      <c r="B68" s="32" t="n">
        <v>44993</v>
      </c>
      <c r="C68" s="33" t="n">
        <v>6524</v>
      </c>
      <c r="D68" s="33" t="n">
        <f aca="false">C68-C67</f>
        <v>-805</v>
      </c>
      <c r="E68" s="33" t="n">
        <v>283</v>
      </c>
      <c r="F68" s="33" t="n">
        <f aca="false">E68-E67</f>
        <v>-35.2</v>
      </c>
      <c r="G68" s="33" t="n">
        <v>4.7</v>
      </c>
      <c r="H68" s="33" t="n">
        <f aca="false">G68-G67</f>
        <v>-0.58</v>
      </c>
      <c r="I68" s="33" t="n">
        <v>59</v>
      </c>
      <c r="J68" s="33" t="n">
        <f aca="false">I68-I67</f>
        <v>-8</v>
      </c>
      <c r="K68" s="1" t="s">
        <v>182</v>
      </c>
      <c r="L68" s="1" t="n">
        <f aca="false">VAR($C$61:$C$91)</f>
        <v>14593830.4795699</v>
      </c>
      <c r="M68" s="1" t="n">
        <f aca="false">VAR($E$61:$E$91)</f>
        <v>27961.9397849462</v>
      </c>
      <c r="N68" s="1" t="n">
        <f aca="false">VAR($G$61:$G$91)</f>
        <v>7.56417655913979</v>
      </c>
      <c r="O68" s="1" t="n">
        <f aca="false">VAR($I$61:$I$91)</f>
        <v>1307.09892473118</v>
      </c>
    </row>
    <row r="69" customFormat="false" ht="13.8" hidden="false" customHeight="false" outlineLevel="0" collapsed="false">
      <c r="A69" s="1" t="n">
        <v>68</v>
      </c>
      <c r="B69" s="32" t="n">
        <v>44994</v>
      </c>
      <c r="C69" s="33" t="n">
        <v>12090</v>
      </c>
      <c r="D69" s="33" t="n">
        <f aca="false">C69-C68</f>
        <v>5566</v>
      </c>
      <c r="E69" s="33" t="n">
        <v>522.5</v>
      </c>
      <c r="F69" s="33" t="n">
        <f aca="false">E69-E68</f>
        <v>239.5</v>
      </c>
      <c r="G69" s="33" t="n">
        <v>8.7</v>
      </c>
      <c r="H69" s="33" t="n">
        <f aca="false">G69-G68</f>
        <v>4</v>
      </c>
      <c r="I69" s="33" t="n">
        <v>105</v>
      </c>
      <c r="J69" s="33" t="n">
        <f aca="false">I69-I68</f>
        <v>46</v>
      </c>
      <c r="K69" s="1" t="s">
        <v>16</v>
      </c>
      <c r="L69" s="1" t="n">
        <f aca="false">STDEV($C$61:$C$91)</f>
        <v>3820.18723095739</v>
      </c>
      <c r="M69" s="1" t="n">
        <f aca="false">STDEV($E$61:$E$91)</f>
        <v>167.218239988783</v>
      </c>
      <c r="N69" s="1" t="n">
        <f aca="false">STDEV($G$61:$G$91)</f>
        <v>2.75030481204171</v>
      </c>
      <c r="O69" s="1" t="n">
        <f aca="false">STDEV($I$61:$I$91)</f>
        <v>36.1538230997938</v>
      </c>
    </row>
    <row r="70" customFormat="false" ht="13.8" hidden="false" customHeight="false" outlineLevel="0" collapsed="false">
      <c r="A70" s="33" t="n">
        <v>69</v>
      </c>
      <c r="B70" s="32" t="n">
        <v>44995</v>
      </c>
      <c r="C70" s="33" t="n">
        <v>7094</v>
      </c>
      <c r="D70" s="33" t="n">
        <f aca="false">C70-C69</f>
        <v>-4996</v>
      </c>
      <c r="E70" s="33" t="n">
        <v>308.8</v>
      </c>
      <c r="F70" s="33" t="n">
        <f aca="false">E70-E69</f>
        <v>-213.7</v>
      </c>
      <c r="G70" s="33" t="n">
        <v>5.11</v>
      </c>
      <c r="H70" s="33" t="n">
        <f aca="false">G70-G69</f>
        <v>-3.59</v>
      </c>
      <c r="I70" s="33" t="n">
        <v>64</v>
      </c>
      <c r="J70" s="33" t="n">
        <f aca="false">I70-I69</f>
        <v>-41</v>
      </c>
      <c r="K70" s="1" t="s">
        <v>20</v>
      </c>
      <c r="L70" s="1" t="n">
        <f aca="false">KURT($C$61:$C$91)</f>
        <v>-0.137148564082159</v>
      </c>
      <c r="M70" s="1" t="n">
        <f aca="false">KURT($E$61:$E$91)</f>
        <v>-0.00525316105825446</v>
      </c>
      <c r="N70" s="1" t="n">
        <f aca="false">KURT($G$61:$G$91)</f>
        <v>-0.136698533241803</v>
      </c>
      <c r="O70" s="1" t="n">
        <f aca="false">KURT($I$61:$I$91)</f>
        <v>1.27713395978682</v>
      </c>
    </row>
    <row r="71" customFormat="false" ht="13.8" hidden="false" customHeight="false" outlineLevel="0" collapsed="false">
      <c r="A71" s="1" t="n">
        <v>70</v>
      </c>
      <c r="B71" s="32" t="n">
        <v>44996</v>
      </c>
      <c r="C71" s="33" t="n">
        <v>746</v>
      </c>
      <c r="D71" s="33" t="n">
        <f aca="false">C71-C70</f>
        <v>-6348</v>
      </c>
      <c r="E71" s="33" t="n">
        <v>36.5</v>
      </c>
      <c r="F71" s="33" t="n">
        <f aca="false">E71-E70</f>
        <v>-272.3</v>
      </c>
      <c r="G71" s="33" t="n">
        <v>0.54</v>
      </c>
      <c r="H71" s="33" t="n">
        <f aca="false">G71-G70</f>
        <v>-4.57</v>
      </c>
      <c r="I71" s="33" t="n">
        <v>9</v>
      </c>
      <c r="J71" s="33" t="n">
        <f aca="false">I71-I70</f>
        <v>-55</v>
      </c>
      <c r="K71" s="1" t="s">
        <v>22</v>
      </c>
      <c r="L71" s="1" t="n">
        <f aca="false">SKEW($C$61:$C$91)</f>
        <v>0.296070693735647</v>
      </c>
      <c r="M71" s="1" t="n">
        <f aca="false">SKEW($E$61:$E$91)</f>
        <v>0.375527901763978</v>
      </c>
      <c r="N71" s="1" t="n">
        <f aca="false">SKEW($G$61:$G$91)</f>
        <v>0.296644868141727</v>
      </c>
      <c r="O71" s="1" t="n">
        <f aca="false">SKEW($I$61:$I$91)</f>
        <v>0.894587197267988</v>
      </c>
    </row>
    <row r="72" customFormat="false" ht="13.8" hidden="false" customHeight="false" outlineLevel="0" collapsed="false">
      <c r="A72" s="33" t="n">
        <v>71</v>
      </c>
      <c r="B72" s="32" t="n">
        <v>44997</v>
      </c>
      <c r="C72" s="33" t="n">
        <v>12015</v>
      </c>
      <c r="D72" s="33" t="n">
        <f aca="false">C72-C71</f>
        <v>11269</v>
      </c>
      <c r="E72" s="33" t="n">
        <v>522.5</v>
      </c>
      <c r="F72" s="33" t="n">
        <f aca="false">E72-E71</f>
        <v>486</v>
      </c>
      <c r="G72" s="33" t="n">
        <v>8.65</v>
      </c>
      <c r="H72" s="33" t="n">
        <f aca="false">G72-G71</f>
        <v>8.11</v>
      </c>
      <c r="I72" s="33" t="n">
        <v>96</v>
      </c>
      <c r="J72" s="33" t="n">
        <f aca="false">I72-I71</f>
        <v>87</v>
      </c>
      <c r="K72" s="1" t="s">
        <v>24</v>
      </c>
      <c r="L72" s="1" t="n">
        <f aca="false">MAX($C$61:$C$91)-MIN($C$61:$C$91)</f>
        <v>16098</v>
      </c>
      <c r="M72" s="1" t="n">
        <f aca="false">MAX($E$61:$E$91)-MIN($E$61:$E$91)</f>
        <v>714.5</v>
      </c>
      <c r="N72" s="1" t="n">
        <f aca="false">MAX($G$61:$G$91)-MIN($G$61:$G$91)</f>
        <v>11.59</v>
      </c>
      <c r="O72" s="1" t="n">
        <f aca="false">MAX($I$61:$I$91)-MIN($I$61:$I$91)</f>
        <v>164</v>
      </c>
    </row>
    <row r="73" customFormat="false" ht="13.8" hidden="false" customHeight="false" outlineLevel="0" collapsed="false">
      <c r="A73" s="1" t="n">
        <v>72</v>
      </c>
      <c r="B73" s="32" t="n">
        <v>44998</v>
      </c>
      <c r="C73" s="33" t="n">
        <v>8244</v>
      </c>
      <c r="D73" s="33" t="n">
        <f aca="false">C73-C72</f>
        <v>-3771</v>
      </c>
      <c r="E73" s="33" t="n">
        <v>375.3</v>
      </c>
      <c r="F73" s="33" t="n">
        <f aca="false">E73-E72</f>
        <v>-147.2</v>
      </c>
      <c r="G73" s="33" t="n">
        <v>5.94</v>
      </c>
      <c r="H73" s="33" t="n">
        <f aca="false">G73-G72</f>
        <v>-2.71</v>
      </c>
      <c r="I73" s="33" t="n">
        <v>88</v>
      </c>
      <c r="J73" s="33" t="n">
        <f aca="false">I73-I72</f>
        <v>-8</v>
      </c>
      <c r="K73" s="1" t="s">
        <v>26</v>
      </c>
      <c r="L73" s="1" t="n">
        <f aca="false">MIN($C$61:$C$91)</f>
        <v>746</v>
      </c>
      <c r="M73" s="1" t="n">
        <f aca="false">MIN($E$61:$E$91)</f>
        <v>36.5</v>
      </c>
      <c r="N73" s="1" t="n">
        <f aca="false">MIN($G$61:$G$91)</f>
        <v>0.54</v>
      </c>
      <c r="O73" s="1" t="n">
        <f aca="false">MIN($I$61:$I$91)</f>
        <v>9</v>
      </c>
    </row>
    <row r="74" customFormat="false" ht="13.8" hidden="false" customHeight="false" outlineLevel="0" collapsed="false">
      <c r="A74" s="33" t="n">
        <v>73</v>
      </c>
      <c r="B74" s="32" t="n">
        <v>44999</v>
      </c>
      <c r="C74" s="33" t="n">
        <v>9824</v>
      </c>
      <c r="D74" s="33" t="n">
        <f aca="false">C74-C73</f>
        <v>1580</v>
      </c>
      <c r="E74" s="33" t="n">
        <v>424.3</v>
      </c>
      <c r="F74" s="33" t="n">
        <f aca="false">E74-E73</f>
        <v>49</v>
      </c>
      <c r="G74" s="33" t="n">
        <v>7.07</v>
      </c>
      <c r="H74" s="33" t="n">
        <f aca="false">G74-G73</f>
        <v>1.13</v>
      </c>
      <c r="I74" s="33" t="n">
        <v>88</v>
      </c>
      <c r="J74" s="33" t="n">
        <f aca="false">I74-I73</f>
        <v>0</v>
      </c>
      <c r="K74" s="1" t="s">
        <v>28</v>
      </c>
      <c r="L74" s="1" t="n">
        <f aca="false">MAX($C$61:$C$91)</f>
        <v>16844</v>
      </c>
      <c r="M74" s="1" t="n">
        <f aca="false">MAX($E$61:$E$91)</f>
        <v>751</v>
      </c>
      <c r="N74" s="1" t="n">
        <f aca="false">MAX($G$61:$G$91)</f>
        <v>12.13</v>
      </c>
      <c r="O74" s="1" t="n">
        <f aca="false">MAX($I$61:$I$91)</f>
        <v>173</v>
      </c>
    </row>
    <row r="75" customFormat="false" ht="13.8" hidden="false" customHeight="false" outlineLevel="0" collapsed="false">
      <c r="A75" s="1" t="n">
        <v>74</v>
      </c>
      <c r="B75" s="32" t="n">
        <v>45000</v>
      </c>
      <c r="C75" s="33" t="n">
        <v>9575</v>
      </c>
      <c r="D75" s="33" t="n">
        <f aca="false">C75-C74</f>
        <v>-249</v>
      </c>
      <c r="E75" s="33" t="n">
        <v>427.7</v>
      </c>
      <c r="F75" s="33" t="n">
        <f aca="false">E75-E74</f>
        <v>3.39999999999998</v>
      </c>
      <c r="G75" s="33" t="n">
        <v>6.89</v>
      </c>
      <c r="H75" s="33" t="n">
        <f aca="false">G75-G74</f>
        <v>-0.180000000000001</v>
      </c>
      <c r="I75" s="33" t="n">
        <v>76</v>
      </c>
      <c r="J75" s="33" t="n">
        <f aca="false">I75-I74</f>
        <v>-12</v>
      </c>
      <c r="K75" s="1" t="s">
        <v>30</v>
      </c>
      <c r="L75" s="1" t="n">
        <f aca="false">SUM($C$61:$C$91)</f>
        <v>262641</v>
      </c>
      <c r="M75" s="1" t="n">
        <f aca="false">SUM($E$61:$E$91)</f>
        <v>11533.9</v>
      </c>
      <c r="N75" s="1" t="n">
        <f aca="false">SUM($G$61:$G$91)</f>
        <v>189.11</v>
      </c>
      <c r="O75" s="1" t="n">
        <f aca="false">SUM($I$61:$I$91)</f>
        <v>2419</v>
      </c>
    </row>
    <row r="76" customFormat="false" ht="13.8" hidden="false" customHeight="false" outlineLevel="0" collapsed="false">
      <c r="A76" s="33" t="n">
        <v>75</v>
      </c>
      <c r="B76" s="32" t="n">
        <v>45001</v>
      </c>
      <c r="C76" s="33" t="n">
        <v>6782</v>
      </c>
      <c r="D76" s="33" t="n">
        <f aca="false">C76-C75</f>
        <v>-2793</v>
      </c>
      <c r="E76" s="33" t="n">
        <v>294.6</v>
      </c>
      <c r="F76" s="33" t="n">
        <f aca="false">E76-E75</f>
        <v>-133.1</v>
      </c>
      <c r="G76" s="33" t="n">
        <v>4.88</v>
      </c>
      <c r="H76" s="33" t="n">
        <f aca="false">G76-G75</f>
        <v>-2.01</v>
      </c>
      <c r="I76" s="33" t="n">
        <v>64</v>
      </c>
      <c r="J76" s="33" t="n">
        <f aca="false">I76-I75</f>
        <v>-12</v>
      </c>
      <c r="K76" s="1" t="s">
        <v>32</v>
      </c>
      <c r="L76" s="1" t="n">
        <f aca="false">COUNT($C$61:$C$91)</f>
        <v>31</v>
      </c>
      <c r="M76" s="1" t="n">
        <f aca="false">COUNT($E$61:$E$91)</f>
        <v>31</v>
      </c>
      <c r="N76" s="1" t="n">
        <f aca="false">COUNT($G$61:$G$91)</f>
        <v>31</v>
      </c>
      <c r="O76" s="1" t="n">
        <f aca="false">COUNT($I$61:$I$91)</f>
        <v>31</v>
      </c>
    </row>
    <row r="77" customFormat="false" ht="13.8" hidden="false" customHeight="false" outlineLevel="0" collapsed="false">
      <c r="A77" s="1" t="n">
        <v>76</v>
      </c>
      <c r="B77" s="32" t="n">
        <v>45002</v>
      </c>
      <c r="C77" s="33" t="n">
        <v>3310</v>
      </c>
      <c r="D77" s="33" t="n">
        <f aca="false">C77-C76</f>
        <v>-3472</v>
      </c>
      <c r="E77" s="33" t="n">
        <v>148</v>
      </c>
      <c r="F77" s="33" t="n">
        <f aca="false">E77-E76</f>
        <v>-146.6</v>
      </c>
      <c r="G77" s="33" t="n">
        <v>2.38</v>
      </c>
      <c r="H77" s="33" t="n">
        <f aca="false">G77-G76</f>
        <v>-2.5</v>
      </c>
      <c r="I77" s="33" t="n">
        <v>34</v>
      </c>
      <c r="J77" s="33" t="n">
        <f aca="false">I77-I76</f>
        <v>-30</v>
      </c>
    </row>
    <row r="78" customFormat="false" ht="13.8" hidden="false" customHeight="false" outlineLevel="0" collapsed="false">
      <c r="A78" s="33" t="n">
        <v>77</v>
      </c>
      <c r="B78" s="32" t="n">
        <v>45003</v>
      </c>
      <c r="C78" s="33" t="n">
        <v>16844</v>
      </c>
      <c r="D78" s="33" t="n">
        <f aca="false">C78-C77</f>
        <v>13534</v>
      </c>
      <c r="E78" s="33" t="n">
        <v>751</v>
      </c>
      <c r="F78" s="33" t="n">
        <f aca="false">E78-E77</f>
        <v>603</v>
      </c>
      <c r="G78" s="33" t="n">
        <v>12.13</v>
      </c>
      <c r="H78" s="33" t="n">
        <f aca="false">G78-G77</f>
        <v>9.75</v>
      </c>
      <c r="I78" s="33" t="n">
        <v>173</v>
      </c>
      <c r="J78" s="33" t="n">
        <f aca="false">I78-I77</f>
        <v>139</v>
      </c>
    </row>
    <row r="79" customFormat="false" ht="13.8" hidden="false" customHeight="false" outlineLevel="0" collapsed="false">
      <c r="A79" s="1" t="n">
        <v>78</v>
      </c>
      <c r="B79" s="32" t="n">
        <v>45004</v>
      </c>
      <c r="C79" s="33" t="n">
        <v>12249</v>
      </c>
      <c r="D79" s="33" t="n">
        <f aca="false">C79-C78</f>
        <v>-4595</v>
      </c>
      <c r="E79" s="33" t="n">
        <v>536.7</v>
      </c>
      <c r="F79" s="33" t="n">
        <f aca="false">E79-E78</f>
        <v>-214.3</v>
      </c>
      <c r="G79" s="33" t="n">
        <v>8.82</v>
      </c>
      <c r="H79" s="33" t="n">
        <f aca="false">G79-G78</f>
        <v>-3.31</v>
      </c>
      <c r="I79" s="33" t="n">
        <v>106</v>
      </c>
      <c r="J79" s="33" t="n">
        <f aca="false">I79-I78</f>
        <v>-67</v>
      </c>
    </row>
    <row r="80" customFormat="false" ht="13.8" hidden="false" customHeight="false" outlineLevel="0" collapsed="false">
      <c r="A80" s="33" t="n">
        <v>79</v>
      </c>
      <c r="B80" s="32" t="n">
        <v>45005</v>
      </c>
      <c r="C80" s="33" t="n">
        <v>4057</v>
      </c>
      <c r="D80" s="33" t="n">
        <f aca="false">C80-C79</f>
        <v>-8192</v>
      </c>
      <c r="E80" s="33" t="n">
        <v>185.5</v>
      </c>
      <c r="F80" s="33" t="n">
        <f aca="false">E80-E79</f>
        <v>-351.2</v>
      </c>
      <c r="G80" s="33" t="n">
        <v>2.92</v>
      </c>
      <c r="H80" s="33" t="n">
        <f aca="false">G80-G79</f>
        <v>-5.9</v>
      </c>
      <c r="I80" s="33" t="n">
        <v>43</v>
      </c>
      <c r="J80" s="33" t="n">
        <f aca="false">I80-I79</f>
        <v>-63</v>
      </c>
    </row>
    <row r="81" customFormat="false" ht="13.8" hidden="false" customHeight="false" outlineLevel="0" collapsed="false">
      <c r="A81" s="1" t="n">
        <v>80</v>
      </c>
      <c r="B81" s="32" t="n">
        <v>45006</v>
      </c>
      <c r="C81" s="33" t="n">
        <v>3527</v>
      </c>
      <c r="D81" s="33" t="n">
        <f aca="false">C81-C80</f>
        <v>-530</v>
      </c>
      <c r="E81" s="33" t="n">
        <v>159.9</v>
      </c>
      <c r="F81" s="33" t="n">
        <f aca="false">E81-E80</f>
        <v>-25.6</v>
      </c>
      <c r="G81" s="33" t="n">
        <v>2.54</v>
      </c>
      <c r="H81" s="33" t="n">
        <f aca="false">G81-G80</f>
        <v>-0.38</v>
      </c>
      <c r="I81" s="33" t="n">
        <v>38</v>
      </c>
      <c r="J81" s="33" t="n">
        <f aca="false">I81-I80</f>
        <v>-5</v>
      </c>
    </row>
    <row r="82" customFormat="false" ht="13.8" hidden="false" customHeight="false" outlineLevel="0" collapsed="false">
      <c r="A82" s="33" t="n">
        <v>81</v>
      </c>
      <c r="B82" s="32" t="n">
        <v>45007</v>
      </c>
      <c r="C82" s="33" t="n">
        <v>11022</v>
      </c>
      <c r="D82" s="33" t="n">
        <f aca="false">C82-C81</f>
        <v>7495</v>
      </c>
      <c r="E82" s="33" t="n">
        <v>477.5</v>
      </c>
      <c r="F82" s="33" t="n">
        <f aca="false">E82-E81</f>
        <v>317.6</v>
      </c>
      <c r="G82" s="33" t="n">
        <v>7.94</v>
      </c>
      <c r="H82" s="33" t="n">
        <f aca="false">G82-G81</f>
        <v>5.4</v>
      </c>
      <c r="I82" s="33" t="n">
        <v>90</v>
      </c>
      <c r="J82" s="33" t="n">
        <f aca="false">I82-I81</f>
        <v>52</v>
      </c>
    </row>
    <row r="83" customFormat="false" ht="13.8" hidden="false" customHeight="false" outlineLevel="0" collapsed="false">
      <c r="A83" s="1" t="n">
        <v>82</v>
      </c>
      <c r="B83" s="32" t="n">
        <v>45008</v>
      </c>
      <c r="C83" s="33" t="n">
        <v>7753</v>
      </c>
      <c r="D83" s="33" t="n">
        <f aca="false">C83-C82</f>
        <v>-3269</v>
      </c>
      <c r="E83" s="33" t="n">
        <v>337.7</v>
      </c>
      <c r="F83" s="33" t="n">
        <f aca="false">E83-E82</f>
        <v>-139.8</v>
      </c>
      <c r="G83" s="33" t="n">
        <v>5.58</v>
      </c>
      <c r="H83" s="33" t="n">
        <f aca="false">G83-G82</f>
        <v>-2.36</v>
      </c>
      <c r="I83" s="33" t="n">
        <v>71</v>
      </c>
      <c r="J83" s="33" t="n">
        <f aca="false">I83-I82</f>
        <v>-19</v>
      </c>
    </row>
    <row r="84" customFormat="false" ht="13.8" hidden="false" customHeight="false" outlineLevel="0" collapsed="false">
      <c r="A84" s="33" t="n">
        <v>83</v>
      </c>
      <c r="B84" s="32" t="n">
        <v>45009</v>
      </c>
      <c r="C84" s="33" t="n">
        <v>6861</v>
      </c>
      <c r="D84" s="33" t="n">
        <f aca="false">C84-C83</f>
        <v>-892</v>
      </c>
      <c r="E84" s="33" t="n">
        <v>299.3</v>
      </c>
      <c r="F84" s="33" t="n">
        <f aca="false">E84-E83</f>
        <v>-38.4</v>
      </c>
      <c r="G84" s="33" t="n">
        <v>4.94</v>
      </c>
      <c r="H84" s="33" t="n">
        <f aca="false">G84-G83</f>
        <v>-0.64</v>
      </c>
      <c r="I84" s="33" t="n">
        <v>61</v>
      </c>
      <c r="J84" s="33" t="n">
        <f aca="false">I84-I83</f>
        <v>-10</v>
      </c>
    </row>
    <row r="85" customFormat="false" ht="13.8" hidden="false" customHeight="false" outlineLevel="0" collapsed="false">
      <c r="A85" s="1" t="n">
        <v>84</v>
      </c>
      <c r="B85" s="32" t="n">
        <v>45010</v>
      </c>
      <c r="C85" s="33" t="n">
        <v>10271</v>
      </c>
      <c r="D85" s="33" t="n">
        <f aca="false">C85-C84</f>
        <v>3410</v>
      </c>
      <c r="E85" s="33" t="n">
        <v>459.3</v>
      </c>
      <c r="F85" s="33" t="n">
        <f aca="false">E85-E84</f>
        <v>160</v>
      </c>
      <c r="G85" s="33" t="n">
        <v>7.4</v>
      </c>
      <c r="H85" s="33" t="n">
        <f aca="false">G85-G84</f>
        <v>2.46</v>
      </c>
      <c r="I85" s="33" t="n">
        <v>103</v>
      </c>
      <c r="J85" s="33" t="n">
        <f aca="false">I85-I84</f>
        <v>42</v>
      </c>
    </row>
    <row r="86" customFormat="false" ht="13.8" hidden="false" customHeight="false" outlineLevel="0" collapsed="false">
      <c r="A86" s="33" t="n">
        <v>85</v>
      </c>
      <c r="B86" s="32" t="n">
        <v>45011</v>
      </c>
      <c r="C86" s="33" t="n">
        <v>15485</v>
      </c>
      <c r="D86" s="33" t="n">
        <f aca="false">C86-C85</f>
        <v>5214</v>
      </c>
      <c r="E86" s="33" t="n">
        <v>662.4</v>
      </c>
      <c r="F86" s="33" t="n">
        <f aca="false">E86-E85</f>
        <v>203.1</v>
      </c>
      <c r="G86" s="33" t="n">
        <v>11.15</v>
      </c>
      <c r="H86" s="33" t="n">
        <f aca="false">G86-G85</f>
        <v>3.75</v>
      </c>
      <c r="I86" s="33" t="n">
        <v>132</v>
      </c>
      <c r="J86" s="33" t="n">
        <f aca="false">I86-I85</f>
        <v>29</v>
      </c>
    </row>
    <row r="87" customFormat="false" ht="13.8" hidden="false" customHeight="false" outlineLevel="0" collapsed="false">
      <c r="A87" s="1" t="n">
        <v>86</v>
      </c>
      <c r="B87" s="32" t="n">
        <v>45012</v>
      </c>
      <c r="C87" s="33" t="n">
        <v>6345</v>
      </c>
      <c r="D87" s="33" t="n">
        <f aca="false">C87-C86</f>
        <v>-9140</v>
      </c>
      <c r="E87" s="33" t="n">
        <v>277.4</v>
      </c>
      <c r="F87" s="33" t="n">
        <f aca="false">E87-E86</f>
        <v>-385</v>
      </c>
      <c r="G87" s="33" t="n">
        <v>4.57</v>
      </c>
      <c r="H87" s="33" t="n">
        <f aca="false">G87-G86</f>
        <v>-6.58</v>
      </c>
      <c r="I87" s="33" t="n">
        <v>56</v>
      </c>
      <c r="J87" s="33" t="n">
        <f aca="false">I87-I86</f>
        <v>-76</v>
      </c>
    </row>
    <row r="88" customFormat="false" ht="13.8" hidden="false" customHeight="false" outlineLevel="0" collapsed="false">
      <c r="A88" s="33" t="n">
        <v>87</v>
      </c>
      <c r="B88" s="32" t="n">
        <v>45013</v>
      </c>
      <c r="C88" s="33" t="n">
        <v>11308</v>
      </c>
      <c r="D88" s="33" t="n">
        <f aca="false">C88-C87</f>
        <v>4963</v>
      </c>
      <c r="E88" s="33" t="n">
        <v>490.9</v>
      </c>
      <c r="F88" s="33" t="n">
        <f aca="false">E88-E87</f>
        <v>213.5</v>
      </c>
      <c r="G88" s="33" t="n">
        <v>8.14</v>
      </c>
      <c r="H88" s="33" t="n">
        <f aca="false">G88-G87</f>
        <v>3.57</v>
      </c>
      <c r="I88" s="33" t="n">
        <v>101</v>
      </c>
      <c r="J88" s="33" t="n">
        <f aca="false">I88-I87</f>
        <v>45</v>
      </c>
    </row>
    <row r="89" customFormat="false" ht="13.8" hidden="false" customHeight="false" outlineLevel="0" collapsed="false">
      <c r="A89" s="1" t="n">
        <v>88</v>
      </c>
      <c r="B89" s="32" t="n">
        <v>45014</v>
      </c>
      <c r="C89" s="33" t="n">
        <v>6437</v>
      </c>
      <c r="D89" s="33" t="n">
        <f aca="false">C89-C88</f>
        <v>-4871</v>
      </c>
      <c r="E89" s="33" t="n">
        <v>278</v>
      </c>
      <c r="F89" s="33" t="n">
        <f aca="false">E89-E88</f>
        <v>-212.9</v>
      </c>
      <c r="G89" s="33" t="n">
        <v>4.63</v>
      </c>
      <c r="H89" s="33" t="n">
        <f aca="false">G89-G88</f>
        <v>-3.51</v>
      </c>
      <c r="I89" s="33" t="n">
        <v>57</v>
      </c>
      <c r="J89" s="33" t="n">
        <f aca="false">I89-I88</f>
        <v>-44</v>
      </c>
    </row>
    <row r="90" customFormat="false" ht="13.8" hidden="false" customHeight="false" outlineLevel="0" collapsed="false">
      <c r="A90" s="33" t="n">
        <v>89</v>
      </c>
      <c r="B90" s="32" t="n">
        <v>45015</v>
      </c>
      <c r="C90" s="33" t="n">
        <v>9735</v>
      </c>
      <c r="D90" s="33" t="n">
        <f aca="false">C90-C89</f>
        <v>3298</v>
      </c>
      <c r="E90" s="33" t="n">
        <v>419.3</v>
      </c>
      <c r="F90" s="33" t="n">
        <f aca="false">E90-E89</f>
        <v>141.3</v>
      </c>
      <c r="G90" s="33" t="n">
        <v>7.01</v>
      </c>
      <c r="H90" s="33" t="n">
        <f aca="false">G90-G89</f>
        <v>2.38</v>
      </c>
      <c r="I90" s="33" t="n">
        <v>83</v>
      </c>
      <c r="J90" s="33" t="n">
        <f aca="false">I90-I89</f>
        <v>26</v>
      </c>
    </row>
    <row r="91" customFormat="false" ht="13.8" hidden="false" customHeight="false" outlineLevel="0" collapsed="false">
      <c r="A91" s="1" t="n">
        <v>90</v>
      </c>
      <c r="B91" s="32" t="n">
        <v>45016</v>
      </c>
      <c r="C91" s="33" t="n">
        <v>3480</v>
      </c>
      <c r="D91" s="33" t="n">
        <f aca="false">C91-C90</f>
        <v>-6255</v>
      </c>
      <c r="E91" s="33" t="n">
        <v>161</v>
      </c>
      <c r="F91" s="33" t="n">
        <f aca="false">E91-E90</f>
        <v>-258.3</v>
      </c>
      <c r="G91" s="33" t="n">
        <v>2.51</v>
      </c>
      <c r="H91" s="33" t="n">
        <f aca="false">G91-G90</f>
        <v>-4.5</v>
      </c>
      <c r="I91" s="33" t="n">
        <v>38</v>
      </c>
      <c r="J91" s="33" t="n">
        <f aca="false">I91-I90</f>
        <v>-45</v>
      </c>
    </row>
    <row r="92" customFormat="false" ht="13.8" hidden="false" customHeight="false" outlineLevel="0" collapsed="false">
      <c r="A92" s="33" t="n">
        <v>91</v>
      </c>
      <c r="B92" s="32" t="n">
        <v>45017</v>
      </c>
      <c r="C92" s="33" t="n">
        <v>7597</v>
      </c>
      <c r="D92" s="33" t="n">
        <f aca="false">C92-C91</f>
        <v>4117</v>
      </c>
      <c r="E92" s="33" t="n">
        <v>340.8</v>
      </c>
      <c r="F92" s="33" t="n">
        <f aca="false">E92-E91</f>
        <v>179.8</v>
      </c>
      <c r="G92" s="33" t="n">
        <v>5.47</v>
      </c>
      <c r="H92" s="33" t="n">
        <f aca="false">G92-G91</f>
        <v>2.96</v>
      </c>
      <c r="I92" s="33" t="n">
        <v>54</v>
      </c>
      <c r="J92" s="33" t="n">
        <f aca="false">I92-I91</f>
        <v>16</v>
      </c>
      <c r="L92" s="34" t="s">
        <v>2</v>
      </c>
      <c r="M92" s="34" t="s">
        <v>179</v>
      </c>
      <c r="N92" s="34" t="s">
        <v>175</v>
      </c>
      <c r="O92" s="34" t="s">
        <v>177</v>
      </c>
    </row>
    <row r="93" customFormat="false" ht="13.8" hidden="false" customHeight="false" outlineLevel="0" collapsed="false">
      <c r="A93" s="1" t="n">
        <v>92</v>
      </c>
      <c r="B93" s="32" t="n">
        <v>45018</v>
      </c>
      <c r="C93" s="33" t="n">
        <v>8693</v>
      </c>
      <c r="D93" s="33" t="n">
        <f aca="false">C93-C92</f>
        <v>1096</v>
      </c>
      <c r="E93" s="33" t="n">
        <v>387.6</v>
      </c>
      <c r="F93" s="33" t="n">
        <f aca="false">E93-E92</f>
        <v>46.8</v>
      </c>
      <c r="G93" s="33" t="n">
        <v>6.26</v>
      </c>
      <c r="H93" s="33" t="n">
        <f aca="false">G93-G92</f>
        <v>0.79</v>
      </c>
      <c r="I93" s="33" t="n">
        <v>68</v>
      </c>
      <c r="J93" s="33" t="n">
        <f aca="false">I93-I92</f>
        <v>14</v>
      </c>
      <c r="K93" s="1" t="s">
        <v>8</v>
      </c>
      <c r="L93" s="1" t="n">
        <f aca="false">AVERAGE($C$92:$C$121)</f>
        <v>8492.13333333333</v>
      </c>
      <c r="M93" s="1" t="n">
        <f aca="false">AVERAGE($E$92:$E$121)</f>
        <v>378.723333333333</v>
      </c>
      <c r="N93" s="1" t="n">
        <f aca="false">AVERAGE($G$92:$G$121)</f>
        <v>6.11466666666667</v>
      </c>
      <c r="O93" s="1" t="n">
        <f aca="false">AVERAGE($I$92:$I$121)</f>
        <v>74.4</v>
      </c>
    </row>
    <row r="94" customFormat="false" ht="13.8" hidden="false" customHeight="false" outlineLevel="0" collapsed="false">
      <c r="A94" s="33" t="n">
        <v>93</v>
      </c>
      <c r="B94" s="32" t="n">
        <v>45019</v>
      </c>
      <c r="C94" s="33" t="n">
        <v>10039</v>
      </c>
      <c r="D94" s="33" t="n">
        <f aca="false">C94-C93</f>
        <v>1346</v>
      </c>
      <c r="E94" s="33" t="n">
        <v>443.7</v>
      </c>
      <c r="F94" s="33" t="n">
        <f aca="false">E94-E93</f>
        <v>56.1</v>
      </c>
      <c r="G94" s="33" t="n">
        <v>7.23</v>
      </c>
      <c r="H94" s="33" t="n">
        <f aca="false">G94-G93</f>
        <v>0.970000000000001</v>
      </c>
      <c r="I94" s="33" t="n">
        <v>86</v>
      </c>
      <c r="J94" s="33" t="n">
        <f aca="false">I94-I93</f>
        <v>18</v>
      </c>
      <c r="K94" s="1" t="s">
        <v>10</v>
      </c>
      <c r="L94" s="1" t="n">
        <f aca="false">SQRT(VAR($C$92:$C$121)/COUNT($C$92:$C$121))</f>
        <v>709.74976120102</v>
      </c>
      <c r="M94" s="1" t="n">
        <f aca="false">SQRT(VAR($E$92:$E$121)/COUNT($E$92:$E$121))</f>
        <v>31.8136516216217</v>
      </c>
      <c r="N94" s="1" t="n">
        <f aca="false">SQRT(VAR($G$92:$G$121)/COUNT($G$92:$G$121))</f>
        <v>0.510931026078826</v>
      </c>
      <c r="O94" s="1" t="n">
        <f aca="false">SQRT(VAR($I$92:$I$121)/COUNT($I$92:$I$121))</f>
        <v>7.33541245343907</v>
      </c>
    </row>
    <row r="95" customFormat="false" ht="13.8" hidden="false" customHeight="false" outlineLevel="0" collapsed="false">
      <c r="A95" s="1" t="n">
        <v>94</v>
      </c>
      <c r="B95" s="32" t="n">
        <v>45020</v>
      </c>
      <c r="C95" s="33" t="n">
        <v>6169</v>
      </c>
      <c r="D95" s="33" t="n">
        <f aca="false">C95-C94</f>
        <v>-3870</v>
      </c>
      <c r="E95" s="33" t="n">
        <v>270.7</v>
      </c>
      <c r="F95" s="33" t="n">
        <f aca="false">E95-E94</f>
        <v>-173</v>
      </c>
      <c r="G95" s="33" t="n">
        <v>4.44</v>
      </c>
      <c r="H95" s="33" t="n">
        <f aca="false">G95-G94</f>
        <v>-2.79</v>
      </c>
      <c r="I95" s="33" t="n">
        <v>54</v>
      </c>
      <c r="J95" s="33" t="n">
        <f aca="false">I95-I94</f>
        <v>-32</v>
      </c>
      <c r="K95" s="1" t="s">
        <v>14</v>
      </c>
      <c r="L95" s="1" t="e">
        <f aca="false">MODE($C$92:$C$121)</f>
        <v>#VALUE!</v>
      </c>
      <c r="M95" s="1" t="e">
        <f aca="false">MODE($E$92:$E$121)</f>
        <v>#VALUE!</v>
      </c>
      <c r="N95" s="1" t="n">
        <f aca="false">MODE($G$92:$G$121)</f>
        <v>4.65</v>
      </c>
      <c r="O95" s="1" t="n">
        <f aca="false">MODE($I$92:$I$121)</f>
        <v>54</v>
      </c>
    </row>
    <row r="96" customFormat="false" ht="13.8" hidden="false" customHeight="false" outlineLevel="0" collapsed="false">
      <c r="A96" s="33" t="n">
        <v>95</v>
      </c>
      <c r="B96" s="32" t="n">
        <v>45021</v>
      </c>
      <c r="C96" s="33" t="n">
        <v>7831</v>
      </c>
      <c r="D96" s="33" t="n">
        <f aca="false">C96-C95</f>
        <v>1662</v>
      </c>
      <c r="E96" s="33" t="n">
        <v>337.6</v>
      </c>
      <c r="F96" s="33" t="n">
        <f aca="false">E96-E95</f>
        <v>66.9</v>
      </c>
      <c r="G96" s="33" t="n">
        <v>5.64</v>
      </c>
      <c r="H96" s="33" t="n">
        <f aca="false">G96-G95</f>
        <v>1.2</v>
      </c>
      <c r="I96" s="33" t="n">
        <v>66</v>
      </c>
      <c r="J96" s="33" t="n">
        <f aca="false">I96-I95</f>
        <v>12</v>
      </c>
      <c r="K96" s="1" t="s">
        <v>12</v>
      </c>
      <c r="L96" s="1" t="n">
        <f aca="false">MEDIAN($C$92:$C$121)</f>
        <v>7851</v>
      </c>
      <c r="M96" s="1" t="n">
        <f aca="false">MEDIAN($E$92:$E$121)</f>
        <v>342.2</v>
      </c>
      <c r="N96" s="1" t="n">
        <f aca="false">MEDIAN($G$92:$G$121)</f>
        <v>5.655</v>
      </c>
      <c r="O96" s="1" t="n">
        <f aca="false">MEDIAN($I$92:$I$121)</f>
        <v>67</v>
      </c>
    </row>
    <row r="97" customFormat="false" ht="13.8" hidden="false" customHeight="false" outlineLevel="0" collapsed="false">
      <c r="A97" s="1" t="n">
        <v>96</v>
      </c>
      <c r="B97" s="32" t="n">
        <v>45022</v>
      </c>
      <c r="C97" s="33" t="n">
        <v>7439</v>
      </c>
      <c r="D97" s="33" t="n">
        <f aca="false">C97-C96</f>
        <v>-392</v>
      </c>
      <c r="E97" s="33" t="n">
        <v>322.5</v>
      </c>
      <c r="F97" s="33" t="n">
        <f aca="false">E97-E96</f>
        <v>-15.1</v>
      </c>
      <c r="G97" s="33" t="n">
        <v>5.36</v>
      </c>
      <c r="H97" s="33" t="n">
        <f aca="false">G97-G96</f>
        <v>-0.279999999999999</v>
      </c>
      <c r="I97" s="33" t="n">
        <v>62</v>
      </c>
      <c r="J97" s="33" t="n">
        <f aca="false">I97-I96</f>
        <v>-4</v>
      </c>
      <c r="K97" s="1" t="s">
        <v>195</v>
      </c>
      <c r="L97" s="1" t="n">
        <f aca="false">QUARTILE($C$92:$C$121, 1)</f>
        <v>6479.5</v>
      </c>
      <c r="M97" s="1" t="n">
        <f aca="false">QUARTILE($E$92:$E$121, 1)</f>
        <v>284.75</v>
      </c>
      <c r="N97" s="1" t="n">
        <f aca="false">QUARTILE($G$92:$G$121, 1)</f>
        <v>4.6625</v>
      </c>
      <c r="O97" s="1" t="n">
        <f aca="false">QUARTILE($I$92:$I$121, 1)</f>
        <v>55</v>
      </c>
    </row>
    <row r="98" customFormat="false" ht="13.8" hidden="false" customHeight="false" outlineLevel="0" collapsed="false">
      <c r="A98" s="33" t="n">
        <v>97</v>
      </c>
      <c r="B98" s="32" t="n">
        <v>45023</v>
      </c>
      <c r="C98" s="33" t="n">
        <v>5751</v>
      </c>
      <c r="D98" s="33" t="n">
        <f aca="false">C98-C97</f>
        <v>-1688</v>
      </c>
      <c r="E98" s="33" t="n">
        <v>250.4</v>
      </c>
      <c r="F98" s="33" t="n">
        <f aca="false">E98-E97</f>
        <v>-72.1</v>
      </c>
      <c r="G98" s="33" t="n">
        <v>4.14</v>
      </c>
      <c r="H98" s="33" t="n">
        <f aca="false">G98-G97</f>
        <v>-1.22</v>
      </c>
      <c r="I98" s="33" t="n">
        <v>54</v>
      </c>
      <c r="J98" s="33" t="n">
        <f aca="false">I98-I97</f>
        <v>-8</v>
      </c>
      <c r="K98" s="1" t="s">
        <v>181</v>
      </c>
      <c r="L98" s="1" t="n">
        <f aca="false">QUARTILE($C$92:$C$121, 3)</f>
        <v>9787.5</v>
      </c>
      <c r="M98" s="1" t="n">
        <f aca="false">QUARTILE($E$92:$E$121, 3)</f>
        <v>427.375</v>
      </c>
      <c r="N98" s="1" t="n">
        <f aca="false">QUARTILE($G$92:$G$121, 3)</f>
        <v>7.0475</v>
      </c>
      <c r="O98" s="1" t="n">
        <f aca="false">QUARTILE($I$92:$I$121, 3)</f>
        <v>81.75</v>
      </c>
    </row>
    <row r="99" customFormat="false" ht="13.8" hidden="false" customHeight="false" outlineLevel="0" collapsed="false">
      <c r="A99" s="1" t="n">
        <v>98</v>
      </c>
      <c r="B99" s="32" t="n">
        <v>45024</v>
      </c>
      <c r="C99" s="33" t="n">
        <v>10984</v>
      </c>
      <c r="D99" s="33" t="n">
        <f aca="false">C99-C98</f>
        <v>5233</v>
      </c>
      <c r="E99" s="33" t="n">
        <v>481.2</v>
      </c>
      <c r="F99" s="33" t="n">
        <f aca="false">E99-E98</f>
        <v>230.8</v>
      </c>
      <c r="G99" s="33" t="n">
        <v>7.91</v>
      </c>
      <c r="H99" s="33" t="n">
        <f aca="false">G99-G98</f>
        <v>3.77</v>
      </c>
      <c r="I99" s="33" t="n">
        <v>100</v>
      </c>
      <c r="J99" s="33" t="n">
        <f aca="false">I99-I98</f>
        <v>46</v>
      </c>
      <c r="K99" s="1" t="s">
        <v>182</v>
      </c>
      <c r="L99" s="1" t="n">
        <f aca="false">VAR($C$92:$C$121)</f>
        <v>15112341.7057471</v>
      </c>
      <c r="M99" s="1" t="n">
        <f aca="false">VAR($E$92:$E$121)</f>
        <v>30363.2528850575</v>
      </c>
      <c r="N99" s="1" t="n">
        <f aca="false">VAR($G$92:$G$121)</f>
        <v>7.83151540229885</v>
      </c>
      <c r="O99" s="1" t="n">
        <f aca="false">VAR($I$92:$I$121)</f>
        <v>1614.24827586207</v>
      </c>
    </row>
    <row r="100" customFormat="false" ht="13.8" hidden="false" customHeight="false" outlineLevel="0" collapsed="false">
      <c r="A100" s="33" t="n">
        <v>99</v>
      </c>
      <c r="B100" s="32" t="n">
        <v>45025</v>
      </c>
      <c r="C100" s="33" t="n">
        <v>5023</v>
      </c>
      <c r="D100" s="33" t="n">
        <f aca="false">C100-C99</f>
        <v>-5961</v>
      </c>
      <c r="E100" s="33" t="n">
        <v>225.4</v>
      </c>
      <c r="F100" s="33" t="n">
        <f aca="false">E100-E99</f>
        <v>-255.8</v>
      </c>
      <c r="G100" s="33" t="n">
        <v>3.62</v>
      </c>
      <c r="H100" s="33" t="n">
        <f aca="false">G100-G99</f>
        <v>-4.29</v>
      </c>
      <c r="I100" s="33" t="n">
        <v>51</v>
      </c>
      <c r="J100" s="33" t="n">
        <f aca="false">I100-I99</f>
        <v>-49</v>
      </c>
      <c r="K100" s="1" t="s">
        <v>16</v>
      </c>
      <c r="L100" s="1" t="n">
        <f aca="false">STDEV($C$92:$C$121)</f>
        <v>3887.45954393703</v>
      </c>
      <c r="M100" s="1" t="n">
        <f aca="false">STDEV($E$92:$E$121)</f>
        <v>174.25054629773</v>
      </c>
      <c r="N100" s="1" t="n">
        <f aca="false">STDEV($G$92:$G$121)</f>
        <v>2.79848448312633</v>
      </c>
      <c r="O100" s="1" t="n">
        <f aca="false">STDEV($I$92:$I$121)</f>
        <v>40.1777086935289</v>
      </c>
    </row>
    <row r="101" customFormat="false" ht="13.8" hidden="false" customHeight="false" outlineLevel="0" collapsed="false">
      <c r="A101" s="1" t="n">
        <v>100</v>
      </c>
      <c r="B101" s="32" t="n">
        <v>45026</v>
      </c>
      <c r="C101" s="33" t="n">
        <v>9522</v>
      </c>
      <c r="D101" s="33" t="n">
        <f aca="false">C101-C100</f>
        <v>4499</v>
      </c>
      <c r="E101" s="33" t="n">
        <v>419.2</v>
      </c>
      <c r="F101" s="33" t="n">
        <f aca="false">E101-E100</f>
        <v>193.8</v>
      </c>
      <c r="G101" s="33" t="n">
        <v>6.86</v>
      </c>
      <c r="H101" s="33" t="n">
        <f aca="false">G101-G100</f>
        <v>3.24</v>
      </c>
      <c r="I101" s="33" t="n">
        <v>90</v>
      </c>
      <c r="J101" s="33" t="n">
        <f aca="false">I101-I100</f>
        <v>39</v>
      </c>
      <c r="K101" s="1" t="s">
        <v>20</v>
      </c>
      <c r="L101" s="1" t="n">
        <f aca="false">KURT($C$92:$C$121)</f>
        <v>3.9622059439994</v>
      </c>
      <c r="M101" s="1" t="n">
        <f aca="false">KURT($E$92:$E$121)</f>
        <v>4.01502632239665</v>
      </c>
      <c r="N101" s="1" t="n">
        <f aca="false">KURT($G$92:$G$121)</f>
        <v>3.958190109013</v>
      </c>
      <c r="O101" s="1" t="n">
        <f aca="false">KURT($I$92:$I$121)</f>
        <v>6.68683126682169</v>
      </c>
    </row>
    <row r="102" customFormat="false" ht="13.8" hidden="false" customHeight="false" outlineLevel="0" collapsed="false">
      <c r="A102" s="33" t="n">
        <v>101</v>
      </c>
      <c r="B102" s="32" t="n">
        <v>45027</v>
      </c>
      <c r="C102" s="33" t="n">
        <v>7404</v>
      </c>
      <c r="D102" s="33" t="n">
        <f aca="false">C102-C101</f>
        <v>-2118</v>
      </c>
      <c r="E102" s="33" t="n">
        <v>322.7</v>
      </c>
      <c r="F102" s="33" t="n">
        <f aca="false">E102-E101</f>
        <v>-96.5</v>
      </c>
      <c r="G102" s="33" t="n">
        <v>5.33</v>
      </c>
      <c r="H102" s="33" t="n">
        <f aca="false">G102-G101</f>
        <v>-1.53</v>
      </c>
      <c r="I102" s="33" t="n">
        <v>68</v>
      </c>
      <c r="J102" s="33" t="n">
        <f aca="false">I102-I101</f>
        <v>-22</v>
      </c>
      <c r="K102" s="1" t="s">
        <v>22</v>
      </c>
      <c r="L102" s="1" t="n">
        <f aca="false">SKEW($C$92:$C$121)</f>
        <v>1.32868053145031</v>
      </c>
      <c r="M102" s="1" t="n">
        <f aca="false">SKEW($E$92:$E$121)</f>
        <v>1.37230073098674</v>
      </c>
      <c r="N102" s="1" t="n">
        <f aca="false">SKEW($G$92:$G$121)</f>
        <v>1.32699981987437</v>
      </c>
      <c r="O102" s="1" t="n">
        <f aca="false">SKEW($I$92:$I$121)</f>
        <v>2.26764856566144</v>
      </c>
    </row>
    <row r="103" customFormat="false" ht="13.8" hidden="false" customHeight="false" outlineLevel="0" collapsed="false">
      <c r="A103" s="1" t="n">
        <v>102</v>
      </c>
      <c r="B103" s="32" t="n">
        <v>45028</v>
      </c>
      <c r="C103" s="33" t="n">
        <v>7143</v>
      </c>
      <c r="D103" s="33" t="n">
        <f aca="false">C103-C102</f>
        <v>-261</v>
      </c>
      <c r="E103" s="33" t="n">
        <v>343.1</v>
      </c>
      <c r="F103" s="33" t="n">
        <f aca="false">E103-E102</f>
        <v>20.4</v>
      </c>
      <c r="G103" s="33" t="n">
        <v>5.14</v>
      </c>
      <c r="H103" s="33" t="n">
        <f aca="false">G103-G102</f>
        <v>-0.19</v>
      </c>
      <c r="I103" s="33" t="n">
        <v>54</v>
      </c>
      <c r="J103" s="33" t="n">
        <f aca="false">I103-I102</f>
        <v>-14</v>
      </c>
      <c r="K103" s="1" t="s">
        <v>24</v>
      </c>
      <c r="L103" s="1" t="n">
        <f aca="false">MAX($C$92:$C$121)-MIN($C$92:$C$121)</f>
        <v>19838</v>
      </c>
      <c r="M103" s="1" t="n">
        <f aca="false">MAX($E$92:$E$121)-MIN($E$92:$E$121)</f>
        <v>896.9</v>
      </c>
      <c r="N103" s="1" t="n">
        <f aca="false">MAX($G$92:$G$121)-MIN($G$92:$G$121)</f>
        <v>14.28</v>
      </c>
      <c r="O103" s="1" t="n">
        <f aca="false">MAX($I$92:$I$121)-MIN($I$92:$I$121)</f>
        <v>209</v>
      </c>
    </row>
    <row r="104" customFormat="false" ht="13.8" hidden="false" customHeight="false" outlineLevel="0" collapsed="false">
      <c r="A104" s="33" t="n">
        <v>103</v>
      </c>
      <c r="B104" s="32" t="n">
        <v>45029</v>
      </c>
      <c r="C104" s="33" t="n">
        <v>12103</v>
      </c>
      <c r="D104" s="33" t="n">
        <f aca="false">C104-C103</f>
        <v>4960</v>
      </c>
      <c r="E104" s="33" t="n">
        <v>519.1</v>
      </c>
      <c r="F104" s="33" t="n">
        <f aca="false">E104-E103</f>
        <v>176</v>
      </c>
      <c r="G104" s="33" t="n">
        <v>8.71</v>
      </c>
      <c r="H104" s="33" t="n">
        <f aca="false">G104-G103</f>
        <v>3.57</v>
      </c>
      <c r="I104" s="33" t="n">
        <v>104</v>
      </c>
      <c r="J104" s="33" t="n">
        <f aca="false">I104-I103</f>
        <v>50</v>
      </c>
      <c r="K104" s="1" t="s">
        <v>26</v>
      </c>
      <c r="L104" s="1" t="n">
        <f aca="false">MIN($C$92:$C$121)</f>
        <v>611</v>
      </c>
      <c r="M104" s="1" t="n">
        <f aca="false">MIN($E$92:$E$121)</f>
        <v>28.6</v>
      </c>
      <c r="N104" s="1" t="n">
        <f aca="false">MIN($G$92:$G$121)</f>
        <v>0.44</v>
      </c>
      <c r="O104" s="1" t="n">
        <f aca="false">MIN($I$92:$I$121)</f>
        <v>7</v>
      </c>
    </row>
    <row r="105" customFormat="false" ht="13.8" hidden="false" customHeight="false" outlineLevel="0" collapsed="false">
      <c r="A105" s="1" t="n">
        <v>104</v>
      </c>
      <c r="B105" s="32" t="n">
        <v>45030</v>
      </c>
      <c r="C105" s="33" t="n">
        <v>10290</v>
      </c>
      <c r="D105" s="33" t="n">
        <f aca="false">C105-C104</f>
        <v>-1813</v>
      </c>
      <c r="E105" s="33" t="n">
        <v>451.6</v>
      </c>
      <c r="F105" s="33" t="n">
        <f aca="false">E105-E104</f>
        <v>-67.5</v>
      </c>
      <c r="G105" s="33" t="n">
        <v>7.41</v>
      </c>
      <c r="H105" s="33" t="n">
        <f aca="false">G105-G104</f>
        <v>-1.3</v>
      </c>
      <c r="I105" s="33" t="n">
        <v>88</v>
      </c>
      <c r="J105" s="33" t="n">
        <f aca="false">I105-I104</f>
        <v>-16</v>
      </c>
      <c r="K105" s="1" t="s">
        <v>28</v>
      </c>
      <c r="L105" s="1" t="n">
        <f aca="false">MAX($C$92:$C$121)</f>
        <v>20449</v>
      </c>
      <c r="M105" s="1" t="n">
        <f aca="false">MAX($E$92:$E$121)</f>
        <v>925.5</v>
      </c>
      <c r="N105" s="1" t="n">
        <f aca="false">MAX($G$92:$G$121)</f>
        <v>14.72</v>
      </c>
      <c r="O105" s="1" t="n">
        <f aca="false">MAX($I$92:$I$121)</f>
        <v>216</v>
      </c>
    </row>
    <row r="106" customFormat="false" ht="13.8" hidden="false" customHeight="false" outlineLevel="0" collapsed="false">
      <c r="A106" s="33" t="n">
        <v>105</v>
      </c>
      <c r="B106" s="32" t="n">
        <v>45031</v>
      </c>
      <c r="C106" s="33" t="n">
        <v>9299</v>
      </c>
      <c r="D106" s="33" t="n">
        <f aca="false">C106-C105</f>
        <v>-991</v>
      </c>
      <c r="E106" s="33" t="n">
        <v>500</v>
      </c>
      <c r="F106" s="33" t="n">
        <f aca="false">E106-E105</f>
        <v>48.4</v>
      </c>
      <c r="G106" s="33" t="n">
        <v>6.7</v>
      </c>
      <c r="H106" s="33" t="n">
        <f aca="false">G106-G105</f>
        <v>-0.71</v>
      </c>
      <c r="I106" s="33" t="n">
        <v>52</v>
      </c>
      <c r="J106" s="33" t="n">
        <f aca="false">I106-I105</f>
        <v>-36</v>
      </c>
      <c r="K106" s="1" t="s">
        <v>30</v>
      </c>
      <c r="L106" s="1" t="n">
        <f aca="false">SUM($C$92:$C$121)</f>
        <v>254764</v>
      </c>
      <c r="M106" s="1" t="n">
        <f aca="false">SUM($E$92:$E$121)</f>
        <v>11361.7</v>
      </c>
      <c r="N106" s="1" t="n">
        <f aca="false">SUM($G$92:$G$121)</f>
        <v>183.44</v>
      </c>
      <c r="O106" s="1" t="n">
        <f aca="false">SUM($I$92:$I$121)</f>
        <v>2232</v>
      </c>
    </row>
    <row r="107" customFormat="false" ht="13.8" hidden="false" customHeight="false" outlineLevel="0" collapsed="false">
      <c r="A107" s="1" t="n">
        <v>106</v>
      </c>
      <c r="B107" s="32" t="n">
        <v>45032</v>
      </c>
      <c r="C107" s="33" t="n">
        <v>611</v>
      </c>
      <c r="D107" s="33" t="n">
        <f aca="false">C107-C106</f>
        <v>-8688</v>
      </c>
      <c r="E107" s="33" t="n">
        <v>28.6</v>
      </c>
      <c r="F107" s="33" t="n">
        <f aca="false">E107-E106</f>
        <v>-471.4</v>
      </c>
      <c r="G107" s="33" t="n">
        <v>0.44</v>
      </c>
      <c r="H107" s="33" t="n">
        <f aca="false">G107-G106</f>
        <v>-6.26</v>
      </c>
      <c r="I107" s="33" t="n">
        <v>7</v>
      </c>
      <c r="J107" s="33" t="n">
        <f aca="false">I107-I106</f>
        <v>-45</v>
      </c>
      <c r="K107" s="1" t="s">
        <v>32</v>
      </c>
      <c r="L107" s="1" t="n">
        <f aca="false">COUNT($C$92:$C$121)</f>
        <v>30</v>
      </c>
      <c r="M107" s="1" t="n">
        <f aca="false">COUNT($E$92:$E$121)</f>
        <v>30</v>
      </c>
      <c r="N107" s="1" t="n">
        <f aca="false">COUNT($G$92:$G$121)</f>
        <v>30</v>
      </c>
      <c r="O107" s="1" t="n">
        <f aca="false">COUNT($I$92:$I$121)</f>
        <v>30</v>
      </c>
    </row>
    <row r="108" customFormat="false" ht="13.8" hidden="false" customHeight="false" outlineLevel="0" collapsed="false">
      <c r="A108" s="33" t="n">
        <v>107</v>
      </c>
      <c r="B108" s="32" t="n">
        <v>45033</v>
      </c>
      <c r="C108" s="33" t="n">
        <v>6458</v>
      </c>
      <c r="D108" s="33" t="n">
        <f aca="false">C108-C107</f>
        <v>5847</v>
      </c>
      <c r="E108" s="33" t="n">
        <v>279.4</v>
      </c>
      <c r="F108" s="33" t="n">
        <f aca="false">E108-E107</f>
        <v>250.8</v>
      </c>
      <c r="G108" s="33" t="n">
        <v>4.65</v>
      </c>
      <c r="H108" s="33" t="n">
        <f aca="false">G108-G107</f>
        <v>4.21</v>
      </c>
      <c r="I108" s="33" t="n">
        <v>60</v>
      </c>
      <c r="J108" s="33" t="n">
        <f aca="false">I108-I107</f>
        <v>53</v>
      </c>
    </row>
    <row r="109" customFormat="false" ht="13.8" hidden="false" customHeight="false" outlineLevel="0" collapsed="false">
      <c r="A109" s="1" t="n">
        <v>108</v>
      </c>
      <c r="B109" s="32" t="n">
        <v>45034</v>
      </c>
      <c r="C109" s="33" t="n">
        <v>9876</v>
      </c>
      <c r="D109" s="33" t="n">
        <f aca="false">C109-C108</f>
        <v>3418</v>
      </c>
      <c r="E109" s="33" t="n">
        <v>428.9</v>
      </c>
      <c r="F109" s="33" t="n">
        <f aca="false">E109-E108</f>
        <v>149.5</v>
      </c>
      <c r="G109" s="33" t="n">
        <v>7.11</v>
      </c>
      <c r="H109" s="33" t="n">
        <f aca="false">G109-G108</f>
        <v>2.46</v>
      </c>
      <c r="I109" s="33" t="n">
        <v>83</v>
      </c>
      <c r="J109" s="33" t="n">
        <f aca="false">I109-I108</f>
        <v>23</v>
      </c>
    </row>
    <row r="110" customFormat="false" ht="13.8" hidden="false" customHeight="false" outlineLevel="0" collapsed="false">
      <c r="A110" s="33" t="n">
        <v>109</v>
      </c>
      <c r="B110" s="32" t="n">
        <v>45035</v>
      </c>
      <c r="C110" s="33" t="n">
        <v>7793</v>
      </c>
      <c r="D110" s="33" t="n">
        <f aca="false">C110-C109</f>
        <v>-2083</v>
      </c>
      <c r="E110" s="33" t="n">
        <v>340.2</v>
      </c>
      <c r="F110" s="33" t="n">
        <f aca="false">E110-E109</f>
        <v>-88.7</v>
      </c>
      <c r="G110" s="33" t="n">
        <v>5.61</v>
      </c>
      <c r="H110" s="33" t="n">
        <f aca="false">G110-G109</f>
        <v>-1.5</v>
      </c>
      <c r="I110" s="33" t="n">
        <v>58</v>
      </c>
      <c r="J110" s="33" t="n">
        <f aca="false">I110-I109</f>
        <v>-25</v>
      </c>
    </row>
    <row r="111" customFormat="false" ht="13.8" hidden="false" customHeight="false" outlineLevel="0" collapsed="false">
      <c r="A111" s="1" t="n">
        <v>110</v>
      </c>
      <c r="B111" s="32" t="n">
        <v>45036</v>
      </c>
      <c r="C111" s="33" t="n">
        <v>6462</v>
      </c>
      <c r="D111" s="33" t="n">
        <f aca="false">C111-C110</f>
        <v>-1331</v>
      </c>
      <c r="E111" s="33" t="n">
        <v>281.5</v>
      </c>
      <c r="F111" s="33" t="n">
        <f aca="false">E111-E110</f>
        <v>-58.7</v>
      </c>
      <c r="G111" s="33" t="n">
        <v>4.65</v>
      </c>
      <c r="H111" s="33" t="n">
        <f aca="false">G111-G110</f>
        <v>-0.96</v>
      </c>
      <c r="I111" s="33" t="n">
        <v>62</v>
      </c>
      <c r="J111" s="33" t="n">
        <f aca="false">I111-I110</f>
        <v>4</v>
      </c>
    </row>
    <row r="112" customFormat="false" ht="13.8" hidden="false" customHeight="false" outlineLevel="0" collapsed="false">
      <c r="A112" s="33" t="n">
        <v>111</v>
      </c>
      <c r="B112" s="32" t="n">
        <v>45037</v>
      </c>
      <c r="C112" s="33" t="n">
        <v>8875</v>
      </c>
      <c r="D112" s="33" t="n">
        <f aca="false">C112-C111</f>
        <v>2413</v>
      </c>
      <c r="E112" s="33" t="n">
        <v>384.7</v>
      </c>
      <c r="F112" s="33" t="n">
        <f aca="false">E112-E111</f>
        <v>103.2</v>
      </c>
      <c r="G112" s="33" t="n">
        <v>6.39</v>
      </c>
      <c r="H112" s="33" t="n">
        <f aca="false">G112-G111</f>
        <v>1.74</v>
      </c>
      <c r="I112" s="33" t="n">
        <v>68</v>
      </c>
      <c r="J112" s="33" t="n">
        <f aca="false">I112-I111</f>
        <v>6</v>
      </c>
    </row>
    <row r="113" customFormat="false" ht="13.8" hidden="false" customHeight="false" outlineLevel="0" collapsed="false">
      <c r="A113" s="1" t="n">
        <v>112</v>
      </c>
      <c r="B113" s="32" t="n">
        <v>45038</v>
      </c>
      <c r="C113" s="33" t="n">
        <v>20449</v>
      </c>
      <c r="D113" s="33" t="n">
        <f aca="false">C113-C112</f>
        <v>11574</v>
      </c>
      <c r="E113" s="33" t="n">
        <v>925.5</v>
      </c>
      <c r="F113" s="33" t="n">
        <f aca="false">E113-E112</f>
        <v>540.8</v>
      </c>
      <c r="G113" s="33" t="n">
        <v>14.72</v>
      </c>
      <c r="H113" s="33" t="n">
        <f aca="false">G113-G112</f>
        <v>8.33</v>
      </c>
      <c r="I113" s="33" t="n">
        <v>216</v>
      </c>
      <c r="J113" s="33" t="n">
        <f aca="false">I113-I112</f>
        <v>148</v>
      </c>
    </row>
    <row r="114" customFormat="false" ht="13.8" hidden="false" customHeight="false" outlineLevel="0" collapsed="false">
      <c r="A114" s="33" t="n">
        <v>113</v>
      </c>
      <c r="B114" s="32" t="n">
        <v>45039</v>
      </c>
      <c r="C114" s="33" t="n">
        <v>8674</v>
      </c>
      <c r="D114" s="33" t="n">
        <f aca="false">C114-C113</f>
        <v>-11775</v>
      </c>
      <c r="E114" s="33" t="n">
        <v>422.3</v>
      </c>
      <c r="F114" s="33" t="n">
        <f aca="false">E114-E113</f>
        <v>-503.2</v>
      </c>
      <c r="G114" s="33" t="n">
        <v>6.25</v>
      </c>
      <c r="H114" s="33" t="n">
        <f aca="false">G114-G113</f>
        <v>-8.47</v>
      </c>
      <c r="I114" s="33" t="n">
        <v>62</v>
      </c>
      <c r="J114" s="33" t="n">
        <f aca="false">I114-I113</f>
        <v>-154</v>
      </c>
    </row>
    <row r="115" customFormat="false" ht="13.8" hidden="false" customHeight="false" outlineLevel="0" collapsed="false">
      <c r="A115" s="1" t="n">
        <v>114</v>
      </c>
      <c r="B115" s="32" t="n">
        <v>45040</v>
      </c>
      <c r="C115" s="33" t="n">
        <v>6290</v>
      </c>
      <c r="D115" s="33" t="n">
        <f aca="false">C115-C114</f>
        <v>-2384</v>
      </c>
      <c r="E115" s="33" t="n">
        <v>276</v>
      </c>
      <c r="F115" s="33" t="n">
        <f aca="false">E115-E114</f>
        <v>-146.3</v>
      </c>
      <c r="G115" s="33" t="n">
        <v>4.53</v>
      </c>
      <c r="H115" s="33" t="n">
        <f aca="false">G115-G114</f>
        <v>-1.72</v>
      </c>
      <c r="I115" s="33" t="n">
        <v>61</v>
      </c>
      <c r="J115" s="33" t="n">
        <f aca="false">I115-I114</f>
        <v>-1</v>
      </c>
    </row>
    <row r="116" customFormat="false" ht="13.8" hidden="false" customHeight="false" outlineLevel="0" collapsed="false">
      <c r="A116" s="33" t="n">
        <v>115</v>
      </c>
      <c r="B116" s="32" t="n">
        <v>45041</v>
      </c>
      <c r="C116" s="33" t="n">
        <v>7871</v>
      </c>
      <c r="D116" s="33" t="n">
        <f aca="false">C116-C115</f>
        <v>1581</v>
      </c>
      <c r="E116" s="33" t="n">
        <v>341.3</v>
      </c>
      <c r="F116" s="33" t="n">
        <f aca="false">E116-E115</f>
        <v>65.3</v>
      </c>
      <c r="G116" s="33" t="n">
        <v>5.67</v>
      </c>
      <c r="H116" s="33" t="n">
        <f aca="false">G116-G115</f>
        <v>1.14</v>
      </c>
      <c r="I116" s="33" t="n">
        <v>72</v>
      </c>
      <c r="J116" s="33" t="n">
        <f aca="false">I116-I115</f>
        <v>11</v>
      </c>
    </row>
    <row r="117" customFormat="false" ht="13.8" hidden="false" customHeight="false" outlineLevel="0" collapsed="false">
      <c r="A117" s="1" t="n">
        <v>116</v>
      </c>
      <c r="B117" s="32" t="n">
        <v>45042</v>
      </c>
      <c r="C117" s="33" t="n">
        <v>6532</v>
      </c>
      <c r="D117" s="33" t="n">
        <f aca="false">C117-C116</f>
        <v>-1339</v>
      </c>
      <c r="E117" s="33" t="n">
        <v>294.5</v>
      </c>
      <c r="F117" s="33" t="n">
        <f aca="false">E117-E116</f>
        <v>-46.8</v>
      </c>
      <c r="G117" s="33" t="n">
        <v>4.7</v>
      </c>
      <c r="H117" s="33" t="n">
        <f aca="false">G117-G116</f>
        <v>-0.97</v>
      </c>
      <c r="I117" s="33" t="n">
        <v>68</v>
      </c>
      <c r="J117" s="33" t="n">
        <f aca="false">I117-I116</f>
        <v>-4</v>
      </c>
    </row>
    <row r="118" customFormat="false" ht="13.8" hidden="false" customHeight="false" outlineLevel="0" collapsed="false">
      <c r="A118" s="33" t="n">
        <v>117</v>
      </c>
      <c r="B118" s="32" t="n">
        <v>45043</v>
      </c>
      <c r="C118" s="33" t="n">
        <v>8552</v>
      </c>
      <c r="D118" s="33" t="n">
        <f aca="false">C118-C117</f>
        <v>2020</v>
      </c>
      <c r="E118" s="33" t="n">
        <v>372.7</v>
      </c>
      <c r="F118" s="33" t="n">
        <f aca="false">E118-E117</f>
        <v>78.2</v>
      </c>
      <c r="G118" s="33" t="n">
        <v>6.16</v>
      </c>
      <c r="H118" s="33" t="n">
        <f aca="false">G118-G117</f>
        <v>1.46</v>
      </c>
      <c r="I118" s="33" t="n">
        <v>69</v>
      </c>
      <c r="J118" s="33" t="n">
        <f aca="false">I118-I117</f>
        <v>1</v>
      </c>
    </row>
    <row r="119" customFormat="false" ht="13.8" hidden="false" customHeight="false" outlineLevel="0" collapsed="false">
      <c r="A119" s="1" t="n">
        <v>118</v>
      </c>
      <c r="B119" s="32" t="n">
        <v>45044</v>
      </c>
      <c r="C119" s="33" t="n">
        <v>9877</v>
      </c>
      <c r="D119" s="33" t="n">
        <f aca="false">C119-C118</f>
        <v>1325</v>
      </c>
      <c r="E119" s="33" t="n">
        <v>422.8</v>
      </c>
      <c r="F119" s="33" t="n">
        <f aca="false">E119-E118</f>
        <v>50.1</v>
      </c>
      <c r="G119" s="33" t="n">
        <v>7.11</v>
      </c>
      <c r="H119" s="33" t="n">
        <f aca="false">G119-G118</f>
        <v>0.95</v>
      </c>
      <c r="I119" s="33" t="n">
        <v>78</v>
      </c>
      <c r="J119" s="33" t="n">
        <f aca="false">I119-I118</f>
        <v>9</v>
      </c>
    </row>
    <row r="120" customFormat="false" ht="13.8" hidden="false" customHeight="false" outlineLevel="0" collapsed="false">
      <c r="A120" s="33" t="n">
        <v>119</v>
      </c>
      <c r="B120" s="32" t="n">
        <v>45045</v>
      </c>
      <c r="C120" s="33" t="n">
        <v>19114</v>
      </c>
      <c r="D120" s="33" t="n">
        <f aca="false">C120-C119</f>
        <v>9237</v>
      </c>
      <c r="E120" s="33" t="n">
        <v>845.4</v>
      </c>
      <c r="F120" s="33" t="n">
        <f aca="false">E120-E119</f>
        <v>422.6</v>
      </c>
      <c r="G120" s="33" t="n">
        <v>13.76</v>
      </c>
      <c r="H120" s="33" t="n">
        <f aca="false">G120-G119</f>
        <v>6.65</v>
      </c>
      <c r="I120" s="33" t="n">
        <v>191</v>
      </c>
      <c r="J120" s="33" t="n">
        <f aca="false">I120-I119</f>
        <v>113</v>
      </c>
    </row>
    <row r="121" customFormat="false" ht="13.8" hidden="false" customHeight="false" outlineLevel="0" collapsed="false">
      <c r="A121" s="1" t="n">
        <v>120</v>
      </c>
      <c r="B121" s="32" t="n">
        <v>45046</v>
      </c>
      <c r="C121" s="33" t="n">
        <v>2043</v>
      </c>
      <c r="D121" s="33" t="n">
        <f aca="false">C121-C120</f>
        <v>-17071</v>
      </c>
      <c r="E121" s="33" t="n">
        <v>102.3</v>
      </c>
      <c r="F121" s="33" t="n">
        <f aca="false">E121-E120</f>
        <v>-743.1</v>
      </c>
      <c r="G121" s="33" t="n">
        <v>1.47</v>
      </c>
      <c r="H121" s="33" t="n">
        <f aca="false">G121-G120</f>
        <v>-12.29</v>
      </c>
      <c r="I121" s="33" t="n">
        <v>26</v>
      </c>
      <c r="J121" s="33" t="n">
        <f aca="false">I121-I120</f>
        <v>-165</v>
      </c>
    </row>
    <row r="122" customFormat="false" ht="13.8" hidden="false" customHeight="false" outlineLevel="0" collapsed="false">
      <c r="A122" s="33" t="n">
        <v>121</v>
      </c>
      <c r="B122" s="32" t="n">
        <v>45047</v>
      </c>
      <c r="C122" s="33" t="n">
        <v>9822</v>
      </c>
      <c r="D122" s="33" t="n">
        <f aca="false">C122-C121</f>
        <v>7779</v>
      </c>
      <c r="E122" s="33" t="n">
        <v>428.2</v>
      </c>
      <c r="F122" s="33" t="n">
        <f aca="false">E122-E121</f>
        <v>325.9</v>
      </c>
      <c r="G122" s="33" t="n">
        <v>7.07</v>
      </c>
      <c r="H122" s="33" t="n">
        <f aca="false">G122-G121</f>
        <v>5.6</v>
      </c>
      <c r="I122" s="33" t="n">
        <v>87</v>
      </c>
      <c r="J122" s="33" t="n">
        <f aca="false">I122-I121</f>
        <v>61</v>
      </c>
      <c r="L122" s="34" t="s">
        <v>2</v>
      </c>
      <c r="M122" s="34" t="s">
        <v>179</v>
      </c>
      <c r="N122" s="34" t="s">
        <v>175</v>
      </c>
      <c r="O122" s="34" t="s">
        <v>177</v>
      </c>
    </row>
    <row r="123" customFormat="false" ht="13.8" hidden="false" customHeight="false" outlineLevel="0" collapsed="false">
      <c r="A123" s="1" t="n">
        <v>122</v>
      </c>
      <c r="B123" s="32" t="n">
        <v>45048</v>
      </c>
      <c r="C123" s="33" t="n">
        <v>5717</v>
      </c>
      <c r="D123" s="33" t="n">
        <f aca="false">C123-C122</f>
        <v>-4105</v>
      </c>
      <c r="E123" s="33" t="n">
        <v>249.7</v>
      </c>
      <c r="F123" s="33" t="n">
        <f aca="false">E123-E122</f>
        <v>-178.5</v>
      </c>
      <c r="G123" s="33" t="n">
        <v>4.12</v>
      </c>
      <c r="H123" s="33" t="n">
        <f aca="false">G123-G122</f>
        <v>-2.95</v>
      </c>
      <c r="I123" s="33" t="n">
        <v>54</v>
      </c>
      <c r="J123" s="33" t="n">
        <f aca="false">I123-I122</f>
        <v>-33</v>
      </c>
      <c r="K123" s="1" t="s">
        <v>8</v>
      </c>
      <c r="L123" s="1" t="n">
        <f aca="false">AVERAGE($C$122:$C$152)</f>
        <v>8767.45161290323</v>
      </c>
      <c r="M123" s="1" t="n">
        <f aca="false">AVERAGE($E$122:$E$152)</f>
        <v>385.948387096774</v>
      </c>
      <c r="N123" s="1" t="n">
        <f aca="false">AVERAGE($G$122:$G$152)</f>
        <v>6.31258064516129</v>
      </c>
      <c r="O123" s="1" t="n">
        <f aca="false">AVERAGE($I$122:$I$152)</f>
        <v>75.5806451612903</v>
      </c>
    </row>
    <row r="124" customFormat="false" ht="13.8" hidden="false" customHeight="false" outlineLevel="0" collapsed="false">
      <c r="A124" s="33" t="n">
        <v>123</v>
      </c>
      <c r="B124" s="32" t="n">
        <v>45049</v>
      </c>
      <c r="C124" s="33" t="n">
        <v>11644</v>
      </c>
      <c r="D124" s="33" t="n">
        <f aca="false">C124-C123</f>
        <v>5927</v>
      </c>
      <c r="E124" s="33" t="n">
        <v>553.3</v>
      </c>
      <c r="F124" s="33" t="n">
        <f aca="false">E124-E123</f>
        <v>303.6</v>
      </c>
      <c r="G124" s="33" t="n">
        <v>8.38</v>
      </c>
      <c r="H124" s="33" t="n">
        <f aca="false">G124-G123</f>
        <v>4.26</v>
      </c>
      <c r="I124" s="33" t="n">
        <v>78</v>
      </c>
      <c r="J124" s="33" t="n">
        <f aca="false">I124-I123</f>
        <v>24</v>
      </c>
      <c r="K124" s="1" t="s">
        <v>10</v>
      </c>
      <c r="L124" s="1" t="n">
        <f aca="false">SQRT(VAR($C$122:$C$152)/COUNT($C$122:$C$152))</f>
        <v>682.963066490988</v>
      </c>
      <c r="M124" s="1" t="n">
        <f aca="false">SQRT(VAR($E$122:$E$152)/COUNT($E$122:$E$152))</f>
        <v>30.3089943252834</v>
      </c>
      <c r="N124" s="1" t="n">
        <f aca="false">SQRT(VAR($G$122:$G$152)/COUNT($G$122:$G$152))</f>
        <v>0.491818212709843</v>
      </c>
      <c r="O124" s="1" t="n">
        <f aca="false">SQRT(VAR($I$122:$I$152)/COUNT($I$122:$I$152))</f>
        <v>5.69111251923169</v>
      </c>
    </row>
    <row r="125" customFormat="false" ht="13.8" hidden="false" customHeight="false" outlineLevel="0" collapsed="false">
      <c r="A125" s="1" t="n">
        <v>124</v>
      </c>
      <c r="B125" s="32" t="n">
        <v>45050</v>
      </c>
      <c r="C125" s="33" t="n">
        <v>6778</v>
      </c>
      <c r="D125" s="33" t="n">
        <f aca="false">C125-C124</f>
        <v>-4866</v>
      </c>
      <c r="E125" s="33" t="n">
        <v>300.4</v>
      </c>
      <c r="F125" s="33" t="n">
        <f aca="false">E125-E124</f>
        <v>-252.9</v>
      </c>
      <c r="G125" s="33" t="n">
        <v>4.88</v>
      </c>
      <c r="H125" s="33" t="n">
        <f aca="false">G125-G124</f>
        <v>-3.5</v>
      </c>
      <c r="I125" s="33" t="n">
        <v>68</v>
      </c>
      <c r="J125" s="33" t="n">
        <f aca="false">I125-I124</f>
        <v>-10</v>
      </c>
      <c r="K125" s="1" t="s">
        <v>14</v>
      </c>
      <c r="L125" s="1" t="e">
        <f aca="false">MODE($C$122:$C$152)</f>
        <v>#VALUE!</v>
      </c>
      <c r="M125" s="1" t="e">
        <f aca="false">MODE($E$122:$E$152)</f>
        <v>#VALUE!</v>
      </c>
      <c r="N125" s="1" t="n">
        <f aca="false">MODE($G$122:$G$152)</f>
        <v>4.41</v>
      </c>
      <c r="O125" s="1" t="n">
        <f aca="false">MODE($I$122:$I$152)</f>
        <v>57</v>
      </c>
    </row>
    <row r="126" customFormat="false" ht="13.8" hidden="false" customHeight="false" outlineLevel="0" collapsed="false">
      <c r="A126" s="33" t="n">
        <v>125</v>
      </c>
      <c r="B126" s="32" t="n">
        <v>45051</v>
      </c>
      <c r="C126" s="33" t="n">
        <v>7249</v>
      </c>
      <c r="D126" s="33" t="n">
        <f aca="false">C126-C125</f>
        <v>471</v>
      </c>
      <c r="E126" s="33" t="n">
        <v>313.2</v>
      </c>
      <c r="F126" s="33" t="n">
        <f aca="false">E126-E125</f>
        <v>12.8</v>
      </c>
      <c r="G126" s="33" t="n">
        <v>5.22</v>
      </c>
      <c r="H126" s="33" t="n">
        <f aca="false">G126-G125</f>
        <v>0.34</v>
      </c>
      <c r="I126" s="33" t="n">
        <v>65</v>
      </c>
      <c r="J126" s="33" t="n">
        <f aca="false">I126-I125</f>
        <v>-3</v>
      </c>
      <c r="K126" s="1" t="s">
        <v>12</v>
      </c>
      <c r="L126" s="1" t="n">
        <f aca="false">MEDIAN($C$122:$C$152)</f>
        <v>8023</v>
      </c>
      <c r="M126" s="1" t="n">
        <f aca="false">MEDIAN($E$122:$E$152)</f>
        <v>356.8</v>
      </c>
      <c r="N126" s="1" t="n">
        <f aca="false">MEDIAN($G$122:$G$152)</f>
        <v>5.78</v>
      </c>
      <c r="O126" s="1" t="n">
        <f aca="false">MEDIAN($I$122:$I$152)</f>
        <v>76</v>
      </c>
    </row>
    <row r="127" customFormat="false" ht="13.8" hidden="false" customHeight="false" outlineLevel="0" collapsed="false">
      <c r="A127" s="1" t="n">
        <v>126</v>
      </c>
      <c r="B127" s="32" t="n">
        <v>45052</v>
      </c>
      <c r="C127" s="33" t="n">
        <v>16512</v>
      </c>
      <c r="D127" s="33" t="n">
        <f aca="false">C127-C126</f>
        <v>9263</v>
      </c>
      <c r="E127" s="33" t="n">
        <v>731.9</v>
      </c>
      <c r="F127" s="33" t="n">
        <f aca="false">E127-E126</f>
        <v>418.7</v>
      </c>
      <c r="G127" s="33" t="n">
        <v>11.89</v>
      </c>
      <c r="H127" s="33" t="n">
        <f aca="false">G127-G126</f>
        <v>6.67</v>
      </c>
      <c r="I127" s="33" t="n">
        <v>167</v>
      </c>
      <c r="J127" s="33" t="n">
        <f aca="false">I127-I126</f>
        <v>102</v>
      </c>
      <c r="K127" s="1" t="s">
        <v>195</v>
      </c>
      <c r="L127" s="1" t="n">
        <f aca="false">QUARTILE($C$122:$C$152, 1)</f>
        <v>6473</v>
      </c>
      <c r="M127" s="1" t="n">
        <f aca="false">QUARTILE($E$122:$E$152, 1)</f>
        <v>283.15</v>
      </c>
      <c r="N127" s="1" t="n">
        <f aca="false">QUARTILE($G$122:$G$152, 1)</f>
        <v>4.66</v>
      </c>
      <c r="O127" s="1" t="n">
        <f aca="false">QUARTILE($I$122:$I$152, 1)</f>
        <v>57</v>
      </c>
    </row>
    <row r="128" customFormat="false" ht="13.8" hidden="false" customHeight="false" outlineLevel="0" collapsed="false">
      <c r="A128" s="33" t="n">
        <v>127</v>
      </c>
      <c r="B128" s="32" t="n">
        <v>45053</v>
      </c>
      <c r="C128" s="33" t="n">
        <v>16330</v>
      </c>
      <c r="D128" s="33" t="n">
        <f aca="false">C128-C127</f>
        <v>-182</v>
      </c>
      <c r="E128" s="33" t="n">
        <v>707.7</v>
      </c>
      <c r="F128" s="33" t="n">
        <f aca="false">E128-E127</f>
        <v>-24.1999999999999</v>
      </c>
      <c r="G128" s="33" t="n">
        <v>11.76</v>
      </c>
      <c r="H128" s="33" t="n">
        <f aca="false">G128-G127</f>
        <v>-0.130000000000001</v>
      </c>
      <c r="I128" s="33" t="n">
        <v>142</v>
      </c>
      <c r="J128" s="33" t="n">
        <f aca="false">I128-I127</f>
        <v>-25</v>
      </c>
      <c r="K128" s="1" t="s">
        <v>181</v>
      </c>
      <c r="L128" s="1" t="n">
        <f aca="false">QUARTILE($C$122:$C$152, 3)</f>
        <v>10545</v>
      </c>
      <c r="M128" s="1" t="n">
        <f aca="false">QUARTILE($E$122:$E$152, 3)</f>
        <v>479</v>
      </c>
      <c r="N128" s="1" t="n">
        <f aca="false">QUARTILE($G$122:$G$152, 3)</f>
        <v>7.59</v>
      </c>
      <c r="O128" s="1" t="n">
        <f aca="false">QUARTILE($I$122:$I$152, 3)</f>
        <v>87.5</v>
      </c>
    </row>
    <row r="129" customFormat="false" ht="13.8" hidden="false" customHeight="false" outlineLevel="0" collapsed="false">
      <c r="A129" s="1" t="n">
        <v>128</v>
      </c>
      <c r="B129" s="32" t="n">
        <v>45054</v>
      </c>
      <c r="C129" s="33" t="n">
        <v>10573</v>
      </c>
      <c r="D129" s="33" t="n">
        <f aca="false">C129-C128</f>
        <v>-5757</v>
      </c>
      <c r="E129" s="33" t="n">
        <v>460.8</v>
      </c>
      <c r="F129" s="33" t="n">
        <f aca="false">E129-E128</f>
        <v>-246.9</v>
      </c>
      <c r="G129" s="33" t="n">
        <v>7.61</v>
      </c>
      <c r="H129" s="33" t="n">
        <f aca="false">G129-G128</f>
        <v>-4.15</v>
      </c>
      <c r="I129" s="33" t="n">
        <v>86</v>
      </c>
      <c r="J129" s="33" t="n">
        <f aca="false">I129-I128</f>
        <v>-56</v>
      </c>
      <c r="K129" s="1" t="s">
        <v>182</v>
      </c>
      <c r="L129" s="1" t="n">
        <f aca="false">VAR($C$122:$C$152)</f>
        <v>14459595.055914</v>
      </c>
      <c r="M129" s="1" t="n">
        <f aca="false">VAR($E$122:$E$152)</f>
        <v>28477.6892473118</v>
      </c>
      <c r="N129" s="1" t="n">
        <f aca="false">VAR($G$122:$G$152)</f>
        <v>7.49843978494624</v>
      </c>
      <c r="O129" s="1" t="n">
        <f aca="false">VAR($I$122:$I$152)</f>
        <v>1004.05161290323</v>
      </c>
    </row>
    <row r="130" customFormat="false" ht="13.8" hidden="false" customHeight="false" outlineLevel="0" collapsed="false">
      <c r="A130" s="33" t="n">
        <v>129</v>
      </c>
      <c r="B130" s="32" t="n">
        <v>45055</v>
      </c>
      <c r="C130" s="33" t="n">
        <v>10517</v>
      </c>
      <c r="D130" s="33" t="n">
        <f aca="false">C130-C129</f>
        <v>-56</v>
      </c>
      <c r="E130" s="33" t="n">
        <v>501.2</v>
      </c>
      <c r="F130" s="33" t="n">
        <f aca="false">E130-E129</f>
        <v>40.4</v>
      </c>
      <c r="G130" s="33" t="n">
        <v>7.57</v>
      </c>
      <c r="H130" s="33" t="n">
        <f aca="false">G130-G129</f>
        <v>-0.04</v>
      </c>
      <c r="I130" s="33" t="n">
        <v>76</v>
      </c>
      <c r="J130" s="33" t="n">
        <f aca="false">I130-I129</f>
        <v>-10</v>
      </c>
      <c r="K130" s="1" t="s">
        <v>16</v>
      </c>
      <c r="L130" s="1" t="n">
        <f aca="false">STDEV($C$122:$C$152)</f>
        <v>3802.57742273763</v>
      </c>
      <c r="M130" s="1" t="n">
        <f aca="false">STDEV($E$122:$E$152)</f>
        <v>168.75333847753</v>
      </c>
      <c r="N130" s="1" t="n">
        <f aca="false">STDEV($G$122:$G$152)</f>
        <v>2.73832791771662</v>
      </c>
      <c r="O130" s="1" t="n">
        <f aca="false">STDEV($I$122:$I$152)</f>
        <v>31.686773469434</v>
      </c>
    </row>
    <row r="131" customFormat="false" ht="13.8" hidden="false" customHeight="false" outlineLevel="0" collapsed="false">
      <c r="A131" s="1" t="n">
        <v>130</v>
      </c>
      <c r="B131" s="32" t="n">
        <v>45056</v>
      </c>
      <c r="C131" s="33" t="n">
        <v>7521</v>
      </c>
      <c r="D131" s="33" t="n">
        <f aca="false">C131-C130</f>
        <v>-2996</v>
      </c>
      <c r="E131" s="33" t="n">
        <v>325.1</v>
      </c>
      <c r="F131" s="33" t="n">
        <f aca="false">E131-E130</f>
        <v>-176.1</v>
      </c>
      <c r="G131" s="33" t="n">
        <v>5.42</v>
      </c>
      <c r="H131" s="33" t="n">
        <f aca="false">G131-G130</f>
        <v>-2.15</v>
      </c>
      <c r="I131" s="33" t="n">
        <v>59</v>
      </c>
      <c r="J131" s="33" t="n">
        <f aca="false">I131-I130</f>
        <v>-17</v>
      </c>
      <c r="K131" s="1" t="s">
        <v>20</v>
      </c>
      <c r="L131" s="1" t="n">
        <f aca="false">KURT($C$122:$C$152)</f>
        <v>0.565103925897563</v>
      </c>
      <c r="M131" s="1" t="n">
        <f aca="false">KURT($E$122:$E$152)</f>
        <v>0.451835484022571</v>
      </c>
      <c r="N131" s="1" t="n">
        <f aca="false">KURT($G$122:$G$152)</f>
        <v>0.568923446637013</v>
      </c>
      <c r="O131" s="1" t="n">
        <f aca="false">KURT($I$122:$I$152)</f>
        <v>1.87079954552413</v>
      </c>
    </row>
    <row r="132" customFormat="false" ht="13.8" hidden="false" customHeight="false" outlineLevel="0" collapsed="false">
      <c r="A132" s="33" t="n">
        <v>131</v>
      </c>
      <c r="B132" s="32" t="n">
        <v>45057</v>
      </c>
      <c r="C132" s="33" t="n">
        <v>6119</v>
      </c>
      <c r="D132" s="33" t="n">
        <f aca="false">C132-C131</f>
        <v>-1402</v>
      </c>
      <c r="E132" s="33" t="n">
        <v>273.5</v>
      </c>
      <c r="F132" s="33" t="n">
        <f aca="false">E132-E131</f>
        <v>-51.6</v>
      </c>
      <c r="G132" s="33" t="n">
        <v>4.41</v>
      </c>
      <c r="H132" s="33" t="n">
        <f aca="false">G132-G131</f>
        <v>-1.01</v>
      </c>
      <c r="I132" s="33" t="n">
        <v>50</v>
      </c>
      <c r="J132" s="33" t="n">
        <f aca="false">I132-I131</f>
        <v>-9</v>
      </c>
      <c r="K132" s="1" t="s">
        <v>22</v>
      </c>
      <c r="L132" s="1" t="n">
        <f aca="false">SKEW($C$122:$C$152)</f>
        <v>0.595530619595993</v>
      </c>
      <c r="M132" s="1" t="n">
        <f aca="false">SKEW($E$122:$E$152)</f>
        <v>0.618450582783252</v>
      </c>
      <c r="N132" s="1" t="n">
        <f aca="false">SKEW($G$122:$G$152)</f>
        <v>0.596413032305854</v>
      </c>
      <c r="O132" s="1" t="n">
        <f aca="false">SKEW($I$122:$I$152)</f>
        <v>0.972174417343141</v>
      </c>
    </row>
    <row r="133" customFormat="false" ht="13.8" hidden="false" customHeight="false" outlineLevel="0" collapsed="false">
      <c r="A133" s="1" t="n">
        <v>132</v>
      </c>
      <c r="B133" s="32" t="n">
        <v>45058</v>
      </c>
      <c r="C133" s="33" t="n">
        <v>2159</v>
      </c>
      <c r="D133" s="33" t="n">
        <f aca="false">C133-C132</f>
        <v>-3960</v>
      </c>
      <c r="E133" s="33" t="n">
        <v>95.8</v>
      </c>
      <c r="F133" s="33" t="n">
        <f aca="false">E133-E132</f>
        <v>-177.7</v>
      </c>
      <c r="G133" s="33" t="n">
        <v>1.55</v>
      </c>
      <c r="H133" s="33" t="n">
        <f aca="false">G133-G132</f>
        <v>-2.86</v>
      </c>
      <c r="I133" s="33" t="n">
        <v>19</v>
      </c>
      <c r="J133" s="33" t="n">
        <f aca="false">I133-I132</f>
        <v>-31</v>
      </c>
      <c r="K133" s="1" t="s">
        <v>24</v>
      </c>
      <c r="L133" s="1" t="n">
        <f aca="false">MAX($C$122:$C$152)-MIN($C$122:$C$152)</f>
        <v>15904</v>
      </c>
      <c r="M133" s="1" t="n">
        <f aca="false">MAX($E$122:$E$152)-MIN($E$122:$E$152)</f>
        <v>702.7</v>
      </c>
      <c r="N133" s="1" t="n">
        <f aca="false">MAX($G$122:$G$152)-MIN($G$122:$G$152)</f>
        <v>11.46</v>
      </c>
      <c r="O133" s="1" t="n">
        <f aca="false">MAX($I$122:$I$152)-MIN($I$122:$I$152)</f>
        <v>148</v>
      </c>
    </row>
    <row r="134" customFormat="false" ht="13.8" hidden="false" customHeight="false" outlineLevel="0" collapsed="false">
      <c r="A134" s="33" t="n">
        <v>133</v>
      </c>
      <c r="B134" s="32" t="n">
        <v>45059</v>
      </c>
      <c r="C134" s="33" t="n">
        <v>11823</v>
      </c>
      <c r="D134" s="33" t="n">
        <f aca="false">C134-C133</f>
        <v>9664</v>
      </c>
      <c r="E134" s="33" t="n">
        <v>507.9</v>
      </c>
      <c r="F134" s="33" t="n">
        <f aca="false">E134-E133</f>
        <v>412.1</v>
      </c>
      <c r="G134" s="33" t="n">
        <v>8.51</v>
      </c>
      <c r="H134" s="33" t="n">
        <f aca="false">G134-G133</f>
        <v>6.96</v>
      </c>
      <c r="I134" s="33" t="n">
        <v>98</v>
      </c>
      <c r="J134" s="33" t="n">
        <f aca="false">I134-I133</f>
        <v>79</v>
      </c>
      <c r="K134" s="1" t="s">
        <v>26</v>
      </c>
      <c r="L134" s="1" t="n">
        <f aca="false">MIN($C$122:$C$152)</f>
        <v>2159</v>
      </c>
      <c r="M134" s="1" t="n">
        <f aca="false">MIN($E$122:$E$152)</f>
        <v>95.8</v>
      </c>
      <c r="N134" s="1" t="n">
        <f aca="false">MIN($G$122:$G$152)</f>
        <v>1.55</v>
      </c>
      <c r="O134" s="1" t="n">
        <f aca="false">MIN($I$122:$I$152)</f>
        <v>19</v>
      </c>
    </row>
    <row r="135" customFormat="false" ht="13.8" hidden="false" customHeight="false" outlineLevel="0" collapsed="false">
      <c r="A135" s="1" t="n">
        <v>134</v>
      </c>
      <c r="B135" s="32" t="n">
        <v>45060</v>
      </c>
      <c r="C135" s="33" t="n">
        <v>18063</v>
      </c>
      <c r="D135" s="33" t="n">
        <f aca="false">C135-C134</f>
        <v>6240</v>
      </c>
      <c r="E135" s="33" t="n">
        <v>798.5</v>
      </c>
      <c r="F135" s="33" t="n">
        <f aca="false">E135-E134</f>
        <v>290.6</v>
      </c>
      <c r="G135" s="33" t="n">
        <v>13.01</v>
      </c>
      <c r="H135" s="33" t="n">
        <f aca="false">G135-G134</f>
        <v>4.5</v>
      </c>
      <c r="I135" s="33" t="n">
        <v>139</v>
      </c>
      <c r="J135" s="33" t="n">
        <f aca="false">I135-I134</f>
        <v>41</v>
      </c>
      <c r="K135" s="1" t="s">
        <v>28</v>
      </c>
      <c r="L135" s="1" t="n">
        <f aca="false">MAX($C$122:$C$152)</f>
        <v>18063</v>
      </c>
      <c r="M135" s="1" t="n">
        <f aca="false">MAX($E$122:$E$152)</f>
        <v>798.5</v>
      </c>
      <c r="N135" s="1" t="n">
        <f aca="false">MAX($G$122:$G$152)</f>
        <v>13.01</v>
      </c>
      <c r="O135" s="1" t="n">
        <f aca="false">MAX($I$122:$I$152)</f>
        <v>167</v>
      </c>
    </row>
    <row r="136" customFormat="false" ht="13.8" hidden="false" customHeight="false" outlineLevel="0" collapsed="false">
      <c r="A136" s="33" t="n">
        <v>135</v>
      </c>
      <c r="B136" s="32" t="n">
        <v>45061</v>
      </c>
      <c r="C136" s="33" t="n">
        <v>9772</v>
      </c>
      <c r="D136" s="33" t="n">
        <f aca="false">C136-C135</f>
        <v>-8291</v>
      </c>
      <c r="E136" s="33" t="n">
        <v>417.7</v>
      </c>
      <c r="F136" s="33" t="n">
        <f aca="false">E136-E135</f>
        <v>-380.8</v>
      </c>
      <c r="G136" s="33" t="n">
        <v>7.04</v>
      </c>
      <c r="H136" s="33" t="n">
        <f aca="false">G136-G135</f>
        <v>-5.97</v>
      </c>
      <c r="I136" s="33" t="n">
        <v>84</v>
      </c>
      <c r="J136" s="33" t="n">
        <f aca="false">I136-I135</f>
        <v>-55</v>
      </c>
      <c r="K136" s="1" t="s">
        <v>30</v>
      </c>
      <c r="L136" s="1" t="n">
        <f aca="false">SUM($C$122:$C$152)</f>
        <v>271791</v>
      </c>
      <c r="M136" s="1" t="n">
        <f aca="false">SUM($E$122:$E$152)</f>
        <v>11964.4</v>
      </c>
      <c r="N136" s="1" t="n">
        <f aca="false">SUM($G$122:$G$152)</f>
        <v>195.69</v>
      </c>
      <c r="O136" s="1" t="n">
        <f aca="false">SUM($I$122:$I$152)</f>
        <v>2343</v>
      </c>
    </row>
    <row r="137" customFormat="false" ht="13.8" hidden="false" customHeight="false" outlineLevel="0" collapsed="false">
      <c r="A137" s="1" t="n">
        <v>136</v>
      </c>
      <c r="B137" s="32" t="n">
        <v>45062</v>
      </c>
      <c r="C137" s="33" t="n">
        <v>6125</v>
      </c>
      <c r="D137" s="33" t="n">
        <f aca="false">C137-C136</f>
        <v>-3647</v>
      </c>
      <c r="E137" s="33" t="n">
        <v>265.8</v>
      </c>
      <c r="F137" s="33" t="n">
        <f aca="false">E137-E136</f>
        <v>-151.9</v>
      </c>
      <c r="G137" s="33" t="n">
        <v>4.41</v>
      </c>
      <c r="H137" s="33" t="n">
        <f aca="false">G137-G136</f>
        <v>-2.63</v>
      </c>
      <c r="I137" s="33" t="n">
        <v>57</v>
      </c>
      <c r="J137" s="33" t="n">
        <f aca="false">I137-I136</f>
        <v>-27</v>
      </c>
      <c r="K137" s="1" t="s">
        <v>32</v>
      </c>
      <c r="L137" s="1" t="n">
        <f aca="false">COUNT($C$122:$C$152)</f>
        <v>31</v>
      </c>
      <c r="M137" s="1" t="n">
        <f aca="false">COUNT($E$122:$E$152)</f>
        <v>31</v>
      </c>
      <c r="N137" s="1" t="n">
        <f aca="false">COUNT($G$122:$G$152)</f>
        <v>31</v>
      </c>
      <c r="O137" s="1" t="n">
        <f aca="false">COUNT($I$122:$I$152)</f>
        <v>31</v>
      </c>
    </row>
    <row r="138" customFormat="false" ht="13.8" hidden="false" customHeight="false" outlineLevel="0" collapsed="false">
      <c r="A138" s="33" t="n">
        <v>137</v>
      </c>
      <c r="B138" s="32" t="n">
        <v>45063</v>
      </c>
      <c r="C138" s="33" t="n">
        <v>7117</v>
      </c>
      <c r="D138" s="33" t="n">
        <f aca="false">C138-C137</f>
        <v>992</v>
      </c>
      <c r="E138" s="33" t="n">
        <v>313.7</v>
      </c>
      <c r="F138" s="33" t="n">
        <f aca="false">E138-E137</f>
        <v>47.9</v>
      </c>
      <c r="G138" s="33" t="n">
        <v>5.12</v>
      </c>
      <c r="H138" s="33" t="n">
        <f aca="false">G138-G137</f>
        <v>0.71</v>
      </c>
      <c r="I138" s="33" t="n">
        <v>57</v>
      </c>
      <c r="J138" s="33" t="n">
        <f aca="false">I138-I137</f>
        <v>0</v>
      </c>
    </row>
    <row r="139" customFormat="false" ht="13.8" hidden="false" customHeight="false" outlineLevel="0" collapsed="false">
      <c r="A139" s="1" t="n">
        <v>138</v>
      </c>
      <c r="B139" s="32" t="n">
        <v>45064</v>
      </c>
      <c r="C139" s="33" t="n">
        <v>7352</v>
      </c>
      <c r="D139" s="33" t="n">
        <f aca="false">C139-C138</f>
        <v>235</v>
      </c>
      <c r="E139" s="33" t="n">
        <v>319.3</v>
      </c>
      <c r="F139" s="33" t="n">
        <f aca="false">E139-E138</f>
        <v>5.60000000000002</v>
      </c>
      <c r="G139" s="33" t="n">
        <v>5.29</v>
      </c>
      <c r="H139" s="33" t="n">
        <f aca="false">G139-G138</f>
        <v>0.17</v>
      </c>
      <c r="I139" s="33" t="n">
        <v>67</v>
      </c>
      <c r="J139" s="33" t="n">
        <f aca="false">I139-I138</f>
        <v>10</v>
      </c>
    </row>
    <row r="140" customFormat="false" ht="13.8" hidden="false" customHeight="false" outlineLevel="0" collapsed="false">
      <c r="A140" s="33" t="n">
        <v>139</v>
      </c>
      <c r="B140" s="32" t="n">
        <v>45065</v>
      </c>
      <c r="C140" s="33" t="n">
        <v>6720</v>
      </c>
      <c r="D140" s="33" t="n">
        <f aca="false">C140-C139</f>
        <v>-632</v>
      </c>
      <c r="E140" s="33" t="n">
        <v>292.8</v>
      </c>
      <c r="F140" s="33" t="n">
        <f aca="false">E140-E139</f>
        <v>-26.5</v>
      </c>
      <c r="G140" s="33" t="n">
        <v>4.84</v>
      </c>
      <c r="H140" s="33" t="n">
        <f aca="false">G140-G139</f>
        <v>-0.45</v>
      </c>
      <c r="I140" s="33" t="n">
        <v>61</v>
      </c>
      <c r="J140" s="33" t="n">
        <f aca="false">I140-I139</f>
        <v>-6</v>
      </c>
    </row>
    <row r="141" customFormat="false" ht="13.8" hidden="false" customHeight="false" outlineLevel="0" collapsed="false">
      <c r="A141" s="1" t="n">
        <v>140</v>
      </c>
      <c r="B141" s="32" t="n">
        <v>45066</v>
      </c>
      <c r="C141" s="33" t="n">
        <v>7627</v>
      </c>
      <c r="D141" s="33" t="n">
        <f aca="false">C141-C140</f>
        <v>907</v>
      </c>
      <c r="E141" s="33" t="n">
        <v>327.9</v>
      </c>
      <c r="F141" s="33" t="n">
        <f aca="false">E141-E140</f>
        <v>35.1</v>
      </c>
      <c r="G141" s="33" t="n">
        <v>5.49</v>
      </c>
      <c r="H141" s="33" t="n">
        <f aca="false">G141-G140</f>
        <v>0.65</v>
      </c>
      <c r="I141" s="33" t="n">
        <v>67</v>
      </c>
      <c r="J141" s="33" t="n">
        <f aca="false">I141-I140</f>
        <v>6</v>
      </c>
    </row>
    <row r="142" customFormat="false" ht="13.8" hidden="false" customHeight="false" outlineLevel="0" collapsed="false">
      <c r="A142" s="33" t="n">
        <v>141</v>
      </c>
      <c r="B142" s="32" t="n">
        <v>45067</v>
      </c>
      <c r="C142" s="33" t="n">
        <v>10298</v>
      </c>
      <c r="D142" s="33" t="n">
        <f aca="false">C142-C141</f>
        <v>2671</v>
      </c>
      <c r="E142" s="33" t="n">
        <v>442.7</v>
      </c>
      <c r="F142" s="33" t="n">
        <f aca="false">E142-E141</f>
        <v>114.8</v>
      </c>
      <c r="G142" s="33" t="n">
        <v>7.41</v>
      </c>
      <c r="H142" s="33" t="n">
        <f aca="false">G142-G141</f>
        <v>1.92</v>
      </c>
      <c r="I142" s="33" t="n">
        <v>88</v>
      </c>
      <c r="J142" s="33" t="n">
        <f aca="false">I142-I141</f>
        <v>21</v>
      </c>
    </row>
    <row r="143" customFormat="false" ht="13.8" hidden="false" customHeight="false" outlineLevel="0" collapsed="false">
      <c r="A143" s="1" t="n">
        <v>142</v>
      </c>
      <c r="B143" s="32" t="n">
        <v>45068</v>
      </c>
      <c r="C143" s="33" t="n">
        <v>12288</v>
      </c>
      <c r="D143" s="33" t="n">
        <f aca="false">C143-C142</f>
        <v>1990</v>
      </c>
      <c r="E143" s="33" t="n">
        <v>554.6</v>
      </c>
      <c r="F143" s="33" t="n">
        <f aca="false">E143-E142</f>
        <v>111.9</v>
      </c>
      <c r="G143" s="33" t="n">
        <v>8.85</v>
      </c>
      <c r="H143" s="33" t="n">
        <f aca="false">G143-G142</f>
        <v>1.44</v>
      </c>
      <c r="I143" s="33" t="n">
        <v>96</v>
      </c>
      <c r="J143" s="33" t="n">
        <f aca="false">I143-I142</f>
        <v>8</v>
      </c>
    </row>
    <row r="144" customFormat="false" ht="13.8" hidden="false" customHeight="false" outlineLevel="0" collapsed="false">
      <c r="A144" s="33" t="n">
        <v>143</v>
      </c>
      <c r="B144" s="32" t="n">
        <v>45069</v>
      </c>
      <c r="C144" s="33" t="n">
        <v>9063</v>
      </c>
      <c r="D144" s="33" t="n">
        <f aca="false">C144-C143</f>
        <v>-3225</v>
      </c>
      <c r="E144" s="33" t="n">
        <v>387.6</v>
      </c>
      <c r="F144" s="33" t="n">
        <f aca="false">E144-E143</f>
        <v>-167</v>
      </c>
      <c r="G144" s="33" t="n">
        <v>6.53</v>
      </c>
      <c r="H144" s="33" t="n">
        <f aca="false">G144-G143</f>
        <v>-2.32</v>
      </c>
      <c r="I144" s="33" t="n">
        <v>77</v>
      </c>
      <c r="J144" s="33" t="n">
        <f aca="false">I144-I143</f>
        <v>-19</v>
      </c>
    </row>
    <row r="145" customFormat="false" ht="13.8" hidden="false" customHeight="false" outlineLevel="0" collapsed="false">
      <c r="A145" s="1" t="n">
        <v>144</v>
      </c>
      <c r="B145" s="32" t="n">
        <v>45070</v>
      </c>
      <c r="C145" s="33" t="n">
        <v>5157</v>
      </c>
      <c r="D145" s="33" t="n">
        <f aca="false">C145-C144</f>
        <v>-3906</v>
      </c>
      <c r="E145" s="33" t="n">
        <v>228.3</v>
      </c>
      <c r="F145" s="33" t="n">
        <f aca="false">E145-E144</f>
        <v>-159.3</v>
      </c>
      <c r="G145" s="33" t="n">
        <v>3.71</v>
      </c>
      <c r="H145" s="33" t="n">
        <f aca="false">G145-G144</f>
        <v>-2.82</v>
      </c>
      <c r="I145" s="33" t="n">
        <v>51</v>
      </c>
      <c r="J145" s="33" t="n">
        <f aca="false">I145-I144</f>
        <v>-26</v>
      </c>
    </row>
    <row r="146" customFormat="false" ht="13.8" hidden="false" customHeight="false" outlineLevel="0" collapsed="false">
      <c r="A146" s="33" t="n">
        <v>145</v>
      </c>
      <c r="B146" s="32" t="n">
        <v>45071</v>
      </c>
      <c r="C146" s="33" t="n">
        <v>2250</v>
      </c>
      <c r="D146" s="33" t="n">
        <f aca="false">C146-C145</f>
        <v>-2907</v>
      </c>
      <c r="E146" s="33" t="n">
        <v>107.6</v>
      </c>
      <c r="F146" s="33" t="n">
        <f aca="false">E146-E145</f>
        <v>-120.7</v>
      </c>
      <c r="G146" s="33" t="n">
        <v>1.62</v>
      </c>
      <c r="H146" s="33" t="n">
        <f aca="false">G146-G145</f>
        <v>-2.09</v>
      </c>
      <c r="I146" s="33" t="n">
        <v>26</v>
      </c>
      <c r="J146" s="33" t="n">
        <f aca="false">I146-I145</f>
        <v>-25</v>
      </c>
    </row>
    <row r="147" customFormat="false" ht="13.8" hidden="false" customHeight="false" outlineLevel="0" collapsed="false">
      <c r="A147" s="1" t="n">
        <v>146</v>
      </c>
      <c r="B147" s="32" t="n">
        <v>45072</v>
      </c>
      <c r="C147" s="33" t="n">
        <v>3024</v>
      </c>
      <c r="D147" s="33" t="n">
        <f aca="false">C147-C146</f>
        <v>774</v>
      </c>
      <c r="E147" s="33" t="n">
        <v>131.8</v>
      </c>
      <c r="F147" s="33" t="n">
        <f aca="false">E147-E146</f>
        <v>24.2</v>
      </c>
      <c r="G147" s="33" t="n">
        <v>2.18</v>
      </c>
      <c r="H147" s="33" t="n">
        <f aca="false">G147-G146</f>
        <v>0.56</v>
      </c>
      <c r="I147" s="33" t="n">
        <v>29</v>
      </c>
      <c r="J147" s="33" t="n">
        <f aca="false">I147-I146</f>
        <v>3</v>
      </c>
    </row>
    <row r="148" customFormat="false" ht="13.8" hidden="false" customHeight="false" outlineLevel="0" collapsed="false">
      <c r="A148" s="33" t="n">
        <v>147</v>
      </c>
      <c r="B148" s="32" t="n">
        <v>45073</v>
      </c>
      <c r="C148" s="33" t="n">
        <v>8434</v>
      </c>
      <c r="D148" s="33" t="n">
        <f aca="false">C148-C147</f>
        <v>5410</v>
      </c>
      <c r="E148" s="33" t="n">
        <v>367.6</v>
      </c>
      <c r="F148" s="33" t="n">
        <f aca="false">E148-E147</f>
        <v>235.8</v>
      </c>
      <c r="G148" s="33" t="n">
        <v>6.07</v>
      </c>
      <c r="H148" s="33" t="n">
        <f aca="false">G148-G147</f>
        <v>3.89</v>
      </c>
      <c r="I148" s="33" t="n">
        <v>76</v>
      </c>
      <c r="J148" s="33" t="n">
        <f aca="false">I148-I147</f>
        <v>47</v>
      </c>
    </row>
    <row r="149" customFormat="false" ht="13.8" hidden="false" customHeight="false" outlineLevel="0" collapsed="false">
      <c r="A149" s="1" t="n">
        <v>148</v>
      </c>
      <c r="B149" s="32" t="n">
        <v>45074</v>
      </c>
      <c r="C149" s="33" t="n">
        <v>11409</v>
      </c>
      <c r="D149" s="33" t="n">
        <f aca="false">C149-C148</f>
        <v>2975</v>
      </c>
      <c r="E149" s="33" t="n">
        <v>497.2</v>
      </c>
      <c r="F149" s="33" t="n">
        <f aca="false">E149-E148</f>
        <v>129.6</v>
      </c>
      <c r="G149" s="33" t="n">
        <v>8.21</v>
      </c>
      <c r="H149" s="33" t="n">
        <f aca="false">G149-G148</f>
        <v>2.14</v>
      </c>
      <c r="I149" s="33" t="n">
        <v>92</v>
      </c>
      <c r="J149" s="33" t="n">
        <f aca="false">I149-I148</f>
        <v>16</v>
      </c>
    </row>
    <row r="150" customFormat="false" ht="13.8" hidden="false" customHeight="false" outlineLevel="0" collapsed="false">
      <c r="A150" s="33" t="n">
        <v>149</v>
      </c>
      <c r="B150" s="32" t="n">
        <v>45075</v>
      </c>
      <c r="C150" s="33" t="n">
        <v>8023</v>
      </c>
      <c r="D150" s="33" t="n">
        <f aca="false">C150-C149</f>
        <v>-3386</v>
      </c>
      <c r="E150" s="33" t="n">
        <v>356.8</v>
      </c>
      <c r="F150" s="33" t="n">
        <f aca="false">E150-E149</f>
        <v>-140.4</v>
      </c>
      <c r="G150" s="33" t="n">
        <v>5.78</v>
      </c>
      <c r="H150" s="33" t="n">
        <f aca="false">G150-G149</f>
        <v>-2.43</v>
      </c>
      <c r="I150" s="33" t="n">
        <v>81</v>
      </c>
      <c r="J150" s="33" t="n">
        <f aca="false">I150-I149</f>
        <v>-11</v>
      </c>
    </row>
    <row r="151" customFormat="false" ht="13.8" hidden="false" customHeight="false" outlineLevel="0" collapsed="false">
      <c r="A151" s="1" t="n">
        <v>150</v>
      </c>
      <c r="B151" s="32" t="n">
        <v>45076</v>
      </c>
      <c r="C151" s="33" t="n">
        <v>10079</v>
      </c>
      <c r="D151" s="33" t="n">
        <f aca="false">C151-C150</f>
        <v>2056</v>
      </c>
      <c r="E151" s="33" t="n">
        <v>437.1</v>
      </c>
      <c r="F151" s="33" t="n">
        <f aca="false">E151-E150</f>
        <v>80.3</v>
      </c>
      <c r="G151" s="33" t="n">
        <v>7.26</v>
      </c>
      <c r="H151" s="33" t="n">
        <f aca="false">G151-G150</f>
        <v>1.48</v>
      </c>
      <c r="I151" s="33" t="n">
        <v>90</v>
      </c>
      <c r="J151" s="33" t="n">
        <f aca="false">I151-I150</f>
        <v>9</v>
      </c>
    </row>
    <row r="152" customFormat="false" ht="13.8" hidden="false" customHeight="false" outlineLevel="0" collapsed="false">
      <c r="A152" s="33" t="n">
        <v>151</v>
      </c>
      <c r="B152" s="32" t="n">
        <v>45077</v>
      </c>
      <c r="C152" s="33" t="n">
        <v>6226</v>
      </c>
      <c r="D152" s="33" t="n">
        <f aca="false">C152-C151</f>
        <v>-3853</v>
      </c>
      <c r="E152" s="33" t="n">
        <v>268.7</v>
      </c>
      <c r="F152" s="33" t="n">
        <f aca="false">E152-E151</f>
        <v>-168.4</v>
      </c>
      <c r="G152" s="33" t="n">
        <v>4.48</v>
      </c>
      <c r="H152" s="33" t="n">
        <f aca="false">G152-G151</f>
        <v>-2.78</v>
      </c>
      <c r="I152" s="33" t="n">
        <v>56</v>
      </c>
      <c r="J152" s="33" t="n">
        <f aca="false">I152-I151</f>
        <v>-34</v>
      </c>
    </row>
    <row r="153" customFormat="false" ht="13.8" hidden="false" customHeight="false" outlineLevel="0" collapsed="false">
      <c r="A153" s="1" t="n">
        <v>152</v>
      </c>
      <c r="B153" s="32" t="n">
        <v>45078</v>
      </c>
      <c r="C153" s="33" t="n">
        <v>8178</v>
      </c>
      <c r="D153" s="33" t="n">
        <f aca="false">C153-C152</f>
        <v>1952</v>
      </c>
      <c r="E153" s="33" t="n">
        <v>369.1</v>
      </c>
      <c r="F153" s="33" t="n">
        <f aca="false">E153-E152</f>
        <v>100.4</v>
      </c>
      <c r="G153" s="33" t="n">
        <v>5.89</v>
      </c>
      <c r="H153" s="33" t="n">
        <f aca="false">G153-G152</f>
        <v>1.41</v>
      </c>
      <c r="I153" s="33" t="n">
        <v>86</v>
      </c>
      <c r="J153" s="33" t="n">
        <f aca="false">I153-I152</f>
        <v>30</v>
      </c>
      <c r="L153" s="34" t="s">
        <v>2</v>
      </c>
      <c r="M153" s="34" t="s">
        <v>179</v>
      </c>
      <c r="N153" s="34" t="s">
        <v>175</v>
      </c>
      <c r="O153" s="34" t="s">
        <v>177</v>
      </c>
    </row>
    <row r="154" customFormat="false" ht="13.8" hidden="false" customHeight="false" outlineLevel="0" collapsed="false">
      <c r="A154" s="33" t="n">
        <v>153</v>
      </c>
      <c r="B154" s="32" t="n">
        <v>45079</v>
      </c>
      <c r="C154" s="33" t="n">
        <v>9007</v>
      </c>
      <c r="D154" s="33" t="n">
        <f aca="false">C154-C153</f>
        <v>829</v>
      </c>
      <c r="E154" s="33" t="n">
        <v>394.5</v>
      </c>
      <c r="F154" s="33" t="n">
        <f aca="false">E154-E153</f>
        <v>25.4</v>
      </c>
      <c r="G154" s="33" t="n">
        <v>6.49</v>
      </c>
      <c r="H154" s="33" t="n">
        <f aca="false">G154-G153</f>
        <v>0.600000000000001</v>
      </c>
      <c r="I154" s="33" t="n">
        <v>87</v>
      </c>
      <c r="J154" s="33" t="n">
        <f aca="false">I154-I153</f>
        <v>1</v>
      </c>
      <c r="K154" s="1" t="s">
        <v>8</v>
      </c>
      <c r="L154" s="1" t="n">
        <f aca="false">AVERAGE($C$153:$C$182)</f>
        <v>9553.03333333333</v>
      </c>
      <c r="M154" s="1" t="n">
        <f aca="false">AVERAGE($E$153:$E$182)</f>
        <v>425.01</v>
      </c>
      <c r="N154" s="1" t="n">
        <f aca="false">AVERAGE($G$153:$G$182)</f>
        <v>6.87933333333333</v>
      </c>
      <c r="O154" s="1" t="n">
        <f aca="false">AVERAGE($I$153:$I$182)</f>
        <v>92.9333333333333</v>
      </c>
    </row>
    <row r="155" customFormat="false" ht="13.8" hidden="false" customHeight="false" outlineLevel="0" collapsed="false">
      <c r="A155" s="1" t="n">
        <v>154</v>
      </c>
      <c r="B155" s="32" t="n">
        <v>45080</v>
      </c>
      <c r="C155" s="33" t="n">
        <v>5859</v>
      </c>
      <c r="D155" s="33" t="n">
        <f aca="false">C155-C154</f>
        <v>-3148</v>
      </c>
      <c r="E155" s="33" t="n">
        <v>258</v>
      </c>
      <c r="F155" s="33" t="n">
        <f aca="false">E155-E154</f>
        <v>-136.5</v>
      </c>
      <c r="G155" s="33" t="n">
        <v>4.22</v>
      </c>
      <c r="H155" s="33" t="n">
        <f aca="false">G155-G154</f>
        <v>-2.27</v>
      </c>
      <c r="I155" s="33" t="n">
        <v>56</v>
      </c>
      <c r="J155" s="33" t="n">
        <f aca="false">I155-I154</f>
        <v>-31</v>
      </c>
      <c r="K155" s="1" t="s">
        <v>10</v>
      </c>
      <c r="L155" s="1" t="n">
        <f aca="false">SQRT(VAR($C$153:$C$182)/COUNT($C$153:$C$182))</f>
        <v>740.040605414889</v>
      </c>
      <c r="M155" s="1" t="n">
        <f aca="false">SQRT(VAR($E$153:$E$182)/COUNT($E$153:$E$182))</f>
        <v>32.1411478848582</v>
      </c>
      <c r="N155" s="1" t="n">
        <f aca="false">SQRT(VAR($G$153:$G$182)/COUNT($G$153:$G$182))</f>
        <v>0.532718668789285</v>
      </c>
      <c r="O155" s="1" t="n">
        <f aca="false">SQRT(VAR($I$153:$I$182)/COUNT($I$153:$I$182))</f>
        <v>6.51116341694367</v>
      </c>
    </row>
    <row r="156" customFormat="false" ht="13.8" hidden="false" customHeight="false" outlineLevel="0" collapsed="false">
      <c r="A156" s="33" t="n">
        <v>155</v>
      </c>
      <c r="B156" s="32" t="n">
        <v>45081</v>
      </c>
      <c r="C156" s="33" t="n">
        <v>12377</v>
      </c>
      <c r="D156" s="33" t="n">
        <f aca="false">C156-C155</f>
        <v>6518</v>
      </c>
      <c r="E156" s="33" t="n">
        <v>552.3</v>
      </c>
      <c r="F156" s="33" t="n">
        <f aca="false">E156-E155</f>
        <v>294.3</v>
      </c>
      <c r="G156" s="33" t="n">
        <v>8.91</v>
      </c>
      <c r="H156" s="33" t="n">
        <f aca="false">G156-G155</f>
        <v>4.69</v>
      </c>
      <c r="I156" s="33" t="n">
        <v>126</v>
      </c>
      <c r="J156" s="33" t="n">
        <f aca="false">I156-I155</f>
        <v>70</v>
      </c>
      <c r="K156" s="1" t="s">
        <v>14</v>
      </c>
      <c r="L156" s="1" t="e">
        <f aca="false">MODE($C$153:$C$182)</f>
        <v>#VALUE!</v>
      </c>
      <c r="M156" s="1" t="e">
        <f aca="false">MODE($E$153:$E$182)</f>
        <v>#VALUE!</v>
      </c>
      <c r="N156" s="1" t="e">
        <f aca="false">MODE($G$153:$G$182)</f>
        <v>#VALUE!</v>
      </c>
      <c r="O156" s="1" t="n">
        <f aca="false">MODE($I$153:$I$182)</f>
        <v>71</v>
      </c>
    </row>
    <row r="157" customFormat="false" ht="13.8" hidden="false" customHeight="false" outlineLevel="0" collapsed="false">
      <c r="A157" s="1" t="n">
        <v>156</v>
      </c>
      <c r="B157" s="32" t="n">
        <v>45082</v>
      </c>
      <c r="C157" s="33" t="n">
        <v>7695</v>
      </c>
      <c r="D157" s="33" t="n">
        <f aca="false">C157-C156</f>
        <v>-4682</v>
      </c>
      <c r="E157" s="33" t="n">
        <v>344.8</v>
      </c>
      <c r="F157" s="33" t="n">
        <f aca="false">E157-E156</f>
        <v>-207.5</v>
      </c>
      <c r="G157" s="33" t="n">
        <v>5.54</v>
      </c>
      <c r="H157" s="33" t="n">
        <f aca="false">G157-G156</f>
        <v>-3.37</v>
      </c>
      <c r="I157" s="33" t="n">
        <v>76</v>
      </c>
      <c r="J157" s="33" t="n">
        <f aca="false">I157-I156</f>
        <v>-50</v>
      </c>
      <c r="K157" s="1" t="s">
        <v>12</v>
      </c>
      <c r="L157" s="1" t="n">
        <f aca="false">MEDIAN($C$153:$C$182)</f>
        <v>8911.5</v>
      </c>
      <c r="M157" s="1" t="n">
        <f aca="false">MEDIAN($E$153:$E$182)</f>
        <v>394.2</v>
      </c>
      <c r="N157" s="1" t="n">
        <f aca="false">MEDIAN($G$153:$G$182)</f>
        <v>6.42</v>
      </c>
      <c r="O157" s="1" t="n">
        <f aca="false">MEDIAN($I$153:$I$182)</f>
        <v>88.5</v>
      </c>
    </row>
    <row r="158" customFormat="false" ht="13.8" hidden="false" customHeight="false" outlineLevel="0" collapsed="false">
      <c r="A158" s="33" t="n">
        <v>157</v>
      </c>
      <c r="B158" s="32" t="n">
        <v>45083</v>
      </c>
      <c r="C158" s="33" t="n">
        <v>9231</v>
      </c>
      <c r="D158" s="33" t="n">
        <f aca="false">C158-C157</f>
        <v>1536</v>
      </c>
      <c r="E158" s="33" t="n">
        <v>413.2</v>
      </c>
      <c r="F158" s="33" t="n">
        <f aca="false">E158-E157</f>
        <v>68.4</v>
      </c>
      <c r="G158" s="33" t="n">
        <v>6.65</v>
      </c>
      <c r="H158" s="33" t="n">
        <f aca="false">G158-G157</f>
        <v>1.11</v>
      </c>
      <c r="I158" s="33" t="n">
        <v>93</v>
      </c>
      <c r="J158" s="33" t="n">
        <f aca="false">I158-I157</f>
        <v>17</v>
      </c>
      <c r="K158" s="1" t="s">
        <v>195</v>
      </c>
      <c r="L158" s="1" t="n">
        <f aca="false">QUARTILE($C$153:$C$182, 1)</f>
        <v>6930.5</v>
      </c>
      <c r="M158" s="1" t="n">
        <f aca="false">QUARTILE($E$153:$E$182, 1)</f>
        <v>309.3</v>
      </c>
      <c r="N158" s="1" t="n">
        <f aca="false">QUARTILE($G$153:$G$182, 1)</f>
        <v>4.99</v>
      </c>
      <c r="O158" s="1" t="n">
        <f aca="false">QUARTILE($I$153:$I$182, 1)</f>
        <v>71</v>
      </c>
    </row>
    <row r="159" customFormat="false" ht="13.8" hidden="false" customHeight="false" outlineLevel="0" collapsed="false">
      <c r="A159" s="1" t="n">
        <v>158</v>
      </c>
      <c r="B159" s="32" t="n">
        <v>45084</v>
      </c>
      <c r="C159" s="33" t="n">
        <v>7244</v>
      </c>
      <c r="D159" s="33" t="n">
        <f aca="false">C159-C158</f>
        <v>-1987</v>
      </c>
      <c r="E159" s="33" t="n">
        <v>328.8</v>
      </c>
      <c r="F159" s="33" t="n">
        <f aca="false">E159-E158</f>
        <v>-84.4</v>
      </c>
      <c r="G159" s="33" t="n">
        <v>5.22</v>
      </c>
      <c r="H159" s="33" t="n">
        <f aca="false">G159-G158</f>
        <v>-1.43</v>
      </c>
      <c r="I159" s="33" t="n">
        <v>77</v>
      </c>
      <c r="J159" s="33" t="n">
        <f aca="false">I159-I158</f>
        <v>-16</v>
      </c>
      <c r="K159" s="1" t="s">
        <v>181</v>
      </c>
      <c r="L159" s="1" t="n">
        <f aca="false">QUARTILE($C$153:$C$182, 3)</f>
        <v>11374.25</v>
      </c>
      <c r="M159" s="1" t="n">
        <f aca="false">QUARTILE($E$153:$E$182, 3)</f>
        <v>515.225</v>
      </c>
      <c r="N159" s="1" t="n">
        <f aca="false">QUARTILE($G$153:$G$182, 3)</f>
        <v>8.19</v>
      </c>
      <c r="O159" s="1" t="n">
        <f aca="false">QUARTILE($I$153:$I$182, 3)</f>
        <v>104.75</v>
      </c>
    </row>
    <row r="160" customFormat="false" ht="13.8" hidden="false" customHeight="false" outlineLevel="0" collapsed="false">
      <c r="A160" s="33" t="n">
        <v>159</v>
      </c>
      <c r="B160" s="32" t="n">
        <v>45085</v>
      </c>
      <c r="C160" s="33" t="n">
        <v>7733</v>
      </c>
      <c r="D160" s="33" t="n">
        <f aca="false">C160-C159</f>
        <v>489</v>
      </c>
      <c r="E160" s="33" t="n">
        <v>357.3</v>
      </c>
      <c r="F160" s="33" t="n">
        <f aca="false">E160-E159</f>
        <v>28.5</v>
      </c>
      <c r="G160" s="33" t="n">
        <v>5.57</v>
      </c>
      <c r="H160" s="33" t="n">
        <f aca="false">G160-G159</f>
        <v>0.350000000000001</v>
      </c>
      <c r="I160" s="33" t="n">
        <v>86</v>
      </c>
      <c r="J160" s="33" t="n">
        <f aca="false">I160-I159</f>
        <v>9</v>
      </c>
      <c r="K160" s="1" t="s">
        <v>182</v>
      </c>
      <c r="L160" s="1" t="n">
        <f aca="false">VAR($C$153:$C$182)</f>
        <v>16429802.9298851</v>
      </c>
      <c r="M160" s="1" t="n">
        <f aca="false">VAR($E$153:$E$182)</f>
        <v>30991.6016206897</v>
      </c>
      <c r="N160" s="1" t="n">
        <f aca="false">VAR($G$153:$G$182)</f>
        <v>8.51367540229885</v>
      </c>
      <c r="O160" s="1" t="n">
        <f aca="false">VAR($I$153:$I$182)</f>
        <v>1271.85747126437</v>
      </c>
    </row>
    <row r="161" customFormat="false" ht="13.8" hidden="false" customHeight="false" outlineLevel="0" collapsed="false">
      <c r="A161" s="1" t="n">
        <v>160</v>
      </c>
      <c r="B161" s="32" t="n">
        <v>45086</v>
      </c>
      <c r="C161" s="33" t="n">
        <v>11003</v>
      </c>
      <c r="D161" s="33" t="n">
        <f aca="false">C161-C160</f>
        <v>3270</v>
      </c>
      <c r="E161" s="33" t="n">
        <v>475.4</v>
      </c>
      <c r="F161" s="33" t="n">
        <f aca="false">E161-E160</f>
        <v>118.1</v>
      </c>
      <c r="G161" s="33" t="n">
        <v>7.92</v>
      </c>
      <c r="H161" s="33" t="n">
        <f aca="false">G161-G160</f>
        <v>2.35</v>
      </c>
      <c r="I161" s="33" t="n">
        <v>93</v>
      </c>
      <c r="J161" s="33" t="n">
        <f aca="false">I161-I160</f>
        <v>7</v>
      </c>
      <c r="K161" s="1" t="s">
        <v>16</v>
      </c>
      <c r="L161" s="1" t="n">
        <f aca="false">STDEV($C$153:$C$182)</f>
        <v>4053.36933055514</v>
      </c>
      <c r="M161" s="1" t="n">
        <f aca="false">STDEV($E$153:$E$182)</f>
        <v>176.044317206463</v>
      </c>
      <c r="N161" s="1" t="n">
        <f aca="false">STDEV($G$153:$G$182)</f>
        <v>2.91782031700015</v>
      </c>
      <c r="O161" s="1" t="n">
        <f aca="false">STDEV($I$153:$I$182)</f>
        <v>35.6631107906246</v>
      </c>
    </row>
    <row r="162" customFormat="false" ht="13.8" hidden="false" customHeight="false" outlineLevel="0" collapsed="false">
      <c r="A162" s="33" t="n">
        <v>161</v>
      </c>
      <c r="B162" s="32" t="n">
        <v>45087</v>
      </c>
      <c r="C162" s="33" t="n">
        <v>12803</v>
      </c>
      <c r="D162" s="33" t="n">
        <f aca="false">C162-C161</f>
        <v>1800</v>
      </c>
      <c r="E162" s="33" t="n">
        <v>558.3</v>
      </c>
      <c r="F162" s="33" t="n">
        <f aca="false">E162-E161</f>
        <v>82.9</v>
      </c>
      <c r="G162" s="33" t="n">
        <v>9.22</v>
      </c>
      <c r="H162" s="33" t="n">
        <f aca="false">G162-G161</f>
        <v>1.3</v>
      </c>
      <c r="I162" s="33" t="n">
        <v>114</v>
      </c>
      <c r="J162" s="33" t="n">
        <f aca="false">I162-I161</f>
        <v>21</v>
      </c>
      <c r="K162" s="1" t="s">
        <v>20</v>
      </c>
      <c r="L162" s="1" t="n">
        <f aca="false">KURT($C$153:$C$182)</f>
        <v>1.41463015437139</v>
      </c>
      <c r="M162" s="1" t="n">
        <f aca="false">KURT($E$153:$E$182)</f>
        <v>1.5833852706664</v>
      </c>
      <c r="N162" s="1" t="n">
        <f aca="false">KURT($G$153:$G$182)</f>
        <v>1.41361889841663</v>
      </c>
      <c r="O162" s="1" t="n">
        <f aca="false">KURT($I$153:$I$182)</f>
        <v>1.01943291626507</v>
      </c>
    </row>
    <row r="163" customFormat="false" ht="13.8" hidden="false" customHeight="false" outlineLevel="0" collapsed="false">
      <c r="A163" s="1" t="n">
        <v>162</v>
      </c>
      <c r="B163" s="32" t="n">
        <v>45088</v>
      </c>
      <c r="C163" s="33" t="n">
        <v>14183</v>
      </c>
      <c r="D163" s="33" t="n">
        <f aca="false">C163-C162</f>
        <v>1380</v>
      </c>
      <c r="E163" s="33" t="n">
        <v>651.6</v>
      </c>
      <c r="F163" s="33" t="n">
        <f aca="false">E163-E162</f>
        <v>93.3000000000001</v>
      </c>
      <c r="G163" s="33" t="n">
        <v>10.21</v>
      </c>
      <c r="H163" s="33" t="n">
        <f aca="false">G163-G162</f>
        <v>0.99</v>
      </c>
      <c r="I163" s="33" t="n">
        <v>155</v>
      </c>
      <c r="J163" s="33" t="n">
        <f aca="false">I163-I162</f>
        <v>41</v>
      </c>
      <c r="K163" s="1" t="s">
        <v>22</v>
      </c>
      <c r="L163" s="1" t="n">
        <f aca="false">SKEW($C$153:$C$182)</f>
        <v>1.11460961875157</v>
      </c>
      <c r="M163" s="1" t="n">
        <f aca="false">SKEW($E$153:$E$182)</f>
        <v>1.11911796713119</v>
      </c>
      <c r="N163" s="1" t="n">
        <f aca="false">SKEW($G$153:$G$182)</f>
        <v>1.11395793700857</v>
      </c>
      <c r="O163" s="1" t="n">
        <f aca="false">SKEW($I$153:$I$182)</f>
        <v>0.847849095211908</v>
      </c>
    </row>
    <row r="164" customFormat="false" ht="13.8" hidden="false" customHeight="false" outlineLevel="0" collapsed="false">
      <c r="A164" s="33" t="n">
        <v>163</v>
      </c>
      <c r="B164" s="32" t="n">
        <v>45089</v>
      </c>
      <c r="C164" s="33" t="n">
        <v>9553</v>
      </c>
      <c r="D164" s="33" t="n">
        <f aca="false">C164-C163</f>
        <v>-4630</v>
      </c>
      <c r="E164" s="33" t="n">
        <v>426.7</v>
      </c>
      <c r="F164" s="33" t="n">
        <f aca="false">E164-E163</f>
        <v>-224.9</v>
      </c>
      <c r="G164" s="33" t="n">
        <v>6.88</v>
      </c>
      <c r="H164" s="33" t="n">
        <f aca="false">G164-G163</f>
        <v>-3.33</v>
      </c>
      <c r="I164" s="33" t="n">
        <v>98</v>
      </c>
      <c r="J164" s="33" t="n">
        <f aca="false">I164-I163</f>
        <v>-57</v>
      </c>
      <c r="K164" s="1" t="s">
        <v>24</v>
      </c>
      <c r="L164" s="1" t="n">
        <f aca="false">MAX($C$153:$C$182)-MIN($C$153:$C$182)</f>
        <v>18407</v>
      </c>
      <c r="M164" s="1" t="n">
        <f aca="false">MAX($E$153:$E$182)-MIN($E$153:$E$182)</f>
        <v>819</v>
      </c>
      <c r="N164" s="1" t="n">
        <f aca="false">MAX($G$153:$G$182)-MIN($G$153:$G$182)</f>
        <v>13.25</v>
      </c>
      <c r="O164" s="1" t="n">
        <f aca="false">MAX($I$153:$I$182)-MIN($I$153:$I$182)</f>
        <v>164</v>
      </c>
    </row>
    <row r="165" customFormat="false" ht="13.8" hidden="false" customHeight="false" outlineLevel="0" collapsed="false">
      <c r="A165" s="1" t="n">
        <v>164</v>
      </c>
      <c r="B165" s="32" t="n">
        <v>45090</v>
      </c>
      <c r="C165" s="33" t="n">
        <v>8465</v>
      </c>
      <c r="D165" s="33" t="n">
        <f aca="false">C165-C164</f>
        <v>-1088</v>
      </c>
      <c r="E165" s="33" t="n">
        <v>386.4</v>
      </c>
      <c r="F165" s="33" t="n">
        <f aca="false">E165-E164</f>
        <v>-40.3</v>
      </c>
      <c r="G165" s="33" t="n">
        <v>6.09</v>
      </c>
      <c r="H165" s="33" t="n">
        <f aca="false">G165-G164</f>
        <v>-0.79</v>
      </c>
      <c r="I165" s="33" t="n">
        <v>92</v>
      </c>
      <c r="J165" s="33" t="n">
        <f aca="false">I165-I164</f>
        <v>-6</v>
      </c>
      <c r="K165" s="1" t="s">
        <v>26</v>
      </c>
      <c r="L165" s="1" t="n">
        <f aca="false">MIN($C$153:$C$182)</f>
        <v>2664</v>
      </c>
      <c r="M165" s="1" t="n">
        <f aca="false">MIN($E$153:$E$182)</f>
        <v>121.9</v>
      </c>
      <c r="N165" s="1" t="n">
        <f aca="false">MIN($G$153:$G$182)</f>
        <v>1.92</v>
      </c>
      <c r="O165" s="1" t="n">
        <f aca="false">MIN($I$153:$I$182)</f>
        <v>27</v>
      </c>
    </row>
    <row r="166" customFormat="false" ht="13.8" hidden="false" customHeight="false" outlineLevel="0" collapsed="false">
      <c r="A166" s="33" t="n">
        <v>165</v>
      </c>
      <c r="B166" s="32" t="n">
        <v>45091</v>
      </c>
      <c r="C166" s="33" t="n">
        <v>6648</v>
      </c>
      <c r="D166" s="33" t="n">
        <f aca="false">C166-C165</f>
        <v>-1817</v>
      </c>
      <c r="E166" s="33" t="n">
        <v>300.9</v>
      </c>
      <c r="F166" s="33" t="n">
        <f aca="false">E166-E165</f>
        <v>-85.5</v>
      </c>
      <c r="G166" s="33" t="n">
        <v>4.79</v>
      </c>
      <c r="H166" s="33" t="n">
        <f aca="false">G166-G165</f>
        <v>-1.3</v>
      </c>
      <c r="I166" s="33" t="n">
        <v>70</v>
      </c>
      <c r="J166" s="33" t="n">
        <f aca="false">I166-I165</f>
        <v>-22</v>
      </c>
      <c r="K166" s="1" t="s">
        <v>28</v>
      </c>
      <c r="L166" s="1" t="n">
        <f aca="false">MAX($C$153:$C$182)</f>
        <v>21071</v>
      </c>
      <c r="M166" s="1" t="n">
        <f aca="false">MAX($E$153:$E$182)</f>
        <v>940.9</v>
      </c>
      <c r="N166" s="1" t="n">
        <f aca="false">MAX($G$153:$G$182)</f>
        <v>15.17</v>
      </c>
      <c r="O166" s="1" t="n">
        <f aca="false">MAX($I$153:$I$182)</f>
        <v>191</v>
      </c>
    </row>
    <row r="167" customFormat="false" ht="13.8" hidden="false" customHeight="false" outlineLevel="0" collapsed="false">
      <c r="A167" s="1" t="n">
        <v>166</v>
      </c>
      <c r="B167" s="32" t="n">
        <v>45092</v>
      </c>
      <c r="C167" s="33" t="n">
        <v>8816</v>
      </c>
      <c r="D167" s="33" t="n">
        <f aca="false">C167-C166</f>
        <v>2168</v>
      </c>
      <c r="E167" s="33" t="n">
        <v>393.9</v>
      </c>
      <c r="F167" s="33" t="n">
        <f aca="false">E167-E166</f>
        <v>93</v>
      </c>
      <c r="G167" s="33" t="n">
        <v>6.35</v>
      </c>
      <c r="H167" s="33" t="n">
        <f aca="false">G167-G166</f>
        <v>1.56</v>
      </c>
      <c r="I167" s="33" t="n">
        <v>90</v>
      </c>
      <c r="J167" s="33" t="n">
        <f aca="false">I167-I166</f>
        <v>20</v>
      </c>
      <c r="K167" s="1" t="s">
        <v>30</v>
      </c>
      <c r="L167" s="1" t="n">
        <f aca="false">SUM($C$153:$C$182)</f>
        <v>286591</v>
      </c>
      <c r="M167" s="1" t="n">
        <f aca="false">SUM($E$153:$E$182)</f>
        <v>12750.3</v>
      </c>
      <c r="N167" s="1" t="n">
        <f aca="false">SUM($G$153:$G$182)</f>
        <v>206.38</v>
      </c>
      <c r="O167" s="1" t="n">
        <f aca="false">SUM($I$153:$I$182)</f>
        <v>2788</v>
      </c>
    </row>
    <row r="168" customFormat="false" ht="13.8" hidden="false" customHeight="false" outlineLevel="0" collapsed="false">
      <c r="A168" s="33" t="n">
        <v>167</v>
      </c>
      <c r="B168" s="32" t="n">
        <v>45093</v>
      </c>
      <c r="C168" s="33" t="n">
        <v>6525</v>
      </c>
      <c r="D168" s="33" t="n">
        <f aca="false">C168-C167</f>
        <v>-2291</v>
      </c>
      <c r="E168" s="33" t="n">
        <v>291.3</v>
      </c>
      <c r="F168" s="33" t="n">
        <f aca="false">E168-E167</f>
        <v>-102.6</v>
      </c>
      <c r="G168" s="33" t="n">
        <v>4.7</v>
      </c>
      <c r="H168" s="33" t="n">
        <f aca="false">G168-G167</f>
        <v>-1.65</v>
      </c>
      <c r="I168" s="33" t="n">
        <v>63</v>
      </c>
      <c r="J168" s="33" t="n">
        <f aca="false">I168-I167</f>
        <v>-27</v>
      </c>
      <c r="K168" s="1" t="s">
        <v>32</v>
      </c>
      <c r="L168" s="1" t="n">
        <f aca="false">COUNT($C$153:$C$182)</f>
        <v>30</v>
      </c>
      <c r="M168" s="1" t="n">
        <f aca="false">COUNT($E$153:$E$182)</f>
        <v>30</v>
      </c>
      <c r="N168" s="1" t="n">
        <f aca="false">COUNT($G$153:$G$182)</f>
        <v>30</v>
      </c>
      <c r="O168" s="1" t="n">
        <f aca="false">COUNT($I$153:$I$182)</f>
        <v>30</v>
      </c>
    </row>
    <row r="169" customFormat="false" ht="13.8" hidden="false" customHeight="false" outlineLevel="0" collapsed="false">
      <c r="A169" s="1" t="n">
        <v>168</v>
      </c>
      <c r="B169" s="32" t="n">
        <v>45094</v>
      </c>
      <c r="C169" s="33" t="n">
        <v>9272</v>
      </c>
      <c r="D169" s="33" t="n">
        <f aca="false">C169-C168</f>
        <v>2747</v>
      </c>
      <c r="E169" s="33" t="n">
        <v>404.6</v>
      </c>
      <c r="F169" s="33" t="n">
        <f aca="false">E169-E168</f>
        <v>113.3</v>
      </c>
      <c r="G169" s="33" t="n">
        <v>6.68</v>
      </c>
      <c r="H169" s="33" t="n">
        <f aca="false">G169-G168</f>
        <v>1.98</v>
      </c>
      <c r="I169" s="33" t="n">
        <v>83</v>
      </c>
      <c r="J169" s="33" t="n">
        <f aca="false">I169-I168</f>
        <v>20</v>
      </c>
    </row>
    <row r="170" customFormat="false" ht="13.8" hidden="false" customHeight="false" outlineLevel="0" collapsed="false">
      <c r="A170" s="33" t="n">
        <v>169</v>
      </c>
      <c r="B170" s="32" t="n">
        <v>45095</v>
      </c>
      <c r="C170" s="33" t="n">
        <v>18056</v>
      </c>
      <c r="D170" s="33" t="n">
        <f aca="false">C170-C169</f>
        <v>8784</v>
      </c>
      <c r="E170" s="33" t="n">
        <v>774.9</v>
      </c>
      <c r="F170" s="33" t="n">
        <f aca="false">E170-E169</f>
        <v>370.3</v>
      </c>
      <c r="G170" s="33" t="n">
        <v>13</v>
      </c>
      <c r="H170" s="33" t="n">
        <f aca="false">G170-G169</f>
        <v>6.32</v>
      </c>
      <c r="I170" s="33" t="n">
        <v>158</v>
      </c>
      <c r="J170" s="33" t="n">
        <f aca="false">I170-I169</f>
        <v>75</v>
      </c>
    </row>
    <row r="171" customFormat="false" ht="13.8" hidden="false" customHeight="false" outlineLevel="0" collapsed="false">
      <c r="A171" s="1" t="n">
        <v>170</v>
      </c>
      <c r="B171" s="32" t="n">
        <v>45096</v>
      </c>
      <c r="C171" s="33" t="n">
        <v>11498</v>
      </c>
      <c r="D171" s="33" t="n">
        <f aca="false">C171-C170</f>
        <v>-6558</v>
      </c>
      <c r="E171" s="33" t="n">
        <v>528.5</v>
      </c>
      <c r="F171" s="33" t="n">
        <f aca="false">E171-E170</f>
        <v>-246.4</v>
      </c>
      <c r="G171" s="33" t="n">
        <v>8.28</v>
      </c>
      <c r="H171" s="33" t="n">
        <f aca="false">G171-G170</f>
        <v>-4.72</v>
      </c>
      <c r="I171" s="33" t="n">
        <v>125</v>
      </c>
      <c r="J171" s="33" t="n">
        <f aca="false">I171-I170</f>
        <v>-33</v>
      </c>
    </row>
    <row r="172" customFormat="false" ht="13.8" hidden="false" customHeight="false" outlineLevel="0" collapsed="false">
      <c r="A172" s="33" t="n">
        <v>171</v>
      </c>
      <c r="B172" s="32" t="n">
        <v>45097</v>
      </c>
      <c r="C172" s="33" t="n">
        <v>9387</v>
      </c>
      <c r="D172" s="33" t="n">
        <f aca="false">C172-C171</f>
        <v>-2111</v>
      </c>
      <c r="E172" s="33" t="n">
        <v>431</v>
      </c>
      <c r="F172" s="33" t="n">
        <f aca="false">E172-E171</f>
        <v>-97.5</v>
      </c>
      <c r="G172" s="33" t="n">
        <v>6.76</v>
      </c>
      <c r="H172" s="33" t="n">
        <f aca="false">G172-G171</f>
        <v>-1.52</v>
      </c>
      <c r="I172" s="33" t="n">
        <v>101</v>
      </c>
      <c r="J172" s="33" t="n">
        <f aca="false">I172-I171</f>
        <v>-24</v>
      </c>
    </row>
    <row r="173" customFormat="false" ht="13.8" hidden="false" customHeight="false" outlineLevel="0" collapsed="false">
      <c r="A173" s="1" t="n">
        <v>172</v>
      </c>
      <c r="B173" s="32" t="n">
        <v>45098</v>
      </c>
      <c r="C173" s="33" t="n">
        <v>7055</v>
      </c>
      <c r="D173" s="33" t="n">
        <f aca="false">C173-C172</f>
        <v>-2332</v>
      </c>
      <c r="E173" s="33" t="n">
        <v>310.5</v>
      </c>
      <c r="F173" s="33" t="n">
        <f aca="false">E173-E172</f>
        <v>-120.5</v>
      </c>
      <c r="G173" s="33" t="n">
        <v>5.08</v>
      </c>
      <c r="H173" s="33" t="n">
        <f aca="false">G173-G172</f>
        <v>-1.68</v>
      </c>
      <c r="I173" s="33" t="n">
        <v>66</v>
      </c>
      <c r="J173" s="33" t="n">
        <f aca="false">I173-I172</f>
        <v>-35</v>
      </c>
    </row>
    <row r="174" customFormat="false" ht="13.8" hidden="false" customHeight="false" outlineLevel="0" collapsed="false">
      <c r="A174" s="33" t="n">
        <v>173</v>
      </c>
      <c r="B174" s="32" t="n">
        <v>45099</v>
      </c>
      <c r="C174" s="33" t="n">
        <v>4760</v>
      </c>
      <c r="D174" s="33" t="n">
        <f aca="false">C174-C173</f>
        <v>-2295</v>
      </c>
      <c r="E174" s="33" t="n">
        <v>214.8</v>
      </c>
      <c r="F174" s="33" t="n">
        <f aca="false">E174-E173</f>
        <v>-95.7</v>
      </c>
      <c r="G174" s="33" t="n">
        <v>3.43</v>
      </c>
      <c r="H174" s="33" t="n">
        <f aca="false">G174-G173</f>
        <v>-1.65</v>
      </c>
      <c r="I174" s="33" t="n">
        <v>50</v>
      </c>
      <c r="J174" s="33" t="n">
        <f aca="false">I174-I173</f>
        <v>-16</v>
      </c>
    </row>
    <row r="175" customFormat="false" ht="13.8" hidden="false" customHeight="false" outlineLevel="0" collapsed="false">
      <c r="A175" s="1" t="n">
        <v>174</v>
      </c>
      <c r="B175" s="32" t="n">
        <v>45100</v>
      </c>
      <c r="C175" s="33" t="n">
        <v>6317</v>
      </c>
      <c r="D175" s="33" t="n">
        <f aca="false">C175-C174</f>
        <v>1557</v>
      </c>
      <c r="E175" s="33" t="n">
        <v>293.3</v>
      </c>
      <c r="F175" s="33" t="n">
        <f aca="false">E175-E174</f>
        <v>78.5</v>
      </c>
      <c r="G175" s="33" t="n">
        <v>4.55</v>
      </c>
      <c r="H175" s="33" t="n">
        <f aca="false">G175-G174</f>
        <v>1.12</v>
      </c>
      <c r="I175" s="33" t="n">
        <v>71</v>
      </c>
      <c r="J175" s="33" t="n">
        <f aca="false">I175-I174</f>
        <v>21</v>
      </c>
    </row>
    <row r="176" customFormat="false" ht="13.8" hidden="false" customHeight="false" outlineLevel="0" collapsed="false">
      <c r="A176" s="33" t="n">
        <v>175</v>
      </c>
      <c r="B176" s="32" t="n">
        <v>45101</v>
      </c>
      <c r="C176" s="33" t="n">
        <v>21071</v>
      </c>
      <c r="D176" s="33" t="n">
        <f aca="false">C176-C175</f>
        <v>14754</v>
      </c>
      <c r="E176" s="33" t="n">
        <v>940.9</v>
      </c>
      <c r="F176" s="33" t="n">
        <f aca="false">E176-E175</f>
        <v>647.6</v>
      </c>
      <c r="G176" s="33" t="n">
        <v>15.17</v>
      </c>
      <c r="H176" s="33" t="n">
        <f aca="false">G176-G175</f>
        <v>10.62</v>
      </c>
      <c r="I176" s="33" t="n">
        <v>191</v>
      </c>
      <c r="J176" s="33" t="n">
        <f aca="false">I176-I175</f>
        <v>120</v>
      </c>
    </row>
    <row r="177" customFormat="false" ht="13.8" hidden="false" customHeight="false" outlineLevel="0" collapsed="false">
      <c r="A177" s="1" t="n">
        <v>176</v>
      </c>
      <c r="B177" s="32" t="n">
        <v>45102</v>
      </c>
      <c r="C177" s="33" t="n">
        <v>2664</v>
      </c>
      <c r="D177" s="33" t="n">
        <f aca="false">C177-C176</f>
        <v>-18407</v>
      </c>
      <c r="E177" s="33" t="n">
        <v>121.9</v>
      </c>
      <c r="F177" s="33" t="n">
        <f aca="false">E177-E176</f>
        <v>-819</v>
      </c>
      <c r="G177" s="33" t="n">
        <v>1.92</v>
      </c>
      <c r="H177" s="33" t="n">
        <f aca="false">G177-G176</f>
        <v>-13.25</v>
      </c>
      <c r="I177" s="33" t="n">
        <v>27</v>
      </c>
      <c r="J177" s="33" t="n">
        <f aca="false">I177-I176</f>
        <v>-164</v>
      </c>
    </row>
    <row r="178" customFormat="false" ht="13.8" hidden="false" customHeight="false" outlineLevel="0" collapsed="false">
      <c r="A178" s="33" t="n">
        <v>177</v>
      </c>
      <c r="B178" s="32" t="n">
        <v>45103</v>
      </c>
      <c r="C178" s="33" t="n">
        <v>12771</v>
      </c>
      <c r="D178" s="33" t="n">
        <f aca="false">C178-C177</f>
        <v>10107</v>
      </c>
      <c r="E178" s="33" t="n">
        <v>548.6</v>
      </c>
      <c r="F178" s="33" t="n">
        <f aca="false">E178-E177</f>
        <v>426.7</v>
      </c>
      <c r="G178" s="33" t="n">
        <v>9.2</v>
      </c>
      <c r="H178" s="33" t="n">
        <f aca="false">G178-G177</f>
        <v>7.28</v>
      </c>
      <c r="I178" s="33" t="n">
        <v>106</v>
      </c>
      <c r="J178" s="33" t="n">
        <f aca="false">I178-I177</f>
        <v>79</v>
      </c>
    </row>
    <row r="179" customFormat="false" ht="13.8" hidden="false" customHeight="false" outlineLevel="0" collapsed="false">
      <c r="A179" s="1" t="n">
        <v>178</v>
      </c>
      <c r="B179" s="32" t="n">
        <v>45104</v>
      </c>
      <c r="C179" s="33" t="n">
        <v>16877</v>
      </c>
      <c r="D179" s="33" t="n">
        <f aca="false">C179-C178</f>
        <v>4106</v>
      </c>
      <c r="E179" s="33" t="n">
        <v>724.4</v>
      </c>
      <c r="F179" s="33" t="n">
        <f aca="false">E179-E178</f>
        <v>175.8</v>
      </c>
      <c r="G179" s="33" t="n">
        <v>12.15</v>
      </c>
      <c r="H179" s="33" t="n">
        <f aca="false">G179-G178</f>
        <v>2.95</v>
      </c>
      <c r="I179" s="33" t="n">
        <v>143</v>
      </c>
      <c r="J179" s="33" t="n">
        <f aca="false">I179-I178</f>
        <v>37</v>
      </c>
    </row>
    <row r="180" customFormat="false" ht="13.8" hidden="false" customHeight="false" outlineLevel="0" collapsed="false">
      <c r="A180" s="33" t="n">
        <v>179</v>
      </c>
      <c r="B180" s="32" t="n">
        <v>45105</v>
      </c>
      <c r="C180" s="33" t="n">
        <v>6889</v>
      </c>
      <c r="D180" s="33" t="n">
        <f aca="false">C180-C179</f>
        <v>-9988</v>
      </c>
      <c r="E180" s="33" t="n">
        <v>308.9</v>
      </c>
      <c r="F180" s="33" t="n">
        <f aca="false">E180-E179</f>
        <v>-415.5</v>
      </c>
      <c r="G180" s="33" t="n">
        <v>4.96</v>
      </c>
      <c r="H180" s="33" t="n">
        <f aca="false">G180-G179</f>
        <v>-7.19</v>
      </c>
      <c r="I180" s="33" t="n">
        <v>71</v>
      </c>
      <c r="J180" s="33" t="n">
        <f aca="false">I180-I179</f>
        <v>-72</v>
      </c>
    </row>
    <row r="181" customFormat="false" ht="13.8" hidden="false" customHeight="false" outlineLevel="0" collapsed="false">
      <c r="A181" s="1" t="n">
        <v>180</v>
      </c>
      <c r="B181" s="32" t="n">
        <v>45106</v>
      </c>
      <c r="C181" s="33" t="n">
        <v>5089</v>
      </c>
      <c r="D181" s="33" t="n">
        <f aca="false">C181-C180</f>
        <v>-1800</v>
      </c>
      <c r="E181" s="33" t="n">
        <v>229.9</v>
      </c>
      <c r="F181" s="33" t="n">
        <f aca="false">E181-E180</f>
        <v>-79</v>
      </c>
      <c r="G181" s="33" t="n">
        <v>3.66</v>
      </c>
      <c r="H181" s="33" t="n">
        <f aca="false">G181-G180</f>
        <v>-1.3</v>
      </c>
      <c r="I181" s="33" t="n">
        <v>44</v>
      </c>
      <c r="J181" s="33" t="n">
        <f aca="false">I181-I180</f>
        <v>-27</v>
      </c>
    </row>
    <row r="182" customFormat="false" ht="13.8" hidden="false" customHeight="false" outlineLevel="0" collapsed="false">
      <c r="A182" s="33" t="n">
        <v>181</v>
      </c>
      <c r="B182" s="32" t="n">
        <v>45107</v>
      </c>
      <c r="C182" s="33" t="n">
        <v>9565</v>
      </c>
      <c r="D182" s="33" t="n">
        <f aca="false">C182-C181</f>
        <v>4476</v>
      </c>
      <c r="E182" s="33" t="n">
        <v>415.6</v>
      </c>
      <c r="F182" s="33" t="n">
        <f aca="false">E182-E181</f>
        <v>185.7</v>
      </c>
      <c r="G182" s="33" t="n">
        <v>6.89</v>
      </c>
      <c r="H182" s="33" t="n">
        <f aca="false">G182-G181</f>
        <v>3.23</v>
      </c>
      <c r="I182" s="33" t="n">
        <v>90</v>
      </c>
      <c r="J182" s="33" t="n">
        <f aca="false">I182-I181</f>
        <v>46</v>
      </c>
    </row>
    <row r="183" customFormat="false" ht="13.8" hidden="false" customHeight="false" outlineLevel="0" collapsed="false">
      <c r="A183" s="1" t="n">
        <v>182</v>
      </c>
      <c r="B183" s="32" t="n">
        <v>45108</v>
      </c>
      <c r="C183" s="33"/>
      <c r="D183" s="33" t="n">
        <f aca="false">C183-C182</f>
        <v>-9565</v>
      </c>
      <c r="E183" s="33"/>
      <c r="F183" s="33" t="n">
        <f aca="false">E183-E182</f>
        <v>-415.6</v>
      </c>
      <c r="G183" s="33"/>
      <c r="H183" s="33" t="n">
        <f aca="false">G183-G182</f>
        <v>-6.89</v>
      </c>
      <c r="I183" s="33"/>
      <c r="J183" s="33" t="n">
        <f aca="false">I183-I182</f>
        <v>-90</v>
      </c>
      <c r="L183" s="34" t="s">
        <v>2</v>
      </c>
      <c r="M183" s="34" t="s">
        <v>179</v>
      </c>
      <c r="N183" s="34" t="s">
        <v>175</v>
      </c>
      <c r="O183" s="34" t="s">
        <v>177</v>
      </c>
    </row>
    <row r="184" customFormat="false" ht="13.8" hidden="false" customHeight="false" outlineLevel="0" collapsed="false">
      <c r="A184" s="33" t="n">
        <v>183</v>
      </c>
      <c r="B184" s="32" t="n">
        <v>45109</v>
      </c>
      <c r="C184" s="33"/>
      <c r="D184" s="33" t="n">
        <f aca="false">C184-C183</f>
        <v>0</v>
      </c>
      <c r="E184" s="33"/>
      <c r="F184" s="33" t="n">
        <f aca="false">E184-E183</f>
        <v>0</v>
      </c>
      <c r="G184" s="33"/>
      <c r="H184" s="33" t="n">
        <f aca="false">G184-G183</f>
        <v>0</v>
      </c>
      <c r="I184" s="33"/>
      <c r="J184" s="33" t="n">
        <f aca="false">I184-I183</f>
        <v>0</v>
      </c>
      <c r="K184" s="1" t="s">
        <v>8</v>
      </c>
      <c r="L184" s="1" t="n">
        <f aca="false">AVERAGE($C$183:$C$213)</f>
        <v>10876.6428571429</v>
      </c>
      <c r="M184" s="1" t="n">
        <f aca="false">AVERAGE($E$183:$E$213)</f>
        <v>481.507142857143</v>
      </c>
      <c r="N184" s="1" t="n">
        <f aca="false">AVERAGE($G$183:$G$213)</f>
        <v>7.61285714285714</v>
      </c>
      <c r="O184" s="1" t="n">
        <f aca="false">AVERAGE($I$183:$I$213)</f>
        <v>103.571428571429</v>
      </c>
    </row>
    <row r="185" customFormat="false" ht="13.8" hidden="false" customHeight="false" outlineLevel="0" collapsed="false">
      <c r="A185" s="1" t="n">
        <v>184</v>
      </c>
      <c r="B185" s="32" t="n">
        <v>45110</v>
      </c>
      <c r="C185" s="33"/>
      <c r="D185" s="33" t="n">
        <f aca="false">C185-C184</f>
        <v>0</v>
      </c>
      <c r="E185" s="33"/>
      <c r="F185" s="33" t="n">
        <f aca="false">E185-E184</f>
        <v>0</v>
      </c>
      <c r="G185" s="33"/>
      <c r="H185" s="33" t="n">
        <f aca="false">G185-G184</f>
        <v>0</v>
      </c>
      <c r="I185" s="33"/>
      <c r="J185" s="33" t="n">
        <f aca="false">I185-I184</f>
        <v>0</v>
      </c>
      <c r="K185" s="1" t="s">
        <v>10</v>
      </c>
      <c r="L185" s="1" t="n">
        <f aca="false">SQRT(VAR($C$183:$C$213)/COUNT($C$183:$C$213))</f>
        <v>931.106936689347</v>
      </c>
      <c r="M185" s="1" t="n">
        <f aca="false">SQRT(VAR($E$183:$E$213)/COUNT($E$183:$E$213))</f>
        <v>39.092280883146</v>
      </c>
      <c r="N185" s="1" t="n">
        <f aca="false">SQRT(VAR($G$183:$G$213)/COUNT($G$183:$G$213))</f>
        <v>0.651401218820391</v>
      </c>
      <c r="O185" s="1" t="n">
        <f aca="false">SQRT(VAR($I$183:$I$213)/COUNT($I$183:$I$213))</f>
        <v>8.99860446183721</v>
      </c>
    </row>
    <row r="186" customFormat="false" ht="13.8" hidden="false" customHeight="false" outlineLevel="0" collapsed="false">
      <c r="A186" s="33" t="n">
        <v>185</v>
      </c>
      <c r="B186" s="32" t="n">
        <v>45111</v>
      </c>
      <c r="C186" s="33"/>
      <c r="D186" s="33" t="n">
        <f aca="false">C186-C185</f>
        <v>0</v>
      </c>
      <c r="E186" s="33"/>
      <c r="F186" s="33" t="n">
        <f aca="false">E186-E185</f>
        <v>0</v>
      </c>
      <c r="G186" s="33"/>
      <c r="H186" s="33" t="n">
        <f aca="false">G186-G185</f>
        <v>0</v>
      </c>
      <c r="I186" s="33"/>
      <c r="J186" s="33" t="n">
        <f aca="false">I186-I185</f>
        <v>0</v>
      </c>
      <c r="K186" s="1" t="s">
        <v>14</v>
      </c>
      <c r="L186" s="1" t="e">
        <f aca="false">MODE($C$183:$C$213)</f>
        <v>#VALUE!</v>
      </c>
      <c r="M186" s="1" t="e">
        <f aca="false">MODE($E$183:$E$213)</f>
        <v>#VALUE!</v>
      </c>
      <c r="N186" s="1" t="e">
        <f aca="false">MODE($G$183:$G$213)</f>
        <v>#VALUE!</v>
      </c>
      <c r="O186" s="1" t="n">
        <f aca="false">MODE($I$183:$I$213)</f>
        <v>104</v>
      </c>
    </row>
    <row r="187" customFormat="false" ht="13.8" hidden="false" customHeight="false" outlineLevel="0" collapsed="false">
      <c r="A187" s="1" t="n">
        <v>186</v>
      </c>
      <c r="B187" s="32" t="n">
        <v>45112</v>
      </c>
      <c r="C187" s="33"/>
      <c r="D187" s="33" t="n">
        <f aca="false">C187-C186</f>
        <v>0</v>
      </c>
      <c r="E187" s="33"/>
      <c r="F187" s="33" t="n">
        <f aca="false">E187-E186</f>
        <v>0</v>
      </c>
      <c r="G187" s="33"/>
      <c r="H187" s="33" t="n">
        <f aca="false">G187-G186</f>
        <v>0</v>
      </c>
      <c r="I187" s="33"/>
      <c r="J187" s="33" t="n">
        <f aca="false">I187-I186</f>
        <v>0</v>
      </c>
      <c r="K187" s="1" t="s">
        <v>12</v>
      </c>
      <c r="L187" s="1" t="n">
        <f aca="false">MEDIAN($C$183:$C$213)</f>
        <v>11125</v>
      </c>
      <c r="M187" s="1" t="n">
        <f aca="false">MEDIAN($E$183:$E$213)</f>
        <v>498.05</v>
      </c>
      <c r="N187" s="1" t="n">
        <f aca="false">MEDIAN($G$183:$G$213)</f>
        <v>7.785</v>
      </c>
      <c r="O187" s="1" t="n">
        <f aca="false">MEDIAN($I$183:$I$213)</f>
        <v>105</v>
      </c>
    </row>
    <row r="188" customFormat="false" ht="13.8" hidden="false" customHeight="false" outlineLevel="0" collapsed="false">
      <c r="A188" s="33" t="n">
        <v>187</v>
      </c>
      <c r="B188" s="32" t="n">
        <v>45113</v>
      </c>
      <c r="C188" s="33"/>
      <c r="D188" s="33" t="n">
        <f aca="false">C188-C187</f>
        <v>0</v>
      </c>
      <c r="E188" s="33"/>
      <c r="F188" s="33" t="n">
        <f aca="false">E188-E187</f>
        <v>0</v>
      </c>
      <c r="G188" s="33"/>
      <c r="H188" s="33" t="n">
        <f aca="false">G188-G187</f>
        <v>0</v>
      </c>
      <c r="I188" s="33"/>
      <c r="J188" s="33" t="n">
        <f aca="false">I188-I187</f>
        <v>0</v>
      </c>
      <c r="K188" s="1" t="s">
        <v>195</v>
      </c>
      <c r="L188" s="1" t="n">
        <f aca="false">QUARTILE($C$183:$C$213, 1)</f>
        <v>7837.75</v>
      </c>
      <c r="M188" s="1" t="n">
        <f aca="false">QUARTILE($E$183:$E$213, 1)</f>
        <v>355.7</v>
      </c>
      <c r="N188" s="1" t="n">
        <f aca="false">QUARTILE($G$183:$G$213, 1)</f>
        <v>5.49</v>
      </c>
      <c r="O188" s="1" t="n">
        <f aca="false">QUARTILE($I$183:$I$213, 1)</f>
        <v>84</v>
      </c>
    </row>
    <row r="189" customFormat="false" ht="13.8" hidden="false" customHeight="false" outlineLevel="0" collapsed="false">
      <c r="A189" s="1" t="n">
        <v>188</v>
      </c>
      <c r="B189" s="32" t="n">
        <v>45114</v>
      </c>
      <c r="C189" s="33"/>
      <c r="D189" s="33" t="n">
        <f aca="false">C189-C188</f>
        <v>0</v>
      </c>
      <c r="E189" s="33"/>
      <c r="F189" s="33" t="n">
        <f aca="false">E189-E188</f>
        <v>0</v>
      </c>
      <c r="G189" s="33"/>
      <c r="H189" s="33" t="n">
        <f aca="false">G189-G188</f>
        <v>0</v>
      </c>
      <c r="I189" s="33"/>
      <c r="J189" s="33" t="n">
        <f aca="false">I189-I188</f>
        <v>0</v>
      </c>
      <c r="K189" s="1" t="s">
        <v>181</v>
      </c>
      <c r="L189" s="1" t="n">
        <f aca="false">QUARTILE($C$183:$C$213, 3)</f>
        <v>13510.25</v>
      </c>
      <c r="M189" s="1" t="n">
        <f aca="false">QUARTILE($E$183:$E$213, 3)</f>
        <v>574.75</v>
      </c>
      <c r="N189" s="1" t="n">
        <f aca="false">QUARTILE($G$183:$G$213, 3)</f>
        <v>9.4575</v>
      </c>
      <c r="O189" s="1" t="n">
        <f aca="false">QUARTILE($I$183:$I$213, 3)</f>
        <v>117.75</v>
      </c>
    </row>
    <row r="190" customFormat="false" ht="13.8" hidden="false" customHeight="false" outlineLevel="0" collapsed="false">
      <c r="A190" s="33" t="n">
        <v>189</v>
      </c>
      <c r="B190" s="32" t="n">
        <v>45115</v>
      </c>
      <c r="C190" s="33"/>
      <c r="D190" s="33" t="n">
        <f aca="false">C190-C189</f>
        <v>0</v>
      </c>
      <c r="E190" s="33"/>
      <c r="F190" s="33" t="n">
        <f aca="false">E190-E189</f>
        <v>0</v>
      </c>
      <c r="G190" s="33"/>
      <c r="H190" s="33" t="n">
        <f aca="false">G190-G189</f>
        <v>0</v>
      </c>
      <c r="I190" s="33"/>
      <c r="J190" s="33" t="n">
        <f aca="false">I190-I189</f>
        <v>0</v>
      </c>
      <c r="K190" s="1" t="s">
        <v>182</v>
      </c>
      <c r="L190" s="1" t="n">
        <f aca="false">VAR($C$183:$C$213)</f>
        <v>12137441.7857143</v>
      </c>
      <c r="M190" s="1" t="n">
        <f aca="false">VAR($E$183:$E$213)</f>
        <v>21394.8899450549</v>
      </c>
      <c r="N190" s="1" t="n">
        <f aca="false">VAR($G$183:$G$213)</f>
        <v>5.94052967032967</v>
      </c>
      <c r="O190" s="1" t="n">
        <f aca="false">VAR($I$183:$I$213)</f>
        <v>1133.64835164835</v>
      </c>
    </row>
    <row r="191" customFormat="false" ht="13.8" hidden="false" customHeight="false" outlineLevel="0" collapsed="false">
      <c r="A191" s="1" t="n">
        <v>190</v>
      </c>
      <c r="B191" s="32" t="n">
        <v>45116</v>
      </c>
      <c r="C191" s="33"/>
      <c r="D191" s="33" t="n">
        <f aca="false">C191-C190</f>
        <v>0</v>
      </c>
      <c r="E191" s="33"/>
      <c r="F191" s="33" t="n">
        <f aca="false">E191-E190</f>
        <v>0</v>
      </c>
      <c r="G191" s="33"/>
      <c r="H191" s="33" t="n">
        <f aca="false">G191-G190</f>
        <v>0</v>
      </c>
      <c r="I191" s="33"/>
      <c r="J191" s="33" t="n">
        <f aca="false">I191-I190</f>
        <v>0</v>
      </c>
      <c r="K191" s="1" t="s">
        <v>16</v>
      </c>
      <c r="L191" s="1" t="n">
        <f aca="false">STDEV($C$183:$C$213)</f>
        <v>3483.88314754015</v>
      </c>
      <c r="M191" s="1" t="n">
        <f aca="false">STDEV($E$183:$E$213)</f>
        <v>146.269921532265</v>
      </c>
      <c r="N191" s="1" t="n">
        <f aca="false">STDEV($G$183:$G$213)</f>
        <v>2.43732018215286</v>
      </c>
      <c r="O191" s="1" t="n">
        <f aca="false">STDEV($I$183:$I$213)</f>
        <v>33.6696948552901</v>
      </c>
    </row>
    <row r="192" customFormat="false" ht="13.8" hidden="false" customHeight="false" outlineLevel="0" collapsed="false">
      <c r="A192" s="33" t="n">
        <v>191</v>
      </c>
      <c r="B192" s="32" t="n">
        <v>45117</v>
      </c>
      <c r="C192" s="33"/>
      <c r="D192" s="33" t="n">
        <f aca="false">C192-C191</f>
        <v>0</v>
      </c>
      <c r="E192" s="33"/>
      <c r="F192" s="33" t="n">
        <f aca="false">E192-E191</f>
        <v>0</v>
      </c>
      <c r="G192" s="33"/>
      <c r="H192" s="33" t="n">
        <f aca="false">G192-G191</f>
        <v>0</v>
      </c>
      <c r="I192" s="33"/>
      <c r="J192" s="33" t="n">
        <f aca="false">I192-I191</f>
        <v>0</v>
      </c>
      <c r="K192" s="1" t="s">
        <v>20</v>
      </c>
      <c r="L192" s="1" t="n">
        <f aca="false">KURT($C$183:$C$213)</f>
        <v>-1.41654951081047</v>
      </c>
      <c r="M192" s="1" t="n">
        <f aca="false">KURT($E$183:$E$213)</f>
        <v>-1.08647361702439</v>
      </c>
      <c r="N192" s="1" t="n">
        <f aca="false">KURT($G$183:$G$213)</f>
        <v>-1.4165849772319</v>
      </c>
      <c r="O192" s="1" t="n">
        <f aca="false">KURT($I$183:$I$213)</f>
        <v>1.8644472388291</v>
      </c>
    </row>
    <row r="193" customFormat="false" ht="13.8" hidden="false" customHeight="false" outlineLevel="0" collapsed="false">
      <c r="A193" s="1" t="n">
        <v>192</v>
      </c>
      <c r="B193" s="32" t="n">
        <v>45118</v>
      </c>
      <c r="C193" s="33"/>
      <c r="D193" s="33" t="n">
        <f aca="false">C193-C192</f>
        <v>0</v>
      </c>
      <c r="E193" s="33"/>
      <c r="F193" s="33" t="n">
        <f aca="false">E193-E192</f>
        <v>0</v>
      </c>
      <c r="G193" s="33"/>
      <c r="H193" s="33" t="n">
        <f aca="false">G193-G192</f>
        <v>0</v>
      </c>
      <c r="I193" s="33"/>
      <c r="J193" s="33" t="n">
        <f aca="false">I193-I192</f>
        <v>0</v>
      </c>
      <c r="K193" s="1" t="s">
        <v>22</v>
      </c>
      <c r="L193" s="1" t="n">
        <f aca="false">SKEW($C$183:$C$213)</f>
        <v>-0.118923460828394</v>
      </c>
      <c r="M193" s="1" t="n">
        <f aca="false">SKEW($E$183:$E$213)</f>
        <v>-0.166525615867968</v>
      </c>
      <c r="N193" s="1" t="n">
        <f aca="false">SKEW($G$183:$G$213)</f>
        <v>-0.11910132231607</v>
      </c>
      <c r="O193" s="1" t="n">
        <f aca="false">SKEW($I$183:$I$213)</f>
        <v>0.0698470348393013</v>
      </c>
    </row>
    <row r="194" customFormat="false" ht="13.8" hidden="false" customHeight="false" outlineLevel="0" collapsed="false">
      <c r="A194" s="33" t="n">
        <v>193</v>
      </c>
      <c r="B194" s="32" t="n">
        <v>45119</v>
      </c>
      <c r="C194" s="33"/>
      <c r="D194" s="33" t="n">
        <f aca="false">C194-C193</f>
        <v>0</v>
      </c>
      <c r="E194" s="33"/>
      <c r="F194" s="33" t="n">
        <f aca="false">E194-E193</f>
        <v>0</v>
      </c>
      <c r="G194" s="33"/>
      <c r="H194" s="33" t="n">
        <f aca="false">G194-G193</f>
        <v>0</v>
      </c>
      <c r="I194" s="33"/>
      <c r="J194" s="33" t="n">
        <f aca="false">I194-I193</f>
        <v>0</v>
      </c>
      <c r="K194" s="1" t="s">
        <v>24</v>
      </c>
      <c r="L194" s="1" t="n">
        <f aca="false">MAX($C$183:$C$213)-MIN($C$183:$C$213)</f>
        <v>10334</v>
      </c>
      <c r="M194" s="1" t="n">
        <f aca="false">MAX($E$183:$E$213)-MIN($E$183:$E$213)</f>
        <v>486.6</v>
      </c>
      <c r="N194" s="1" t="n">
        <f aca="false">MAX($G$183:$G$213)-MIN($G$183:$G$213)</f>
        <v>7.23</v>
      </c>
      <c r="O194" s="1" t="n">
        <f aca="false">MAX($I$183:$I$213)-MIN($I$183:$I$213)</f>
        <v>146</v>
      </c>
    </row>
    <row r="195" customFormat="false" ht="13.8" hidden="false" customHeight="false" outlineLevel="0" collapsed="false">
      <c r="A195" s="1" t="n">
        <v>194</v>
      </c>
      <c r="B195" s="32" t="n">
        <v>45120</v>
      </c>
      <c r="C195" s="33"/>
      <c r="D195" s="33" t="n">
        <f aca="false">C195-C194</f>
        <v>0</v>
      </c>
      <c r="E195" s="33"/>
      <c r="F195" s="33" t="n">
        <f aca="false">E195-E194</f>
        <v>0</v>
      </c>
      <c r="G195" s="33"/>
      <c r="H195" s="33" t="n">
        <f aca="false">G195-G194</f>
        <v>0</v>
      </c>
      <c r="I195" s="33"/>
      <c r="J195" s="33" t="n">
        <f aca="false">I195-I194</f>
        <v>0</v>
      </c>
      <c r="K195" s="1" t="s">
        <v>26</v>
      </c>
      <c r="L195" s="1" t="n">
        <f aca="false">MIN($C$183:$C$213)</f>
        <v>5027</v>
      </c>
      <c r="M195" s="1" t="n">
        <f aca="false">MIN($E$183:$E$213)</f>
        <v>223.3</v>
      </c>
      <c r="N195" s="1" t="n">
        <f aca="false">MIN($G$183:$G$213)</f>
        <v>3.52</v>
      </c>
      <c r="O195" s="1" t="n">
        <f aca="false">MIN($I$183:$I$213)</f>
        <v>32</v>
      </c>
    </row>
    <row r="196" customFormat="false" ht="13.8" hidden="false" customHeight="false" outlineLevel="0" collapsed="false">
      <c r="A196" s="33" t="n">
        <v>195</v>
      </c>
      <c r="B196" s="32" t="n">
        <v>45121</v>
      </c>
      <c r="C196" s="33"/>
      <c r="D196" s="33" t="n">
        <f aca="false">C196-C195</f>
        <v>0</v>
      </c>
      <c r="E196" s="33"/>
      <c r="F196" s="33" t="n">
        <f aca="false">E196-E195</f>
        <v>0</v>
      </c>
      <c r="G196" s="33"/>
      <c r="H196" s="33" t="n">
        <f aca="false">G196-G195</f>
        <v>0</v>
      </c>
      <c r="I196" s="33"/>
      <c r="J196" s="33" t="n">
        <f aca="false">I196-I195</f>
        <v>0</v>
      </c>
      <c r="K196" s="1" t="s">
        <v>28</v>
      </c>
      <c r="L196" s="1" t="n">
        <f aca="false">MAX($C$183:$C$213)</f>
        <v>15361</v>
      </c>
      <c r="M196" s="1" t="n">
        <f aca="false">MAX($E$183:$E$213)</f>
        <v>709.9</v>
      </c>
      <c r="N196" s="1" t="n">
        <f aca="false">MAX($G$183:$G$213)</f>
        <v>10.75</v>
      </c>
      <c r="O196" s="1" t="n">
        <f aca="false">MAX($I$183:$I$213)</f>
        <v>178</v>
      </c>
    </row>
    <row r="197" customFormat="false" ht="13.8" hidden="false" customHeight="false" outlineLevel="0" collapsed="false">
      <c r="A197" s="1" t="n">
        <v>196</v>
      </c>
      <c r="B197" s="32" t="n">
        <v>45122</v>
      </c>
      <c r="C197" s="33"/>
      <c r="D197" s="33" t="n">
        <f aca="false">C197-C196</f>
        <v>0</v>
      </c>
      <c r="E197" s="33"/>
      <c r="F197" s="33" t="n">
        <f aca="false">E197-E196</f>
        <v>0</v>
      </c>
      <c r="G197" s="33"/>
      <c r="H197" s="33" t="n">
        <f aca="false">G197-G196</f>
        <v>0</v>
      </c>
      <c r="I197" s="33"/>
      <c r="J197" s="33" t="n">
        <f aca="false">I197-I196</f>
        <v>0</v>
      </c>
      <c r="K197" s="1" t="s">
        <v>30</v>
      </c>
      <c r="L197" s="1" t="n">
        <f aca="false">SUM($C$183:$C$213)</f>
        <v>152273</v>
      </c>
      <c r="M197" s="1" t="n">
        <f aca="false">SUM($E$183:$E$213)</f>
        <v>6741.1</v>
      </c>
      <c r="N197" s="1" t="n">
        <f aca="false">SUM($G$183:$G$213)</f>
        <v>106.58</v>
      </c>
      <c r="O197" s="1" t="n">
        <f aca="false">SUM($I$183:$I$213)</f>
        <v>1450</v>
      </c>
    </row>
    <row r="198" customFormat="false" ht="13.8" hidden="false" customHeight="false" outlineLevel="0" collapsed="false">
      <c r="A198" s="33" t="n">
        <v>197</v>
      </c>
      <c r="B198" s="32" t="n">
        <v>45123</v>
      </c>
      <c r="C198" s="33"/>
      <c r="D198" s="33" t="n">
        <f aca="false">C198-C197</f>
        <v>0</v>
      </c>
      <c r="E198" s="33"/>
      <c r="F198" s="33" t="n">
        <f aca="false">E198-E197</f>
        <v>0</v>
      </c>
      <c r="G198" s="33"/>
      <c r="H198" s="33" t="n">
        <f aca="false">G198-G197</f>
        <v>0</v>
      </c>
      <c r="I198" s="33"/>
      <c r="J198" s="33" t="n">
        <f aca="false">I198-I197</f>
        <v>0</v>
      </c>
      <c r="K198" s="1" t="s">
        <v>32</v>
      </c>
      <c r="L198" s="1" t="n">
        <f aca="false">COUNT($C$183:$C$213)</f>
        <v>14</v>
      </c>
      <c r="M198" s="1" t="n">
        <f aca="false">COUNT($E$183:$E$213)</f>
        <v>14</v>
      </c>
      <c r="N198" s="1" t="n">
        <f aca="false">COUNT($G$183:$G$213)</f>
        <v>14</v>
      </c>
      <c r="O198" s="1" t="n">
        <f aca="false">COUNT($I$183:$I$213)</f>
        <v>14</v>
      </c>
    </row>
    <row r="199" customFormat="false" ht="13.8" hidden="false" customHeight="false" outlineLevel="0" collapsed="false">
      <c r="A199" s="1" t="n">
        <v>198</v>
      </c>
      <c r="B199" s="32" t="n">
        <v>45124</v>
      </c>
      <c r="C199" s="33"/>
      <c r="D199" s="33" t="n">
        <f aca="false">C199-C198</f>
        <v>0</v>
      </c>
      <c r="E199" s="33"/>
      <c r="F199" s="33" t="n">
        <f aca="false">E199-E198</f>
        <v>0</v>
      </c>
      <c r="G199" s="33"/>
      <c r="H199" s="33" t="n">
        <f aca="false">G199-G198</f>
        <v>0</v>
      </c>
      <c r="I199" s="33"/>
      <c r="J199" s="33" t="n">
        <f aca="false">I199-I198</f>
        <v>0</v>
      </c>
    </row>
    <row r="200" customFormat="false" ht="13.8" hidden="false" customHeight="false" outlineLevel="0" collapsed="false">
      <c r="A200" s="33" t="n">
        <v>199</v>
      </c>
      <c r="B200" s="32" t="n">
        <v>45125</v>
      </c>
      <c r="C200" s="33" t="n">
        <v>5027</v>
      </c>
      <c r="D200" s="33" t="n">
        <f aca="false">C200-C199</f>
        <v>5027</v>
      </c>
      <c r="E200" s="33" t="n">
        <v>223.3</v>
      </c>
      <c r="F200" s="33" t="n">
        <f aca="false">E200-E199</f>
        <v>223.3</v>
      </c>
      <c r="G200" s="33" t="n">
        <v>3.52</v>
      </c>
      <c r="H200" s="33" t="n">
        <f aca="false">G200-G199</f>
        <v>3.52</v>
      </c>
      <c r="I200" s="33" t="n">
        <v>32</v>
      </c>
      <c r="J200" s="33" t="n">
        <f aca="false">I200-I199</f>
        <v>32</v>
      </c>
    </row>
    <row r="201" customFormat="false" ht="13.8" hidden="false" customHeight="false" outlineLevel="0" collapsed="false">
      <c r="A201" s="1" t="n">
        <v>200</v>
      </c>
      <c r="B201" s="32" t="n">
        <v>45126</v>
      </c>
      <c r="C201" s="33" t="n">
        <v>13600</v>
      </c>
      <c r="D201" s="33" t="n">
        <f aca="false">C201-C200</f>
        <v>8573</v>
      </c>
      <c r="E201" s="33" t="n">
        <v>571.3</v>
      </c>
      <c r="F201" s="33" t="n">
        <f aca="false">E201-E200</f>
        <v>348</v>
      </c>
      <c r="G201" s="33" t="n">
        <v>9.52</v>
      </c>
      <c r="H201" s="33" t="n">
        <f aca="false">G201-G200</f>
        <v>6</v>
      </c>
      <c r="I201" s="33" t="n">
        <v>107</v>
      </c>
      <c r="J201" s="33" t="n">
        <f aca="false">I201-I200</f>
        <v>75</v>
      </c>
    </row>
    <row r="202" customFormat="false" ht="13.8" hidden="false" customHeight="false" outlineLevel="0" collapsed="false">
      <c r="A202" s="33" t="n">
        <v>201</v>
      </c>
      <c r="B202" s="32" t="n">
        <v>45127</v>
      </c>
      <c r="C202" s="33" t="n">
        <v>15246</v>
      </c>
      <c r="D202" s="33" t="n">
        <f aca="false">C202-C201</f>
        <v>1646</v>
      </c>
      <c r="E202" s="33" t="n">
        <v>636.2</v>
      </c>
      <c r="F202" s="33" t="n">
        <f aca="false">E202-E201</f>
        <v>64.9000000000001</v>
      </c>
      <c r="G202" s="33" t="n">
        <v>10.67</v>
      </c>
      <c r="H202" s="33" t="n">
        <f aca="false">G202-G201</f>
        <v>1.15</v>
      </c>
      <c r="I202" s="33" t="n">
        <v>114</v>
      </c>
      <c r="J202" s="33" t="n">
        <f aca="false">I202-I201</f>
        <v>7</v>
      </c>
    </row>
    <row r="203" customFormat="false" ht="13.8" hidden="false" customHeight="false" outlineLevel="0" collapsed="false">
      <c r="A203" s="1" t="n">
        <v>202</v>
      </c>
      <c r="B203" s="32" t="n">
        <v>45128</v>
      </c>
      <c r="C203" s="33" t="n">
        <v>7595</v>
      </c>
      <c r="D203" s="33" t="n">
        <f aca="false">C203-C202</f>
        <v>-7651</v>
      </c>
      <c r="E203" s="33" t="n">
        <v>338.1</v>
      </c>
      <c r="F203" s="33" t="n">
        <f aca="false">E203-E202</f>
        <v>-298.1</v>
      </c>
      <c r="G203" s="33" t="n">
        <v>5.32</v>
      </c>
      <c r="H203" s="33" t="n">
        <f aca="false">G203-G202</f>
        <v>-5.35</v>
      </c>
      <c r="I203" s="33" t="n">
        <v>72</v>
      </c>
      <c r="J203" s="33" t="n">
        <f aca="false">I203-I202</f>
        <v>-42</v>
      </c>
    </row>
    <row r="204" customFormat="false" ht="13.8" hidden="false" customHeight="false" outlineLevel="0" collapsed="false">
      <c r="A204" s="33" t="n">
        <v>203</v>
      </c>
      <c r="B204" s="32" t="n">
        <v>45129</v>
      </c>
      <c r="C204" s="33" t="n">
        <v>9192</v>
      </c>
      <c r="D204" s="33" t="n">
        <f aca="false">C204-C203</f>
        <v>1597</v>
      </c>
      <c r="E204" s="33" t="n">
        <v>421.2</v>
      </c>
      <c r="F204" s="33" t="n">
        <f aca="false">E204-E203</f>
        <v>83.1</v>
      </c>
      <c r="G204" s="33" t="n">
        <v>6.43</v>
      </c>
      <c r="H204" s="33" t="n">
        <f aca="false">G204-G203</f>
        <v>1.11</v>
      </c>
      <c r="I204" s="33" t="n">
        <v>104</v>
      </c>
      <c r="J204" s="33" t="n">
        <f aca="false">I204-I203</f>
        <v>32</v>
      </c>
    </row>
    <row r="205" customFormat="false" ht="13.8" hidden="false" customHeight="false" outlineLevel="0" collapsed="false">
      <c r="A205" s="1" t="n">
        <v>204</v>
      </c>
      <c r="B205" s="32" t="n">
        <v>45130</v>
      </c>
      <c r="C205" s="33" t="n">
        <v>15221</v>
      </c>
      <c r="D205" s="33" t="n">
        <f aca="false">C205-C204</f>
        <v>6029</v>
      </c>
      <c r="E205" s="33" t="n">
        <v>709.9</v>
      </c>
      <c r="F205" s="33" t="n">
        <f aca="false">E205-E204</f>
        <v>288.7</v>
      </c>
      <c r="G205" s="33" t="n">
        <v>10.65</v>
      </c>
      <c r="H205" s="33" t="n">
        <f aca="false">G205-G204</f>
        <v>4.22</v>
      </c>
      <c r="I205" s="33" t="n">
        <v>178</v>
      </c>
      <c r="J205" s="33" t="n">
        <f aca="false">I205-I204</f>
        <v>74</v>
      </c>
    </row>
    <row r="206" customFormat="false" ht="13.8" hidden="false" customHeight="false" outlineLevel="0" collapsed="false">
      <c r="A206" s="33" t="n">
        <v>205</v>
      </c>
      <c r="B206" s="32" t="n">
        <v>45131</v>
      </c>
      <c r="C206" s="33" t="n">
        <v>15361</v>
      </c>
      <c r="D206" s="33" t="n">
        <f aca="false">C206-C205</f>
        <v>140</v>
      </c>
      <c r="E206" s="33" t="n">
        <v>645.1</v>
      </c>
      <c r="F206" s="33" t="n">
        <f aca="false">E206-E205</f>
        <v>-64.8</v>
      </c>
      <c r="G206" s="33" t="n">
        <v>10.75</v>
      </c>
      <c r="H206" s="33" t="n">
        <f aca="false">G206-G205</f>
        <v>0.0999999999999996</v>
      </c>
      <c r="I206" s="33" t="n">
        <v>125</v>
      </c>
      <c r="J206" s="33" t="n">
        <f aca="false">I206-I205</f>
        <v>-53</v>
      </c>
    </row>
    <row r="207" customFormat="false" ht="13.8" hidden="false" customHeight="false" outlineLevel="0" collapsed="false">
      <c r="A207" s="1" t="n">
        <v>206</v>
      </c>
      <c r="B207" s="32" t="n">
        <v>45132</v>
      </c>
      <c r="C207" s="33" t="n">
        <v>9829</v>
      </c>
      <c r="D207" s="33" t="n">
        <f aca="false">C207-C206</f>
        <v>-5532</v>
      </c>
      <c r="E207" s="33" t="n">
        <v>439.8</v>
      </c>
      <c r="F207" s="33" t="n">
        <f aca="false">E207-E206</f>
        <v>-205.3</v>
      </c>
      <c r="G207" s="33" t="n">
        <v>6.88</v>
      </c>
      <c r="H207" s="33" t="n">
        <f aca="false">G207-G206</f>
        <v>-3.87</v>
      </c>
      <c r="I207" s="33" t="n">
        <v>106</v>
      </c>
      <c r="J207" s="33" t="n">
        <f aca="false">I207-I206</f>
        <v>-19</v>
      </c>
    </row>
    <row r="208" customFormat="false" ht="13.8" hidden="false" customHeight="false" outlineLevel="0" collapsed="false">
      <c r="A208" s="33" t="n">
        <v>207</v>
      </c>
      <c r="B208" s="32" t="n">
        <v>45133</v>
      </c>
      <c r="C208" s="1" t="n">
        <v>7226</v>
      </c>
      <c r="D208" s="33" t="n">
        <f aca="false">C208-C207</f>
        <v>-2603</v>
      </c>
      <c r="E208" s="1" t="n">
        <v>328.8</v>
      </c>
      <c r="F208" s="33" t="n">
        <f aca="false">E208-E207</f>
        <v>-111</v>
      </c>
      <c r="G208" s="1" t="n">
        <v>5.06</v>
      </c>
      <c r="H208" s="33" t="n">
        <f aca="false">G208-G207</f>
        <v>-1.82</v>
      </c>
      <c r="I208" s="1" t="n">
        <v>80</v>
      </c>
      <c r="J208" s="33" t="n">
        <f aca="false">I208-I207</f>
        <v>-26</v>
      </c>
    </row>
    <row r="209" customFormat="false" ht="13.8" hidden="false" customHeight="false" outlineLevel="0" collapsed="false">
      <c r="A209" s="1" t="n">
        <v>208</v>
      </c>
      <c r="B209" s="32" t="n">
        <v>45134</v>
      </c>
      <c r="C209" s="33" t="n">
        <v>8566</v>
      </c>
      <c r="D209" s="33" t="n">
        <f aca="false">C209-C208</f>
        <v>1340</v>
      </c>
      <c r="E209" s="33" t="n">
        <v>408.5</v>
      </c>
      <c r="F209" s="33" t="n">
        <f aca="false">E209-E208</f>
        <v>79.7</v>
      </c>
      <c r="G209" s="33" t="n">
        <v>6</v>
      </c>
      <c r="H209" s="33" t="n">
        <f aca="false">G209-G208</f>
        <v>0.94</v>
      </c>
      <c r="I209" s="33" t="n">
        <v>104</v>
      </c>
      <c r="J209" s="33" t="n">
        <f aca="false">I209-I208</f>
        <v>24</v>
      </c>
    </row>
    <row r="210" customFormat="false" ht="13.8" hidden="false" customHeight="false" outlineLevel="0" collapsed="false">
      <c r="A210" s="33" t="n">
        <v>209</v>
      </c>
      <c r="B210" s="32" t="n">
        <v>45135</v>
      </c>
      <c r="C210" s="33" t="n">
        <v>13241</v>
      </c>
      <c r="D210" s="33" t="n">
        <f aca="false">C210-C209</f>
        <v>4675</v>
      </c>
      <c r="E210" s="33" t="n">
        <v>575.9</v>
      </c>
      <c r="F210" s="33" t="n">
        <f aca="false">E210-E209</f>
        <v>167.4</v>
      </c>
      <c r="G210" s="33" t="n">
        <v>9.27</v>
      </c>
      <c r="H210" s="33" t="n">
        <f aca="false">G210-G209</f>
        <v>3.27</v>
      </c>
      <c r="I210" s="33" t="n">
        <v>96</v>
      </c>
      <c r="J210" s="33" t="n">
        <f aca="false">I210-I209</f>
        <v>-8</v>
      </c>
    </row>
    <row r="211" customFormat="false" ht="13.8" hidden="false" customHeight="false" outlineLevel="0" collapsed="false">
      <c r="A211" s="1" t="n">
        <v>210</v>
      </c>
      <c r="B211" s="32" t="n">
        <v>45136</v>
      </c>
      <c r="C211" s="33" t="n">
        <v>12421</v>
      </c>
      <c r="D211" s="33" t="n">
        <f aca="false">C211-C210</f>
        <v>-820</v>
      </c>
      <c r="E211" s="33" t="n">
        <v>562.8</v>
      </c>
      <c r="F211" s="33" t="n">
        <f aca="false">E211-E210</f>
        <v>-13.1</v>
      </c>
      <c r="G211" s="33" t="n">
        <v>8.69</v>
      </c>
      <c r="H211" s="33" t="n">
        <f aca="false">G211-G210</f>
        <v>-0.58</v>
      </c>
      <c r="I211" s="33" t="n">
        <v>135</v>
      </c>
      <c r="J211" s="33" t="n">
        <f aca="false">I211-I210</f>
        <v>39</v>
      </c>
    </row>
    <row r="212" customFormat="false" ht="13.8" hidden="false" customHeight="false" outlineLevel="0" collapsed="false">
      <c r="A212" s="33" t="n">
        <v>211</v>
      </c>
      <c r="B212" s="32" t="n">
        <v>45137</v>
      </c>
      <c r="C212" s="33" t="n">
        <v>7161</v>
      </c>
      <c r="D212" s="33" t="n">
        <f aca="false">C212-C211</f>
        <v>-5260</v>
      </c>
      <c r="E212" s="33" t="n">
        <v>323.9</v>
      </c>
      <c r="F212" s="33" t="n">
        <f aca="false">E212-E211</f>
        <v>-238.9</v>
      </c>
      <c r="G212" s="33" t="n">
        <v>5.01</v>
      </c>
      <c r="H212" s="33" t="n">
        <f aca="false">G212-G211</f>
        <v>-3.68</v>
      </c>
      <c r="I212" s="33" t="n">
        <v>78</v>
      </c>
      <c r="J212" s="33" t="n">
        <f aca="false">I212-I211</f>
        <v>-57</v>
      </c>
    </row>
    <row r="213" customFormat="false" ht="13.8" hidden="false" customHeight="false" outlineLevel="0" collapsed="false">
      <c r="A213" s="1" t="n">
        <v>212</v>
      </c>
      <c r="B213" s="32" t="n">
        <v>45138</v>
      </c>
      <c r="C213" s="33" t="n">
        <v>12587</v>
      </c>
      <c r="D213" s="33" t="n">
        <f aca="false">C213-C212</f>
        <v>5426</v>
      </c>
      <c r="E213" s="33" t="n">
        <v>556.3</v>
      </c>
      <c r="F213" s="33" t="n">
        <f aca="false">E213-E212</f>
        <v>232.4</v>
      </c>
      <c r="G213" s="33" t="n">
        <v>8.81</v>
      </c>
      <c r="H213" s="33" t="n">
        <f aca="false">G213-G212</f>
        <v>3.8</v>
      </c>
      <c r="I213" s="33" t="n">
        <v>119</v>
      </c>
      <c r="J213" s="33" t="n">
        <f aca="false">I213-I212</f>
        <v>41</v>
      </c>
    </row>
    <row r="214" customFormat="false" ht="13.8" hidden="false" customHeight="false" outlineLevel="0" collapsed="false">
      <c r="A214" s="33" t="n">
        <v>213</v>
      </c>
      <c r="B214" s="32" t="n">
        <v>45139</v>
      </c>
      <c r="C214" s="33" t="n">
        <v>10964</v>
      </c>
      <c r="D214" s="33" t="n">
        <f aca="false">C214-C213</f>
        <v>-1623</v>
      </c>
      <c r="E214" s="33" t="n">
        <v>464.8</v>
      </c>
      <c r="F214" s="33" t="n">
        <f aca="false">E214-E213</f>
        <v>-91.4999999999999</v>
      </c>
      <c r="G214" s="33" t="n">
        <v>7.67</v>
      </c>
      <c r="H214" s="33" t="n">
        <f aca="false">G214-G213</f>
        <v>-1.14</v>
      </c>
      <c r="I214" s="33" t="n">
        <v>99</v>
      </c>
      <c r="J214" s="33" t="n">
        <f aca="false">I214-I213</f>
        <v>-20</v>
      </c>
      <c r="L214" s="34" t="s">
        <v>2</v>
      </c>
      <c r="M214" s="34" t="s">
        <v>179</v>
      </c>
      <c r="N214" s="34" t="s">
        <v>175</v>
      </c>
      <c r="O214" s="34" t="s">
        <v>177</v>
      </c>
    </row>
    <row r="215" customFormat="false" ht="13.8" hidden="false" customHeight="false" outlineLevel="0" collapsed="false">
      <c r="A215" s="1" t="n">
        <v>214</v>
      </c>
      <c r="B215" s="32" t="n">
        <v>45140</v>
      </c>
      <c r="C215" s="33" t="n">
        <v>11344</v>
      </c>
      <c r="D215" s="33" t="n">
        <f aca="false">C215-C214</f>
        <v>380</v>
      </c>
      <c r="E215" s="33" t="n">
        <v>535.5</v>
      </c>
      <c r="F215" s="33" t="n">
        <f aca="false">E215-E214</f>
        <v>70.7</v>
      </c>
      <c r="G215" s="33" t="n">
        <v>7.94</v>
      </c>
      <c r="H215" s="33" t="n">
        <f aca="false">G215-G214</f>
        <v>0.27</v>
      </c>
      <c r="I215" s="33" t="n">
        <v>104</v>
      </c>
      <c r="J215" s="33" t="n">
        <f aca="false">I215-I214</f>
        <v>5</v>
      </c>
      <c r="K215" s="1" t="s">
        <v>8</v>
      </c>
      <c r="L215" s="1" t="n">
        <f aca="false">AVERAGE($C$214:$C$244)</f>
        <v>8339.48387096774</v>
      </c>
      <c r="M215" s="1" t="n">
        <f aca="false">AVERAGE($E$214:$E$244)</f>
        <v>391.616129032258</v>
      </c>
      <c r="N215" s="1" t="n">
        <f aca="false">AVERAGE($G$214:$G$244)</f>
        <v>5.83709677419355</v>
      </c>
      <c r="O215" s="1" t="n">
        <f aca="false">AVERAGE($I$214:$I$244)</f>
        <v>84.1612903225806</v>
      </c>
    </row>
    <row r="216" customFormat="false" ht="13.8" hidden="false" customHeight="false" outlineLevel="0" collapsed="false">
      <c r="A216" s="33" t="n">
        <v>215</v>
      </c>
      <c r="B216" s="32" t="n">
        <v>45141</v>
      </c>
      <c r="C216" s="33" t="n">
        <v>6698</v>
      </c>
      <c r="D216" s="33" t="n">
        <f aca="false">C216-C215</f>
        <v>-4646</v>
      </c>
      <c r="E216" s="33" t="n">
        <v>286.1</v>
      </c>
      <c r="F216" s="33" t="n">
        <f aca="false">E216-E215</f>
        <v>-249.4</v>
      </c>
      <c r="G216" s="33" t="n">
        <v>4.69</v>
      </c>
      <c r="H216" s="33" t="n">
        <f aca="false">G216-G215</f>
        <v>-3.25</v>
      </c>
      <c r="I216" s="33" t="n">
        <v>63</v>
      </c>
      <c r="J216" s="33" t="n">
        <f aca="false">I216-I215</f>
        <v>-41</v>
      </c>
      <c r="K216" s="1" t="s">
        <v>10</v>
      </c>
      <c r="L216" s="1" t="n">
        <f aca="false">SQRT(VAR($C$214:$C$244)/COUNT($C$214:$C$244))</f>
        <v>1155.40273839668</v>
      </c>
      <c r="M216" s="1" t="n">
        <f aca="false">SQRT(VAR($E$214:$E$244)/COUNT($E$214:$E$244))</f>
        <v>53.1032840441598</v>
      </c>
      <c r="N216" s="1" t="n">
        <f aca="false">SQRT(VAR($G$214:$G$244)/COUNT($G$214:$G$244))</f>
        <v>0.808811047427341</v>
      </c>
      <c r="O216" s="1" t="n">
        <f aca="false">SQRT(VAR($I$214:$I$244)/COUNT($I$214:$I$244))</f>
        <v>11.4480685110054</v>
      </c>
    </row>
    <row r="217" customFormat="false" ht="13.8" hidden="false" customHeight="false" outlineLevel="0" collapsed="false">
      <c r="A217" s="1" t="n">
        <v>216</v>
      </c>
      <c r="B217" s="32" t="n">
        <v>45142</v>
      </c>
      <c r="C217" s="33" t="n">
        <v>6334</v>
      </c>
      <c r="D217" s="33" t="n">
        <f aca="false">C217-C216</f>
        <v>-364</v>
      </c>
      <c r="E217" s="33" t="n">
        <v>273.9</v>
      </c>
      <c r="F217" s="33" t="n">
        <f aca="false">E217-E216</f>
        <v>-12.2</v>
      </c>
      <c r="G217" s="33" t="n">
        <v>4.43</v>
      </c>
      <c r="H217" s="33" t="n">
        <f aca="false">G217-G216</f>
        <v>-0.260000000000001</v>
      </c>
      <c r="I217" s="33" t="n">
        <v>62</v>
      </c>
      <c r="J217" s="33" t="n">
        <f aca="false">I217-I216</f>
        <v>-1</v>
      </c>
      <c r="K217" s="1" t="s">
        <v>14</v>
      </c>
      <c r="L217" s="1" t="e">
        <f aca="false">MODE($C$214:$C$244)</f>
        <v>#VALUE!</v>
      </c>
      <c r="M217" s="1" t="e">
        <f aca="false">MODE($E$214:$E$244)</f>
        <v>#VALUE!</v>
      </c>
      <c r="N217" s="1" t="e">
        <f aca="false">MODE($G$214:$G$244)</f>
        <v>#VALUE!</v>
      </c>
      <c r="O217" s="1" t="n">
        <f aca="false">MODE($I$214:$I$244)</f>
        <v>61</v>
      </c>
    </row>
    <row r="218" customFormat="false" ht="13.8" hidden="false" customHeight="false" outlineLevel="0" collapsed="false">
      <c r="A218" s="33" t="n">
        <v>217</v>
      </c>
      <c r="B218" s="32" t="n">
        <v>45143</v>
      </c>
      <c r="C218" s="33" t="n">
        <v>6617</v>
      </c>
      <c r="D218" s="33" t="n">
        <f aca="false">C218-C217</f>
        <v>283</v>
      </c>
      <c r="E218" s="33" t="n">
        <v>308.9</v>
      </c>
      <c r="F218" s="33" t="n">
        <f aca="false">E218-E217</f>
        <v>35</v>
      </c>
      <c r="G218" s="33" t="n">
        <v>4.63</v>
      </c>
      <c r="H218" s="33" t="n">
        <f aca="false">G218-G217</f>
        <v>0.2</v>
      </c>
      <c r="I218" s="33" t="n">
        <v>78</v>
      </c>
      <c r="J218" s="33" t="n">
        <f aca="false">I218-I217</f>
        <v>16</v>
      </c>
      <c r="K218" s="1" t="s">
        <v>12</v>
      </c>
      <c r="L218" s="1" t="n">
        <f aca="false">MEDIAN($C$214:$C$244)</f>
        <v>6795</v>
      </c>
      <c r="M218" s="1" t="n">
        <f aca="false">MEDIAN($E$214:$E$244)</f>
        <v>324.8</v>
      </c>
      <c r="N218" s="1" t="n">
        <f aca="false">MEDIAN($G$214:$G$244)</f>
        <v>4.76</v>
      </c>
      <c r="O218" s="1" t="n">
        <f aca="false">MEDIAN($I$214:$I$244)</f>
        <v>66</v>
      </c>
    </row>
    <row r="219" customFormat="false" ht="13.8" hidden="false" customHeight="false" outlineLevel="0" collapsed="false">
      <c r="A219" s="1" t="n">
        <v>218</v>
      </c>
      <c r="B219" s="32" t="n">
        <v>45144</v>
      </c>
      <c r="C219" s="33" t="n">
        <v>16427</v>
      </c>
      <c r="D219" s="33" t="n">
        <f aca="false">C219-C218</f>
        <v>9810</v>
      </c>
      <c r="E219" s="33" t="n">
        <v>739.4</v>
      </c>
      <c r="F219" s="33" t="n">
        <f aca="false">E219-E218</f>
        <v>430.5</v>
      </c>
      <c r="G219" s="33" t="n">
        <v>11.5</v>
      </c>
      <c r="H219" s="33" t="n">
        <f aca="false">G219-G218</f>
        <v>6.87</v>
      </c>
      <c r="I219" s="33" t="n">
        <v>179</v>
      </c>
      <c r="J219" s="33" t="n">
        <f aca="false">I219-I218</f>
        <v>101</v>
      </c>
      <c r="K219" s="1" t="s">
        <v>195</v>
      </c>
      <c r="L219" s="1" t="n">
        <f aca="false">QUARTILE($C$214:$C$244, 1)</f>
        <v>5400</v>
      </c>
      <c r="M219" s="1" t="n">
        <f aca="false">QUARTILE($E$214:$E$244, 1)</f>
        <v>247.5</v>
      </c>
      <c r="N219" s="1" t="n">
        <f aca="false">QUARTILE($G$214:$G$244, 1)</f>
        <v>3.78</v>
      </c>
      <c r="O219" s="1" t="n">
        <f aca="false">QUARTILE($I$214:$I$244, 1)</f>
        <v>55</v>
      </c>
    </row>
    <row r="220" customFormat="false" ht="13.8" hidden="false" customHeight="false" outlineLevel="0" collapsed="false">
      <c r="A220" s="33" t="n">
        <v>219</v>
      </c>
      <c r="B220" s="32" t="n">
        <v>45145</v>
      </c>
      <c r="C220" s="33" t="n">
        <v>4448</v>
      </c>
      <c r="D220" s="33" t="n">
        <f aca="false">C220-C219</f>
        <v>-11979</v>
      </c>
      <c r="E220" s="33" t="n">
        <v>212</v>
      </c>
      <c r="F220" s="33" t="n">
        <f aca="false">E220-E219</f>
        <v>-527.4</v>
      </c>
      <c r="G220" s="33" t="n">
        <v>3.11</v>
      </c>
      <c r="H220" s="33" t="n">
        <f aca="false">G220-G219</f>
        <v>-8.39</v>
      </c>
      <c r="I220" s="33" t="n">
        <v>54</v>
      </c>
      <c r="J220" s="33" t="n">
        <f aca="false">I220-I219</f>
        <v>-125</v>
      </c>
      <c r="K220" s="1" t="s">
        <v>181</v>
      </c>
      <c r="L220" s="1" t="n">
        <f aca="false">QUARTILE($C$214:$C$244, 3)</f>
        <v>9986.5</v>
      </c>
      <c r="M220" s="1" t="n">
        <f aca="false">QUARTILE($E$214:$E$244, 3)</f>
        <v>463.8</v>
      </c>
      <c r="N220" s="1" t="n">
        <f aca="false">QUARTILE($G$214:$G$244, 3)</f>
        <v>6.99</v>
      </c>
      <c r="O220" s="1" t="n">
        <f aca="false">QUARTILE($I$214:$I$244, 3)</f>
        <v>90.5</v>
      </c>
    </row>
    <row r="221" customFormat="false" ht="13.8" hidden="false" customHeight="false" outlineLevel="0" collapsed="false">
      <c r="A221" s="1" t="n">
        <v>220</v>
      </c>
      <c r="B221" s="32" t="n">
        <v>45146</v>
      </c>
      <c r="C221" s="33" t="n">
        <v>7852</v>
      </c>
      <c r="D221" s="33" t="n">
        <f aca="false">C221-C220</f>
        <v>3404</v>
      </c>
      <c r="E221" s="33" t="n">
        <v>373.9</v>
      </c>
      <c r="F221" s="33" t="n">
        <f aca="false">E221-E220</f>
        <v>161.9</v>
      </c>
      <c r="G221" s="33" t="n">
        <v>5.5</v>
      </c>
      <c r="H221" s="33" t="n">
        <f aca="false">G221-G220</f>
        <v>2.39</v>
      </c>
      <c r="I221" s="33" t="n">
        <v>95</v>
      </c>
      <c r="J221" s="33" t="n">
        <f aca="false">I221-I220</f>
        <v>41</v>
      </c>
      <c r="K221" s="1" t="s">
        <v>182</v>
      </c>
      <c r="L221" s="1" t="n">
        <f aca="false">VAR($C$214:$C$244)</f>
        <v>41383620.1247312</v>
      </c>
      <c r="M221" s="1" t="n">
        <f aca="false">VAR($E$214:$E$244)</f>
        <v>87418.7220645161</v>
      </c>
      <c r="N221" s="1" t="n">
        <f aca="false">VAR($G$214:$G$244)</f>
        <v>20.2794346236559</v>
      </c>
      <c r="O221" s="1" t="n">
        <f aca="false">VAR($I$214:$I$244)</f>
        <v>4062.8064516129</v>
      </c>
    </row>
    <row r="222" customFormat="false" ht="13.8" hidden="false" customHeight="false" outlineLevel="0" collapsed="false">
      <c r="A222" s="33" t="n">
        <v>221</v>
      </c>
      <c r="B222" s="32" t="n">
        <v>45147</v>
      </c>
      <c r="C222" s="33" t="n">
        <v>8018</v>
      </c>
      <c r="D222" s="33" t="n">
        <f aca="false">C222-C221</f>
        <v>166</v>
      </c>
      <c r="E222" s="33" t="n">
        <v>338.7</v>
      </c>
      <c r="F222" s="33" t="n">
        <f aca="false">E222-E221</f>
        <v>-35.2</v>
      </c>
      <c r="G222" s="33" t="n">
        <v>5.61</v>
      </c>
      <c r="H222" s="33" t="n">
        <f aca="false">G222-G221</f>
        <v>0.11</v>
      </c>
      <c r="I222" s="33" t="n">
        <v>73</v>
      </c>
      <c r="J222" s="33" t="n">
        <f aca="false">I222-I221</f>
        <v>-22</v>
      </c>
      <c r="K222" s="1" t="s">
        <v>16</v>
      </c>
      <c r="L222" s="1" t="n">
        <f aca="false">STDEV($C$214:$C$244)</f>
        <v>6433.01019156127</v>
      </c>
      <c r="M222" s="1" t="n">
        <f aca="false">STDEV($E$214:$E$244)</f>
        <v>295.666572450313</v>
      </c>
      <c r="N222" s="1" t="n">
        <f aca="false">STDEV($G$214:$G$244)</f>
        <v>4.50326932612918</v>
      </c>
      <c r="O222" s="1" t="n">
        <f aca="false">STDEV($I$214:$I$244)</f>
        <v>63.7401478788126</v>
      </c>
    </row>
    <row r="223" customFormat="false" ht="13.8" hidden="false" customHeight="false" outlineLevel="0" collapsed="false">
      <c r="A223" s="1" t="n">
        <v>222</v>
      </c>
      <c r="B223" s="32" t="n">
        <v>45148</v>
      </c>
      <c r="C223" s="33" t="n">
        <v>5434</v>
      </c>
      <c r="D223" s="33" t="n">
        <f aca="false">C223-C222</f>
        <v>-2584</v>
      </c>
      <c r="E223" s="33" t="n">
        <v>259.2</v>
      </c>
      <c r="F223" s="33" t="n">
        <f aca="false">E223-E222</f>
        <v>-79.5</v>
      </c>
      <c r="G223" s="33" t="n">
        <v>3.8</v>
      </c>
      <c r="H223" s="33" t="n">
        <f aca="false">G223-G222</f>
        <v>-1.81</v>
      </c>
      <c r="I223" s="33" t="n">
        <v>66</v>
      </c>
      <c r="J223" s="33" t="n">
        <f aca="false">I223-I222</f>
        <v>-7</v>
      </c>
      <c r="K223" s="1" t="s">
        <v>20</v>
      </c>
      <c r="L223" s="1" t="n">
        <f aca="false">KURT($C$214:$C$244)</f>
        <v>8.31318281795905</v>
      </c>
      <c r="M223" s="1" t="n">
        <f aca="false">KURT($E$214:$E$244)</f>
        <v>4.63916403512989</v>
      </c>
      <c r="N223" s="1" t="n">
        <f aca="false">KURT($G$214:$G$244)</f>
        <v>8.31344452781964</v>
      </c>
      <c r="O223" s="1" t="n">
        <f aca="false">KURT($I$214:$I$244)</f>
        <v>5.6017336591147</v>
      </c>
    </row>
    <row r="224" customFormat="false" ht="13.8" hidden="false" customHeight="false" outlineLevel="0" collapsed="false">
      <c r="A224" s="33" t="n">
        <v>223</v>
      </c>
      <c r="B224" s="32" t="n">
        <v>45149</v>
      </c>
      <c r="C224" s="33" t="n">
        <v>6446</v>
      </c>
      <c r="D224" s="33" t="n">
        <f aca="false">C224-C223</f>
        <v>1012</v>
      </c>
      <c r="E224" s="33" t="n">
        <v>276.5</v>
      </c>
      <c r="F224" s="33" t="n">
        <f aca="false">E224-E223</f>
        <v>17.3</v>
      </c>
      <c r="G224" s="33" t="n">
        <v>4.51</v>
      </c>
      <c r="H224" s="33" t="n">
        <f aca="false">G224-G223</f>
        <v>0.71</v>
      </c>
      <c r="I224" s="33" t="n">
        <v>62</v>
      </c>
      <c r="J224" s="33" t="n">
        <f aca="false">I224-I223</f>
        <v>-4</v>
      </c>
      <c r="K224" s="1" t="s">
        <v>22</v>
      </c>
      <c r="L224" s="1" t="n">
        <f aca="false">SKEW($C$214:$C$244)</f>
        <v>2.49264659522552</v>
      </c>
      <c r="M224" s="1" t="n">
        <f aca="false">SKEW($E$214:$E$244)</f>
        <v>1.96750041223224</v>
      </c>
      <c r="N224" s="1" t="n">
        <f aca="false">SKEW($G$214:$G$244)</f>
        <v>2.49214857426324</v>
      </c>
      <c r="O224" s="1" t="n">
        <f aca="false">SKEW($I$214:$I$244)</f>
        <v>2.23595736850881</v>
      </c>
    </row>
    <row r="225" customFormat="false" ht="13.8" hidden="false" customHeight="false" outlineLevel="0" collapsed="false">
      <c r="A225" s="1" t="n">
        <v>224</v>
      </c>
      <c r="B225" s="32" t="n">
        <v>45150</v>
      </c>
      <c r="C225" s="33" t="n">
        <v>12054</v>
      </c>
      <c r="D225" s="33" t="n">
        <f aca="false">C225-C224</f>
        <v>5608</v>
      </c>
      <c r="E225" s="33" t="n">
        <v>542.9</v>
      </c>
      <c r="F225" s="33" t="n">
        <f aca="false">E225-E224</f>
        <v>266.4</v>
      </c>
      <c r="G225" s="33" t="n">
        <v>8.44</v>
      </c>
      <c r="H225" s="33" t="n">
        <f aca="false">G225-G224</f>
        <v>3.93</v>
      </c>
      <c r="I225" s="33" t="n">
        <v>131</v>
      </c>
      <c r="J225" s="33" t="n">
        <f aca="false">I225-I224</f>
        <v>69</v>
      </c>
      <c r="K225" s="1" t="s">
        <v>24</v>
      </c>
      <c r="L225" s="1" t="n">
        <f aca="false">MAX($C$214:$C$244)-MIN($C$214:$C$244)</f>
        <v>33108</v>
      </c>
      <c r="M225" s="1" t="n">
        <f aca="false">MAX($E$214:$E$244)-MIN($E$214:$E$244)</f>
        <v>1385.4</v>
      </c>
      <c r="N225" s="1" t="n">
        <f aca="false">MAX($G$214:$G$244)-MIN($G$214:$G$244)</f>
        <v>23.18</v>
      </c>
      <c r="O225" s="1" t="n">
        <f aca="false">MAX($I$214:$I$244)-MIN($I$214:$I$244)</f>
        <v>293</v>
      </c>
    </row>
    <row r="226" customFormat="false" ht="13.8" hidden="false" customHeight="false" outlineLevel="0" collapsed="false">
      <c r="A226" s="33" t="n">
        <v>225</v>
      </c>
      <c r="B226" s="32" t="n">
        <v>45151</v>
      </c>
      <c r="C226" s="33" t="n">
        <v>34142</v>
      </c>
      <c r="D226" s="33" t="n">
        <f aca="false">C226-C225</f>
        <v>22088</v>
      </c>
      <c r="E226" s="33" t="n">
        <v>1435.4</v>
      </c>
      <c r="F226" s="33" t="n">
        <f aca="false">E226-E225</f>
        <v>892.5</v>
      </c>
      <c r="G226" s="33" t="n">
        <v>23.9</v>
      </c>
      <c r="H226" s="33" t="n">
        <f aca="false">G226-G225</f>
        <v>15.46</v>
      </c>
      <c r="I226" s="33" t="n">
        <v>306</v>
      </c>
      <c r="J226" s="33" t="n">
        <f aca="false">I226-I225</f>
        <v>175</v>
      </c>
      <c r="K226" s="1" t="s">
        <v>26</v>
      </c>
      <c r="L226" s="1" t="n">
        <f aca="false">MIN($C$214:$C$244)</f>
        <v>1034</v>
      </c>
      <c r="M226" s="1" t="n">
        <f aca="false">MIN($E$214:$E$244)</f>
        <v>50</v>
      </c>
      <c r="N226" s="1" t="n">
        <f aca="false">MIN($G$214:$G$244)</f>
        <v>0.72</v>
      </c>
      <c r="O226" s="1" t="n">
        <f aca="false">MIN($I$214:$I$244)</f>
        <v>13</v>
      </c>
    </row>
    <row r="227" customFormat="false" ht="13.8" hidden="false" customHeight="false" outlineLevel="0" collapsed="false">
      <c r="A227" s="1" t="n">
        <v>226</v>
      </c>
      <c r="B227" s="32" t="n">
        <v>45152</v>
      </c>
      <c r="C227" s="33" t="n">
        <v>6125</v>
      </c>
      <c r="D227" s="33" t="n">
        <f aca="false">C227-C226</f>
        <v>-28017</v>
      </c>
      <c r="E227" s="33" t="n">
        <v>256.4</v>
      </c>
      <c r="F227" s="33" t="n">
        <f aca="false">E227-E226</f>
        <v>-1179</v>
      </c>
      <c r="G227" s="33" t="n">
        <v>4.29</v>
      </c>
      <c r="H227" s="33" t="n">
        <f aca="false">G227-G226</f>
        <v>-19.61</v>
      </c>
      <c r="I227" s="33" t="n">
        <v>44</v>
      </c>
      <c r="J227" s="33" t="n">
        <f aca="false">I227-I226</f>
        <v>-262</v>
      </c>
      <c r="K227" s="1" t="s">
        <v>28</v>
      </c>
      <c r="L227" s="1" t="n">
        <f aca="false">MAX($C$214:$C$244)</f>
        <v>34142</v>
      </c>
      <c r="M227" s="1" t="n">
        <f aca="false">MAX($E$214:$E$244)</f>
        <v>1435.4</v>
      </c>
      <c r="N227" s="1" t="n">
        <f aca="false">MAX($G$214:$G$244)</f>
        <v>23.9</v>
      </c>
      <c r="O227" s="1" t="n">
        <f aca="false">MAX($I$214:$I$244)</f>
        <v>306</v>
      </c>
    </row>
    <row r="228" customFormat="false" ht="13.8" hidden="false" customHeight="false" outlineLevel="0" collapsed="false">
      <c r="A228" s="33" t="n">
        <v>227</v>
      </c>
      <c r="B228" s="32" t="n">
        <v>45153</v>
      </c>
      <c r="C228" s="33" t="n">
        <v>2664</v>
      </c>
      <c r="D228" s="33" t="n">
        <f aca="false">C228-C227</f>
        <v>-3461</v>
      </c>
      <c r="E228" s="33" t="n">
        <v>122.8</v>
      </c>
      <c r="F228" s="33" t="n">
        <f aca="false">E228-E227</f>
        <v>-133.6</v>
      </c>
      <c r="G228" s="33" t="n">
        <v>1.86</v>
      </c>
      <c r="H228" s="33" t="n">
        <f aca="false">G228-G227</f>
        <v>-2.43</v>
      </c>
      <c r="I228" s="33" t="n">
        <v>30</v>
      </c>
      <c r="J228" s="33" t="n">
        <f aca="false">I228-I227</f>
        <v>-14</v>
      </c>
      <c r="K228" s="1" t="s">
        <v>30</v>
      </c>
      <c r="L228" s="1" t="n">
        <f aca="false">SUM($C$214:$C$244)</f>
        <v>258524</v>
      </c>
      <c r="M228" s="1" t="n">
        <f aca="false">SUM($E$214:$E$244)</f>
        <v>12140.1</v>
      </c>
      <c r="N228" s="1" t="n">
        <f aca="false">SUM($G$214:$G$244)</f>
        <v>180.95</v>
      </c>
      <c r="O228" s="1" t="n">
        <f aca="false">SUM($I$214:$I$244)</f>
        <v>2609</v>
      </c>
    </row>
    <row r="229" customFormat="false" ht="13.8" hidden="false" customHeight="false" outlineLevel="0" collapsed="false">
      <c r="A229" s="1" t="n">
        <v>228</v>
      </c>
      <c r="B229" s="32" t="n">
        <v>45154</v>
      </c>
      <c r="C229" s="33" t="n">
        <v>3358</v>
      </c>
      <c r="D229" s="33" t="n">
        <f aca="false">C229-C228</f>
        <v>694</v>
      </c>
      <c r="E229" s="33" t="n">
        <v>153</v>
      </c>
      <c r="F229" s="33" t="n">
        <f aca="false">E229-E228</f>
        <v>30.2</v>
      </c>
      <c r="G229" s="33" t="n">
        <v>2.35</v>
      </c>
      <c r="H229" s="33" t="n">
        <f aca="false">G229-G228</f>
        <v>0.49</v>
      </c>
      <c r="I229" s="33" t="n">
        <v>37</v>
      </c>
      <c r="J229" s="33" t="n">
        <f aca="false">I229-I228</f>
        <v>7</v>
      </c>
      <c r="K229" s="1" t="s">
        <v>32</v>
      </c>
      <c r="L229" s="1" t="n">
        <f aca="false">COUNT($C$214:$C$244)</f>
        <v>31</v>
      </c>
      <c r="M229" s="1" t="n">
        <f aca="false">COUNT($E$214:$E$244)</f>
        <v>31</v>
      </c>
      <c r="N229" s="1" t="n">
        <f aca="false">COUNT($G$214:$G$244)</f>
        <v>31</v>
      </c>
      <c r="O229" s="1" t="n">
        <f aca="false">COUNT($I$214:$I$244)</f>
        <v>31</v>
      </c>
    </row>
    <row r="230" customFormat="false" ht="13.8" hidden="false" customHeight="false" outlineLevel="0" collapsed="false">
      <c r="A230" s="33" t="n">
        <v>229</v>
      </c>
      <c r="B230" s="32" t="n">
        <v>45155</v>
      </c>
      <c r="C230" s="33" t="n">
        <v>7551</v>
      </c>
      <c r="D230" s="33" t="n">
        <f aca="false">C230-C229</f>
        <v>4193</v>
      </c>
      <c r="E230" s="33" t="n">
        <v>324.8</v>
      </c>
      <c r="F230" s="33" t="n">
        <f aca="false">E230-E229</f>
        <v>171.8</v>
      </c>
      <c r="G230" s="33" t="n">
        <v>5.29</v>
      </c>
      <c r="H230" s="33" t="n">
        <f aca="false">G230-G229</f>
        <v>2.94</v>
      </c>
      <c r="I230" s="33" t="n">
        <v>72</v>
      </c>
      <c r="J230" s="33" t="n">
        <f aca="false">I230-I229</f>
        <v>35</v>
      </c>
    </row>
    <row r="231" customFormat="false" ht="13.8" hidden="false" customHeight="false" outlineLevel="0" collapsed="false">
      <c r="A231" s="1" t="n">
        <v>230</v>
      </c>
      <c r="B231" s="32" t="n">
        <v>45156</v>
      </c>
      <c r="C231" s="33" t="n">
        <v>5382</v>
      </c>
      <c r="D231" s="33" t="n">
        <f aca="false">C231-C230</f>
        <v>-2169</v>
      </c>
      <c r="E231" s="33" t="n">
        <v>246.6</v>
      </c>
      <c r="F231" s="33" t="n">
        <f aca="false">E231-E230</f>
        <v>-78.2</v>
      </c>
      <c r="G231" s="33" t="n">
        <v>3.77</v>
      </c>
      <c r="H231" s="33" t="n">
        <f aca="false">G231-G230</f>
        <v>-1.52</v>
      </c>
      <c r="I231" s="33" t="n">
        <v>61</v>
      </c>
      <c r="J231" s="33" t="n">
        <f aca="false">I231-I230</f>
        <v>-11</v>
      </c>
    </row>
    <row r="232" customFormat="false" ht="13.8" hidden="false" customHeight="false" outlineLevel="0" collapsed="false">
      <c r="A232" s="33" t="n">
        <v>231</v>
      </c>
      <c r="B232" s="32" t="n">
        <v>45157</v>
      </c>
      <c r="C232" s="33" t="n">
        <v>8825</v>
      </c>
      <c r="D232" s="33" t="n">
        <f aca="false">C232-C231</f>
        <v>3443</v>
      </c>
      <c r="E232" s="33" t="n">
        <v>374.1</v>
      </c>
      <c r="F232" s="33" t="n">
        <f aca="false">E232-E231</f>
        <v>127.5</v>
      </c>
      <c r="G232" s="33" t="n">
        <v>6.18</v>
      </c>
      <c r="H232" s="33" t="n">
        <f aca="false">G232-G231</f>
        <v>2.41</v>
      </c>
      <c r="I232" s="33" t="n">
        <v>80</v>
      </c>
      <c r="J232" s="33" t="n">
        <f aca="false">I232-I231</f>
        <v>19</v>
      </c>
    </row>
    <row r="233" customFormat="false" ht="13.8" hidden="false" customHeight="false" outlineLevel="0" collapsed="false">
      <c r="A233" s="1" t="n">
        <v>232</v>
      </c>
      <c r="B233" s="32" t="n">
        <v>45158</v>
      </c>
      <c r="C233" s="33" t="n">
        <v>6795</v>
      </c>
      <c r="D233" s="33" t="n">
        <f aca="false">C233-C232</f>
        <v>-2030</v>
      </c>
      <c r="E233" s="33" t="n">
        <v>921.4</v>
      </c>
      <c r="F233" s="33" t="n">
        <f aca="false">E233-E232</f>
        <v>547.3</v>
      </c>
      <c r="G233" s="33" t="n">
        <v>4.76</v>
      </c>
      <c r="H233" s="33" t="n">
        <f aca="false">G233-G232</f>
        <v>-1.42</v>
      </c>
      <c r="I233" s="33" t="n">
        <v>63</v>
      </c>
      <c r="J233" s="33" t="n">
        <f aca="false">I233-I232</f>
        <v>-17</v>
      </c>
    </row>
    <row r="234" customFormat="false" ht="13.8" hidden="false" customHeight="false" outlineLevel="0" collapsed="false">
      <c r="A234" s="33" t="n">
        <v>233</v>
      </c>
      <c r="B234" s="32" t="n">
        <v>45159</v>
      </c>
      <c r="C234" s="33" t="n">
        <v>4265</v>
      </c>
      <c r="D234" s="33" t="n">
        <f aca="false">C234-C233</f>
        <v>-2530</v>
      </c>
      <c r="E234" s="33" t="n">
        <v>206.2</v>
      </c>
      <c r="F234" s="33" t="n">
        <f aca="false">E234-E233</f>
        <v>-715.2</v>
      </c>
      <c r="G234" s="33" t="n">
        <v>2.99</v>
      </c>
      <c r="H234" s="33" t="n">
        <f aca="false">G234-G233</f>
        <v>-1.77</v>
      </c>
      <c r="I234" s="33" t="n">
        <v>53</v>
      </c>
      <c r="J234" s="33" t="n">
        <f aca="false">I234-I233</f>
        <v>-10</v>
      </c>
    </row>
    <row r="235" customFormat="false" ht="13.8" hidden="false" customHeight="false" outlineLevel="0" collapsed="false">
      <c r="A235" s="1" t="n">
        <v>234</v>
      </c>
      <c r="B235" s="32" t="n">
        <v>45160</v>
      </c>
      <c r="C235" s="33" t="n">
        <v>1034</v>
      </c>
      <c r="D235" s="33" t="n">
        <f aca="false">C235-C234</f>
        <v>-3231</v>
      </c>
      <c r="E235" s="33" t="n">
        <v>50</v>
      </c>
      <c r="F235" s="33" t="n">
        <f aca="false">E235-E234</f>
        <v>-156.2</v>
      </c>
      <c r="G235" s="33" t="n">
        <v>0.72</v>
      </c>
      <c r="H235" s="33" t="n">
        <f aca="false">G235-G234</f>
        <v>-2.27</v>
      </c>
      <c r="I235" s="33" t="n">
        <v>13</v>
      </c>
      <c r="J235" s="33" t="n">
        <f aca="false">I235-I234</f>
        <v>-40</v>
      </c>
    </row>
    <row r="236" customFormat="false" ht="13.8" hidden="false" customHeight="false" outlineLevel="0" collapsed="false">
      <c r="A236" s="33" t="n">
        <v>235</v>
      </c>
      <c r="B236" s="32" t="n">
        <v>45161</v>
      </c>
      <c r="C236" s="33" t="n">
        <v>7543</v>
      </c>
      <c r="D236" s="33" t="n">
        <f aca="false">C236-C235</f>
        <v>6509</v>
      </c>
      <c r="E236" s="33" t="n">
        <v>330.1</v>
      </c>
      <c r="F236" s="33" t="n">
        <f aca="false">E236-E235</f>
        <v>280.1</v>
      </c>
      <c r="G236" s="33" t="n">
        <v>5.28</v>
      </c>
      <c r="H236" s="33" t="n">
        <f aca="false">G236-G235</f>
        <v>4.56</v>
      </c>
      <c r="I236" s="33" t="n">
        <v>56</v>
      </c>
      <c r="J236" s="33" t="n">
        <f aca="false">I236-I235</f>
        <v>43</v>
      </c>
    </row>
    <row r="237" customFormat="false" ht="13.8" hidden="false" customHeight="false" outlineLevel="0" collapsed="false">
      <c r="A237" s="1" t="n">
        <v>236</v>
      </c>
      <c r="B237" s="32" t="n">
        <v>45162</v>
      </c>
      <c r="C237" s="33" t="n">
        <v>1702</v>
      </c>
      <c r="D237" s="33" t="n">
        <f aca="false">C237-C236</f>
        <v>-5841</v>
      </c>
      <c r="E237" s="33" t="n">
        <v>82.1</v>
      </c>
      <c r="F237" s="33" t="n">
        <f aca="false">E237-E236</f>
        <v>-248</v>
      </c>
      <c r="G237" s="33" t="n">
        <v>1.19</v>
      </c>
      <c r="H237" s="33" t="n">
        <f aca="false">G237-G236</f>
        <v>-4.09</v>
      </c>
      <c r="I237" s="33" t="n">
        <v>21</v>
      </c>
      <c r="J237" s="33" t="n">
        <f aca="false">I237-I236</f>
        <v>-35</v>
      </c>
    </row>
    <row r="238" customFormat="false" ht="13.8" hidden="false" customHeight="false" outlineLevel="0" collapsed="false">
      <c r="A238" s="33" t="n">
        <v>237</v>
      </c>
      <c r="B238" s="32" t="n">
        <v>45163</v>
      </c>
      <c r="C238" s="33" t="n">
        <v>5418</v>
      </c>
      <c r="D238" s="33" t="n">
        <f aca="false">C238-C237</f>
        <v>3716</v>
      </c>
      <c r="E238" s="33" t="n">
        <v>248.4</v>
      </c>
      <c r="F238" s="33" t="n">
        <f aca="false">E238-E237</f>
        <v>166.3</v>
      </c>
      <c r="G238" s="33" t="n">
        <v>3.79</v>
      </c>
      <c r="H238" s="33" t="n">
        <f aca="false">G238-G237</f>
        <v>2.6</v>
      </c>
      <c r="I238" s="33" t="n">
        <v>61</v>
      </c>
      <c r="J238" s="33" t="n">
        <f aca="false">I238-I237</f>
        <v>40</v>
      </c>
    </row>
    <row r="239" customFormat="false" ht="13.8" hidden="false" customHeight="false" outlineLevel="0" collapsed="false">
      <c r="A239" s="1" t="n">
        <v>238</v>
      </c>
      <c r="B239" s="32" t="n">
        <v>45164</v>
      </c>
      <c r="C239" s="33" t="n">
        <v>21678</v>
      </c>
      <c r="D239" s="33" t="n">
        <f aca="false">C239-C238</f>
        <v>16260</v>
      </c>
      <c r="E239" s="33" t="n">
        <v>1029</v>
      </c>
      <c r="F239" s="33" t="n">
        <f aca="false">E239-E238</f>
        <v>780.6</v>
      </c>
      <c r="G239" s="33" t="n">
        <v>15.17</v>
      </c>
      <c r="H239" s="33" t="n">
        <f aca="false">G239-G238</f>
        <v>11.38</v>
      </c>
      <c r="I239" s="33" t="n">
        <v>263</v>
      </c>
      <c r="J239" s="33" t="n">
        <f aca="false">I239-I238</f>
        <v>202</v>
      </c>
    </row>
    <row r="240" customFormat="false" ht="13.8" hidden="false" customHeight="false" outlineLevel="0" collapsed="false">
      <c r="A240" s="33" t="n">
        <v>239</v>
      </c>
      <c r="B240" s="32" t="n">
        <v>45165</v>
      </c>
      <c r="C240" s="33" t="n">
        <v>1206</v>
      </c>
      <c r="D240" s="33" t="n">
        <f aca="false">C240-C239</f>
        <v>-20472</v>
      </c>
      <c r="E240" s="33" t="n">
        <v>58</v>
      </c>
      <c r="F240" s="33" t="n">
        <f aca="false">E240-E239</f>
        <v>-971</v>
      </c>
      <c r="G240" s="33" t="n">
        <v>0.84</v>
      </c>
      <c r="H240" s="33" t="n">
        <f aca="false">G240-G239</f>
        <v>-14.33</v>
      </c>
      <c r="I240" s="33" t="n">
        <v>15</v>
      </c>
      <c r="J240" s="33" t="n">
        <f aca="false">I240-I239</f>
        <v>-248</v>
      </c>
    </row>
    <row r="241" customFormat="false" ht="13.8" hidden="false" customHeight="false" outlineLevel="0" collapsed="false">
      <c r="A241" s="1" t="n">
        <v>240</v>
      </c>
      <c r="B241" s="32" t="n">
        <v>45166</v>
      </c>
      <c r="C241" s="33" t="n">
        <v>11021</v>
      </c>
      <c r="D241" s="33" t="n">
        <f aca="false">C241-C240</f>
        <v>9815</v>
      </c>
      <c r="E241" s="33" t="n">
        <v>507.4</v>
      </c>
      <c r="F241" s="33" t="n">
        <f aca="false">E241-E240</f>
        <v>449.4</v>
      </c>
      <c r="G241" s="33" t="n">
        <v>7.71</v>
      </c>
      <c r="H241" s="33" t="n">
        <f aca="false">G241-G240</f>
        <v>6.87</v>
      </c>
      <c r="I241" s="33" t="n">
        <v>126</v>
      </c>
      <c r="J241" s="33" t="n">
        <f aca="false">I241-I240</f>
        <v>111</v>
      </c>
    </row>
    <row r="242" customFormat="false" ht="13.8" hidden="false" customHeight="false" outlineLevel="0" collapsed="false">
      <c r="A242" s="33" t="n">
        <v>241</v>
      </c>
      <c r="B242" s="32" t="n">
        <v>45167</v>
      </c>
      <c r="C242" s="33" t="n">
        <v>11177</v>
      </c>
      <c r="D242" s="33" t="n">
        <f aca="false">C242-C241</f>
        <v>156</v>
      </c>
      <c r="E242" s="33" t="n">
        <v>462.8</v>
      </c>
      <c r="F242" s="33" t="n">
        <f aca="false">E242-E241</f>
        <v>-44.6</v>
      </c>
      <c r="G242" s="33" t="n">
        <v>7.82</v>
      </c>
      <c r="H242" s="33" t="n">
        <f aca="false">G242-G241</f>
        <v>0.11</v>
      </c>
      <c r="I242" s="33" t="n">
        <v>86</v>
      </c>
      <c r="J242" s="33" t="n">
        <f aca="false">I242-I241</f>
        <v>-40</v>
      </c>
    </row>
    <row r="243" customFormat="false" ht="13.8" hidden="false" customHeight="false" outlineLevel="0" collapsed="false">
      <c r="A243" s="1" t="n">
        <v>242</v>
      </c>
      <c r="B243" s="32" t="n">
        <v>45168</v>
      </c>
      <c r="C243" s="33" t="n">
        <v>9009</v>
      </c>
      <c r="D243" s="33" t="n">
        <f aca="false">C243-C242</f>
        <v>-2168</v>
      </c>
      <c r="E243" s="33" t="n">
        <v>391.6</v>
      </c>
      <c r="F243" s="33" t="n">
        <f aca="false">E243-E242</f>
        <v>-71.2</v>
      </c>
      <c r="G243" s="33" t="n">
        <v>6.31</v>
      </c>
      <c r="H243" s="33" t="n">
        <f aca="false">G243-G242</f>
        <v>-1.51</v>
      </c>
      <c r="I243" s="33" t="n">
        <v>73</v>
      </c>
      <c r="J243" s="33" t="n">
        <f aca="false">I243-I242</f>
        <v>-13</v>
      </c>
    </row>
    <row r="244" customFormat="false" ht="13.8" hidden="false" customHeight="false" outlineLevel="0" collapsed="false">
      <c r="A244" s="33" t="n">
        <v>243</v>
      </c>
      <c r="B244" s="32" t="n">
        <v>45169</v>
      </c>
      <c r="C244" s="33" t="n">
        <v>6993</v>
      </c>
      <c r="D244" s="33" t="n">
        <f aca="false">C244-C243</f>
        <v>-2016</v>
      </c>
      <c r="E244" s="33" t="n">
        <v>328.2</v>
      </c>
      <c r="F244" s="33" t="n">
        <f aca="false">E244-E243</f>
        <v>-63.4</v>
      </c>
      <c r="G244" s="33" t="n">
        <v>4.9</v>
      </c>
      <c r="H244" s="33" t="n">
        <f aca="false">G244-G243</f>
        <v>-1.41</v>
      </c>
      <c r="I244" s="33" t="n">
        <v>83</v>
      </c>
      <c r="J244" s="33" t="n">
        <f aca="false">I244-I243</f>
        <v>10</v>
      </c>
    </row>
    <row r="245" customFormat="false" ht="13.8" hidden="false" customHeight="false" outlineLevel="0" collapsed="false">
      <c r="A245" s="1" t="n">
        <v>244</v>
      </c>
      <c r="B245" s="32" t="n">
        <v>45170</v>
      </c>
      <c r="C245" s="33" t="n">
        <v>3970</v>
      </c>
      <c r="D245" s="33" t="n">
        <f aca="false">C245-C244</f>
        <v>-3023</v>
      </c>
      <c r="E245" s="33" t="n">
        <v>173.8</v>
      </c>
      <c r="F245" s="33" t="n">
        <f aca="false">E245-E244</f>
        <v>-154.4</v>
      </c>
      <c r="G245" s="33" t="n">
        <v>2.78</v>
      </c>
      <c r="H245" s="33" t="n">
        <f aca="false">G245-G244</f>
        <v>-2.12</v>
      </c>
      <c r="I245" s="33" t="n">
        <v>40</v>
      </c>
      <c r="J245" s="33" t="n">
        <f aca="false">I245-I244</f>
        <v>-43</v>
      </c>
      <c r="L245" s="34" t="s">
        <v>2</v>
      </c>
      <c r="M245" s="34" t="s">
        <v>179</v>
      </c>
      <c r="N245" s="34" t="s">
        <v>175</v>
      </c>
      <c r="O245" s="34" t="s">
        <v>177</v>
      </c>
    </row>
    <row r="246" customFormat="false" ht="13.8" hidden="false" customHeight="false" outlineLevel="0" collapsed="false">
      <c r="A246" s="33" t="n">
        <v>245</v>
      </c>
      <c r="B246" s="32" t="n">
        <v>45171</v>
      </c>
      <c r="C246" s="33" t="n">
        <v>4985</v>
      </c>
      <c r="D246" s="33" t="n">
        <f aca="false">C246-C245</f>
        <v>1015</v>
      </c>
      <c r="E246" s="33" t="n">
        <v>219.7</v>
      </c>
      <c r="F246" s="33" t="n">
        <f aca="false">E246-E245</f>
        <v>45.9</v>
      </c>
      <c r="G246" s="33" t="n">
        <v>3.49</v>
      </c>
      <c r="H246" s="33" t="n">
        <f aca="false">G246-G245</f>
        <v>0.71</v>
      </c>
      <c r="I246" s="33" t="n">
        <v>51</v>
      </c>
      <c r="J246" s="33" t="n">
        <f aca="false">I246-I245</f>
        <v>11</v>
      </c>
      <c r="K246" s="1" t="s">
        <v>8</v>
      </c>
      <c r="L246" s="1" t="n">
        <f aca="false">AVERAGE($C$245:$C$274)</f>
        <v>11257.2333333333</v>
      </c>
      <c r="M246" s="1" t="n">
        <f aca="false">AVERAGE($E$245:$E$274)</f>
        <v>508.646666666667</v>
      </c>
      <c r="N246" s="1" t="n">
        <f aca="false">AVERAGE($G$245:$G$274)</f>
        <v>7.88033333333333</v>
      </c>
      <c r="O246" s="1" t="n">
        <f aca="false">AVERAGE($I$245:$I$274)</f>
        <v>114</v>
      </c>
    </row>
    <row r="247" customFormat="false" ht="13.8" hidden="false" customHeight="false" outlineLevel="0" collapsed="false">
      <c r="A247" s="1" t="n">
        <v>246</v>
      </c>
      <c r="B247" s="32" t="n">
        <v>45172</v>
      </c>
      <c r="C247" s="33" t="n">
        <v>18052</v>
      </c>
      <c r="D247" s="33" t="n">
        <f aca="false">C247-C246</f>
        <v>13067</v>
      </c>
      <c r="E247" s="33" t="n">
        <v>850.5</v>
      </c>
      <c r="F247" s="33" t="n">
        <f aca="false">E247-E246</f>
        <v>630.8</v>
      </c>
      <c r="G247" s="33" t="n">
        <v>12.64</v>
      </c>
      <c r="H247" s="33" t="n">
        <f aca="false">G247-G246</f>
        <v>9.15</v>
      </c>
      <c r="I247" s="33" t="n">
        <v>217</v>
      </c>
      <c r="J247" s="33" t="n">
        <f aca="false">I247-I246</f>
        <v>166</v>
      </c>
      <c r="K247" s="1" t="s">
        <v>10</v>
      </c>
      <c r="L247" s="1" t="n">
        <f aca="false">SQRT(VAR($C$245:$C$274)/COUNT($C$245:$C$274))</f>
        <v>1394.72298298696</v>
      </c>
      <c r="M247" s="1" t="n">
        <f aca="false">SQRT(VAR($E$245:$E$274)/COUNT($E$245:$E$274))</f>
        <v>61.1708695477353</v>
      </c>
      <c r="N247" s="1" t="n">
        <f aca="false">SQRT(VAR($G$245:$G$274)/COUNT($G$245:$G$274))</f>
        <v>0.97630931636754</v>
      </c>
      <c r="O247" s="1" t="n">
        <f aca="false">SQRT(VAR($I$245:$I$274)/COUNT($I$245:$I$274))</f>
        <v>13.2789696318185</v>
      </c>
    </row>
    <row r="248" customFormat="false" ht="13.8" hidden="false" customHeight="false" outlineLevel="0" collapsed="false">
      <c r="A248" s="33" t="n">
        <v>247</v>
      </c>
      <c r="B248" s="32" t="n">
        <v>45173</v>
      </c>
      <c r="C248" s="33" t="n">
        <v>6996</v>
      </c>
      <c r="D248" s="33" t="n">
        <f aca="false">C248-C247</f>
        <v>-11056</v>
      </c>
      <c r="E248" s="33" t="n">
        <v>332.8</v>
      </c>
      <c r="F248" s="33" t="n">
        <f aca="false">E248-E247</f>
        <v>-517.7</v>
      </c>
      <c r="G248" s="33" t="n">
        <v>4.9</v>
      </c>
      <c r="H248" s="33" t="n">
        <f aca="false">G248-G247</f>
        <v>-7.74</v>
      </c>
      <c r="I248" s="33" t="n">
        <v>85</v>
      </c>
      <c r="J248" s="33" t="n">
        <f aca="false">I248-I247</f>
        <v>-132</v>
      </c>
      <c r="K248" s="1" t="s">
        <v>14</v>
      </c>
      <c r="L248" s="1" t="e">
        <f aca="false">MODE($C$245:$C$274)</f>
        <v>#VALUE!</v>
      </c>
      <c r="M248" s="1" t="e">
        <f aca="false">MODE($E$245:$E$274)</f>
        <v>#VALUE!</v>
      </c>
      <c r="N248" s="1" t="e">
        <f aca="false">MODE($G$245:$G$274)</f>
        <v>#VALUE!</v>
      </c>
      <c r="O248" s="1" t="n">
        <f aca="false">MODE($I$245:$I$274)</f>
        <v>66</v>
      </c>
    </row>
    <row r="249" customFormat="false" ht="13.8" hidden="false" customHeight="false" outlineLevel="0" collapsed="false">
      <c r="A249" s="1" t="n">
        <v>248</v>
      </c>
      <c r="B249" s="32" t="n">
        <v>45174</v>
      </c>
      <c r="C249" s="33" t="n">
        <v>9459</v>
      </c>
      <c r="D249" s="33" t="n">
        <f aca="false">C249-C248</f>
        <v>2463</v>
      </c>
      <c r="E249" s="33" t="n">
        <v>417.9</v>
      </c>
      <c r="F249" s="33" t="n">
        <f aca="false">E249-E248</f>
        <v>85.1</v>
      </c>
      <c r="G249" s="33" t="n">
        <v>6.62</v>
      </c>
      <c r="H249" s="33" t="n">
        <f aca="false">G249-G248</f>
        <v>1.72</v>
      </c>
      <c r="I249" s="33" t="n">
        <v>98</v>
      </c>
      <c r="J249" s="33" t="n">
        <f aca="false">I249-I248</f>
        <v>13</v>
      </c>
      <c r="K249" s="1" t="s">
        <v>12</v>
      </c>
      <c r="L249" s="1" t="n">
        <f aca="false">MEDIAN($C$245:$C$274)</f>
        <v>8747.5</v>
      </c>
      <c r="M249" s="1" t="n">
        <f aca="false">MEDIAN($E$245:$E$274)</f>
        <v>400.45</v>
      </c>
      <c r="N249" s="1" t="n">
        <f aca="false">MEDIAN($G$245:$G$274)</f>
        <v>6.125</v>
      </c>
      <c r="O249" s="1" t="n">
        <f aca="false">MEDIAN($I$245:$I$274)</f>
        <v>92.5</v>
      </c>
    </row>
    <row r="250" customFormat="false" ht="13.8" hidden="false" customHeight="false" outlineLevel="0" collapsed="false">
      <c r="A250" s="33" t="n">
        <v>249</v>
      </c>
      <c r="B250" s="32" t="n">
        <v>45175</v>
      </c>
      <c r="C250" s="33" t="n">
        <v>10546</v>
      </c>
      <c r="D250" s="33" t="n">
        <f aca="false">C250-C249</f>
        <v>1087</v>
      </c>
      <c r="E250" s="33" t="n">
        <v>466.9</v>
      </c>
      <c r="F250" s="33" t="n">
        <f aca="false">E250-E249</f>
        <v>49</v>
      </c>
      <c r="G250" s="33" t="n">
        <v>7.38</v>
      </c>
      <c r="H250" s="33" t="n">
        <f aca="false">G250-G249</f>
        <v>0.76</v>
      </c>
      <c r="I250" s="33" t="n">
        <v>111</v>
      </c>
      <c r="J250" s="33" t="n">
        <f aca="false">I250-I249</f>
        <v>13</v>
      </c>
      <c r="K250" s="1" t="s">
        <v>195</v>
      </c>
      <c r="L250" s="1" t="n">
        <f aca="false">QUARTILE($C$245:$C$274, 1)</f>
        <v>6374.5</v>
      </c>
      <c r="M250" s="1" t="n">
        <f aca="false">QUARTILE($E$245:$E$274, 1)</f>
        <v>291.025</v>
      </c>
      <c r="N250" s="1" t="n">
        <f aca="false">QUARTILE($G$245:$G$274, 1)</f>
        <v>4.4625</v>
      </c>
      <c r="O250" s="1" t="n">
        <f aca="false">QUARTILE($I$245:$I$274, 1)</f>
        <v>66.25</v>
      </c>
    </row>
    <row r="251" customFormat="false" ht="13.8" hidden="false" customHeight="false" outlineLevel="0" collapsed="false">
      <c r="A251" s="1" t="n">
        <v>250</v>
      </c>
      <c r="B251" s="32" t="n">
        <v>45176</v>
      </c>
      <c r="C251" s="33" t="n">
        <v>9951</v>
      </c>
      <c r="D251" s="33" t="n">
        <f aca="false">C251-C250</f>
        <v>-595</v>
      </c>
      <c r="E251" s="33" t="n">
        <v>450</v>
      </c>
      <c r="F251" s="33" t="n">
        <f aca="false">E251-E250</f>
        <v>-16.9</v>
      </c>
      <c r="G251" s="33" t="n">
        <v>6.97</v>
      </c>
      <c r="H251" s="33" t="n">
        <f aca="false">G251-G250</f>
        <v>-0.41</v>
      </c>
      <c r="I251" s="33" t="n">
        <v>109</v>
      </c>
      <c r="J251" s="33" t="n">
        <f aca="false">I251-I250</f>
        <v>-2</v>
      </c>
      <c r="K251" s="1" t="s">
        <v>181</v>
      </c>
      <c r="L251" s="1" t="n">
        <f aca="false">QUARTILE($C$245:$C$274, 3)</f>
        <v>13993</v>
      </c>
      <c r="M251" s="1" t="n">
        <f aca="false">QUARTILE($E$245:$E$274, 3)</f>
        <v>668.275</v>
      </c>
      <c r="N251" s="1" t="n">
        <f aca="false">QUARTILE($G$245:$G$274, 3)</f>
        <v>9.7975</v>
      </c>
      <c r="O251" s="1" t="n">
        <f aca="false">QUARTILE($I$245:$I$274, 3)</f>
        <v>115.5</v>
      </c>
    </row>
    <row r="252" customFormat="false" ht="13.8" hidden="false" customHeight="false" outlineLevel="0" collapsed="false">
      <c r="A252" s="33" t="n">
        <v>251</v>
      </c>
      <c r="B252" s="32" t="n">
        <v>45177</v>
      </c>
      <c r="C252" s="33" t="n">
        <v>6145</v>
      </c>
      <c r="D252" s="33" t="n">
        <f aca="false">C252-C251</f>
        <v>-3806</v>
      </c>
      <c r="E252" s="33" t="n">
        <v>295</v>
      </c>
      <c r="F252" s="33" t="n">
        <f aca="false">E252-E251</f>
        <v>-155</v>
      </c>
      <c r="G252" s="33" t="n">
        <v>4.3</v>
      </c>
      <c r="H252" s="33" t="n">
        <f aca="false">G252-G251</f>
        <v>-2.67</v>
      </c>
      <c r="I252" s="33" t="n">
        <v>76</v>
      </c>
      <c r="J252" s="33" t="n">
        <f aca="false">I252-I251</f>
        <v>-33</v>
      </c>
      <c r="K252" s="1" t="s">
        <v>182</v>
      </c>
      <c r="L252" s="1" t="n">
        <f aca="false">VAR($C$245:$C$274)</f>
        <v>58357565.9781609</v>
      </c>
      <c r="M252" s="1" t="n">
        <f aca="false">VAR($E$245:$E$274)</f>
        <v>112256.258436782</v>
      </c>
      <c r="N252" s="1" t="n">
        <f aca="false">VAR($G$245:$G$274)</f>
        <v>28.5953964367816</v>
      </c>
      <c r="O252" s="1" t="n">
        <f aca="false">VAR($I$245:$I$274)</f>
        <v>5289.93103448276</v>
      </c>
    </row>
    <row r="253" customFormat="false" ht="13.8" hidden="false" customHeight="false" outlineLevel="0" collapsed="false">
      <c r="A253" s="1" t="n">
        <v>252</v>
      </c>
      <c r="B253" s="32" t="n">
        <v>45178</v>
      </c>
      <c r="C253" s="33" t="n">
        <v>24892</v>
      </c>
      <c r="D253" s="33" t="n">
        <f aca="false">C253-C252</f>
        <v>18747</v>
      </c>
      <c r="E253" s="33" t="n">
        <v>1153.5</v>
      </c>
      <c r="F253" s="33" t="n">
        <f aca="false">E253-E252</f>
        <v>858.5</v>
      </c>
      <c r="G253" s="33" t="n">
        <v>17.42</v>
      </c>
      <c r="H253" s="33" t="n">
        <f aca="false">G253-G252</f>
        <v>13.12</v>
      </c>
      <c r="I253" s="33" t="n">
        <v>289</v>
      </c>
      <c r="J253" s="33" t="n">
        <f aca="false">I253-I252</f>
        <v>213</v>
      </c>
      <c r="K253" s="1" t="s">
        <v>16</v>
      </c>
      <c r="L253" s="1" t="n">
        <f aca="false">STDEV($C$245:$C$274)</f>
        <v>7639.21239252849</v>
      </c>
      <c r="M253" s="1" t="n">
        <f aca="false">STDEV($E$245:$E$274)</f>
        <v>335.046651135005</v>
      </c>
      <c r="N253" s="1" t="n">
        <f aca="false">STDEV($G$245:$G$274)</f>
        <v>5.3474663567695</v>
      </c>
      <c r="O253" s="1" t="n">
        <f aca="false">STDEV($I$245:$I$274)</f>
        <v>72.7319120777308</v>
      </c>
    </row>
    <row r="254" customFormat="false" ht="13.8" hidden="false" customHeight="false" outlineLevel="0" collapsed="false">
      <c r="A254" s="33" t="n">
        <v>253</v>
      </c>
      <c r="B254" s="32" t="n">
        <v>45179</v>
      </c>
      <c r="C254" s="33" t="n">
        <v>2834</v>
      </c>
      <c r="D254" s="33" t="n">
        <f aca="false">C254-C253</f>
        <v>-22058</v>
      </c>
      <c r="E254" s="33" t="n">
        <v>130.8</v>
      </c>
      <c r="F254" s="33" t="n">
        <f aca="false">E254-E253</f>
        <v>-1022.7</v>
      </c>
      <c r="G254" s="33" t="n">
        <v>1.98</v>
      </c>
      <c r="H254" s="33" t="n">
        <f aca="false">G254-G253</f>
        <v>-15.44</v>
      </c>
      <c r="I254" s="33" t="n">
        <v>32</v>
      </c>
      <c r="J254" s="33" t="n">
        <f aca="false">I254-I253</f>
        <v>-257</v>
      </c>
      <c r="K254" s="1" t="s">
        <v>20</v>
      </c>
      <c r="L254" s="1" t="n">
        <f aca="false">KURT($C$245:$C$274)</f>
        <v>1.11281644385815</v>
      </c>
      <c r="M254" s="1" t="n">
        <f aca="false">KURT($E$245:$E$274)</f>
        <v>0.46217254964894</v>
      </c>
      <c r="N254" s="1" t="n">
        <f aca="false">KURT($G$245:$G$274)</f>
        <v>1.11190188216708</v>
      </c>
      <c r="O254" s="1" t="n">
        <f aca="false">KURT($I$245:$I$274)</f>
        <v>1.00425654451533</v>
      </c>
    </row>
    <row r="255" customFormat="false" ht="13.8" hidden="false" customHeight="false" outlineLevel="0" collapsed="false">
      <c r="A255" s="1" t="n">
        <v>254</v>
      </c>
      <c r="B255" s="32" t="n">
        <v>45180</v>
      </c>
      <c r="C255" s="33" t="n">
        <v>8551</v>
      </c>
      <c r="D255" s="33" t="n">
        <f aca="false">C255-C254</f>
        <v>5717</v>
      </c>
      <c r="E255" s="33" t="n">
        <v>399.5</v>
      </c>
      <c r="F255" s="33" t="n">
        <f aca="false">E255-E254</f>
        <v>268.7</v>
      </c>
      <c r="G255" s="33" t="n">
        <v>5.99</v>
      </c>
      <c r="H255" s="33" t="n">
        <f aca="false">G255-G254</f>
        <v>4.01</v>
      </c>
      <c r="I255" s="33" t="n">
        <v>101</v>
      </c>
      <c r="J255" s="33" t="n">
        <f aca="false">I255-I254</f>
        <v>69</v>
      </c>
      <c r="K255" s="1" t="s">
        <v>22</v>
      </c>
      <c r="L255" s="1" t="n">
        <f aca="false">SKEW($C$245:$C$274)</f>
        <v>1.38342258607724</v>
      </c>
      <c r="M255" s="1" t="n">
        <f aca="false">SKEW($E$245:$E$274)</f>
        <v>1.22769364024711</v>
      </c>
      <c r="N255" s="1" t="n">
        <f aca="false">SKEW($G$245:$G$274)</f>
        <v>1.38313291695833</v>
      </c>
      <c r="O255" s="1" t="n">
        <f aca="false">SKEW($I$245:$I$274)</f>
        <v>1.39908057699723</v>
      </c>
    </row>
    <row r="256" customFormat="false" ht="13.8" hidden="false" customHeight="false" outlineLevel="0" collapsed="false">
      <c r="A256" s="33" t="n">
        <v>255</v>
      </c>
      <c r="B256" s="32" t="n">
        <v>45181</v>
      </c>
      <c r="C256" s="33" t="n">
        <v>6270</v>
      </c>
      <c r="D256" s="33" t="n">
        <f aca="false">C256-C255</f>
        <v>-2281</v>
      </c>
      <c r="E256" s="33" t="n">
        <v>277.5</v>
      </c>
      <c r="F256" s="33" t="n">
        <f aca="false">E256-E255</f>
        <v>-122</v>
      </c>
      <c r="G256" s="33" t="n">
        <v>4.39</v>
      </c>
      <c r="H256" s="33" t="n">
        <f aca="false">G256-G255</f>
        <v>-1.6</v>
      </c>
      <c r="I256" s="33" t="n">
        <v>66</v>
      </c>
      <c r="J256" s="33" t="n">
        <f aca="false">I256-I255</f>
        <v>-35</v>
      </c>
      <c r="K256" s="1" t="s">
        <v>24</v>
      </c>
      <c r="L256" s="1" t="n">
        <f aca="false">MAX($C$245:$C$274)-MIN($C$245:$C$274)</f>
        <v>29582</v>
      </c>
      <c r="M256" s="1" t="n">
        <f aca="false">MAX($E$245:$E$274)-MIN($E$245:$E$274)</f>
        <v>1215</v>
      </c>
      <c r="N256" s="1" t="n">
        <f aca="false">MAX($G$245:$G$274)-MIN($G$245:$G$274)</f>
        <v>20.71</v>
      </c>
      <c r="O256" s="1" t="n">
        <f aca="false">MAX($I$245:$I$274)-MIN($I$245:$I$274)</f>
        <v>268</v>
      </c>
    </row>
    <row r="257" customFormat="false" ht="13.8" hidden="false" customHeight="false" outlineLevel="0" collapsed="false">
      <c r="A257" s="1" t="n">
        <v>256</v>
      </c>
      <c r="B257" s="32" t="n">
        <v>45182</v>
      </c>
      <c r="C257" s="33" t="n">
        <v>7926</v>
      </c>
      <c r="D257" s="33" t="n">
        <f aca="false">C257-C256</f>
        <v>1656</v>
      </c>
      <c r="E257" s="33" t="n">
        <v>359.4</v>
      </c>
      <c r="F257" s="33" t="n">
        <f aca="false">E257-E256</f>
        <v>81.9</v>
      </c>
      <c r="G257" s="33" t="n">
        <v>5.55</v>
      </c>
      <c r="H257" s="33" t="n">
        <f aca="false">G257-G256</f>
        <v>1.16</v>
      </c>
      <c r="I257" s="33" t="n">
        <v>84</v>
      </c>
      <c r="J257" s="33" t="n">
        <f aca="false">I257-I256</f>
        <v>18</v>
      </c>
      <c r="K257" s="1" t="s">
        <v>26</v>
      </c>
      <c r="L257" s="1" t="n">
        <f aca="false">MIN($C$245:$C$274)</f>
        <v>2834</v>
      </c>
      <c r="M257" s="1" t="n">
        <f aca="false">MIN($E$245:$E$274)</f>
        <v>130.8</v>
      </c>
      <c r="N257" s="1" t="n">
        <f aca="false">MIN($G$245:$G$274)</f>
        <v>1.98</v>
      </c>
      <c r="O257" s="1" t="n">
        <f aca="false">MIN($I$245:$I$274)</f>
        <v>32</v>
      </c>
    </row>
    <row r="258" customFormat="false" ht="13.8" hidden="false" customHeight="false" outlineLevel="0" collapsed="false">
      <c r="A258" s="33" t="n">
        <v>257</v>
      </c>
      <c r="B258" s="32" t="n">
        <v>45183</v>
      </c>
      <c r="C258" s="33" t="n">
        <v>5373</v>
      </c>
      <c r="D258" s="33" t="n">
        <f aca="false">C258-C257</f>
        <v>-2553</v>
      </c>
      <c r="E258" s="33" t="n">
        <v>258.4</v>
      </c>
      <c r="F258" s="33" t="n">
        <f aca="false">E258-E257</f>
        <v>-101</v>
      </c>
      <c r="G258" s="33" t="n">
        <v>3.76</v>
      </c>
      <c r="H258" s="33" t="n">
        <f aca="false">G258-G257</f>
        <v>-1.79</v>
      </c>
      <c r="I258" s="33" t="n">
        <v>66</v>
      </c>
      <c r="J258" s="33" t="n">
        <f aca="false">I258-I257</f>
        <v>-18</v>
      </c>
      <c r="K258" s="1" t="s">
        <v>28</v>
      </c>
      <c r="L258" s="1" t="n">
        <f aca="false">MAX($C$245:$C$274)</f>
        <v>32416</v>
      </c>
      <c r="M258" s="1" t="n">
        <f aca="false">MAX($E$245:$E$274)</f>
        <v>1345.8</v>
      </c>
      <c r="N258" s="1" t="n">
        <f aca="false">MAX($G$245:$G$274)</f>
        <v>22.69</v>
      </c>
      <c r="O258" s="1" t="n">
        <f aca="false">MAX($I$245:$I$274)</f>
        <v>300</v>
      </c>
    </row>
    <row r="259" customFormat="false" ht="13.8" hidden="false" customHeight="false" outlineLevel="0" collapsed="false">
      <c r="A259" s="1" t="n">
        <v>258</v>
      </c>
      <c r="B259" s="32" t="n">
        <v>45184</v>
      </c>
      <c r="C259" s="33" t="n">
        <v>3780</v>
      </c>
      <c r="D259" s="33" t="n">
        <f aca="false">C259-C258</f>
        <v>-1593</v>
      </c>
      <c r="E259" s="33" t="n">
        <v>178.3</v>
      </c>
      <c r="F259" s="33" t="n">
        <f aca="false">E259-E258</f>
        <v>-80.1</v>
      </c>
      <c r="G259" s="33" t="n">
        <v>2.65</v>
      </c>
      <c r="H259" s="33" t="n">
        <f aca="false">G259-G258</f>
        <v>-1.11</v>
      </c>
      <c r="I259" s="33" t="n">
        <v>45</v>
      </c>
      <c r="J259" s="33" t="n">
        <f aca="false">I259-I258</f>
        <v>-21</v>
      </c>
      <c r="K259" s="1" t="s">
        <v>30</v>
      </c>
      <c r="L259" s="1" t="n">
        <f aca="false">SUM($C$245:$C$274)</f>
        <v>337717</v>
      </c>
      <c r="M259" s="1" t="n">
        <f aca="false">SUM($E$245:$E$274)</f>
        <v>15259.4</v>
      </c>
      <c r="N259" s="1" t="n">
        <f aca="false">SUM($G$245:$G$274)</f>
        <v>236.41</v>
      </c>
      <c r="O259" s="1" t="n">
        <f aca="false">SUM($I$245:$I$274)</f>
        <v>3420</v>
      </c>
    </row>
    <row r="260" customFormat="false" ht="13.8" hidden="false" customHeight="false" outlineLevel="0" collapsed="false">
      <c r="A260" s="33" t="n">
        <v>259</v>
      </c>
      <c r="B260" s="32" t="n">
        <v>45185</v>
      </c>
      <c r="C260" s="33" t="n">
        <v>9577</v>
      </c>
      <c r="D260" s="33" t="n">
        <f aca="false">C260-C259</f>
        <v>5797</v>
      </c>
      <c r="E260" s="33" t="n">
        <v>455.7</v>
      </c>
      <c r="F260" s="33" t="n">
        <f aca="false">E260-E259</f>
        <v>277.4</v>
      </c>
      <c r="G260" s="33" t="n">
        <v>6.7</v>
      </c>
      <c r="H260" s="33" t="n">
        <f aca="false">G260-G259</f>
        <v>4.05</v>
      </c>
      <c r="I260" s="33" t="n">
        <v>117</v>
      </c>
      <c r="J260" s="33" t="n">
        <f aca="false">I260-I259</f>
        <v>72</v>
      </c>
      <c r="K260" s="1" t="s">
        <v>32</v>
      </c>
      <c r="L260" s="1" t="n">
        <f aca="false">COUNT($C$245:$C$274)</f>
        <v>30</v>
      </c>
      <c r="M260" s="1" t="n">
        <f aca="false">COUNT($E$245:$E$274)</f>
        <v>30</v>
      </c>
      <c r="N260" s="1" t="n">
        <f aca="false">COUNT($G$245:$G$274)</f>
        <v>30</v>
      </c>
      <c r="O260" s="1" t="n">
        <f aca="false">COUNT($I$245:$I$274)</f>
        <v>30</v>
      </c>
    </row>
    <row r="261" customFormat="false" ht="13.8" hidden="false" customHeight="false" outlineLevel="0" collapsed="false">
      <c r="A261" s="1" t="n">
        <v>260</v>
      </c>
      <c r="B261" s="32" t="n">
        <v>45186</v>
      </c>
      <c r="C261" s="33" t="n">
        <v>18160</v>
      </c>
      <c r="D261" s="33" t="n">
        <f aca="false">C261-C260</f>
        <v>8583</v>
      </c>
      <c r="E261" s="33" t="n">
        <v>833.4</v>
      </c>
      <c r="F261" s="33" t="n">
        <f aca="false">E261-E260</f>
        <v>377.7</v>
      </c>
      <c r="G261" s="33" t="n">
        <v>12.71</v>
      </c>
      <c r="H261" s="33" t="n">
        <f aca="false">G261-G260</f>
        <v>6.01</v>
      </c>
      <c r="I261" s="33" t="n">
        <v>207</v>
      </c>
      <c r="J261" s="33" t="n">
        <f aca="false">I261-I260</f>
        <v>90</v>
      </c>
    </row>
    <row r="262" customFormat="false" ht="13.8" hidden="false" customHeight="false" outlineLevel="0" collapsed="false">
      <c r="A262" s="33" t="n">
        <v>261</v>
      </c>
      <c r="B262" s="32" t="n">
        <v>45187</v>
      </c>
      <c r="C262" s="33" t="n">
        <v>8944</v>
      </c>
      <c r="D262" s="33" t="n">
        <f aca="false">C262-C261</f>
        <v>-9216</v>
      </c>
      <c r="E262" s="33" t="n">
        <v>401.5</v>
      </c>
      <c r="F262" s="33" t="n">
        <f aca="false">E262-E261</f>
        <v>-431.9</v>
      </c>
      <c r="G262" s="33" t="n">
        <v>6.26</v>
      </c>
      <c r="H262" s="33" t="n">
        <f aca="false">G262-G261</f>
        <v>-6.45</v>
      </c>
      <c r="I262" s="33" t="n">
        <v>94</v>
      </c>
      <c r="J262" s="33" t="n">
        <f aca="false">I262-I261</f>
        <v>-113</v>
      </c>
    </row>
    <row r="263" customFormat="false" ht="13.8" hidden="false" customHeight="false" outlineLevel="0" collapsed="false">
      <c r="A263" s="1" t="n">
        <v>262</v>
      </c>
      <c r="B263" s="32" t="n">
        <v>45188</v>
      </c>
      <c r="C263" s="33" t="n">
        <v>7527</v>
      </c>
      <c r="D263" s="33" t="n">
        <f aca="false">C263-C262</f>
        <v>-1417</v>
      </c>
      <c r="E263" s="33" t="n">
        <v>331.8</v>
      </c>
      <c r="F263" s="33" t="n">
        <f aca="false">E263-E262</f>
        <v>-69.7</v>
      </c>
      <c r="G263" s="33" t="n">
        <v>5.27</v>
      </c>
      <c r="H263" s="33" t="n">
        <f aca="false">G263-G262</f>
        <v>-0.99</v>
      </c>
      <c r="I263" s="33" t="n">
        <v>78</v>
      </c>
      <c r="J263" s="33" t="n">
        <f aca="false">I263-I262</f>
        <v>-16</v>
      </c>
    </row>
    <row r="264" customFormat="false" ht="13.8" hidden="false" customHeight="false" outlineLevel="0" collapsed="false">
      <c r="A264" s="33" t="n">
        <v>263</v>
      </c>
      <c r="B264" s="32" t="n">
        <v>45189</v>
      </c>
      <c r="C264" s="33" t="n">
        <v>6688</v>
      </c>
      <c r="D264" s="33" t="n">
        <f aca="false">C264-C263</f>
        <v>-839</v>
      </c>
      <c r="E264" s="33" t="n">
        <v>299.3</v>
      </c>
      <c r="F264" s="33" t="n">
        <f aca="false">E264-E263</f>
        <v>-32.5</v>
      </c>
      <c r="G264" s="33" t="n">
        <v>4.68</v>
      </c>
      <c r="H264" s="33" t="n">
        <f aca="false">G264-G263</f>
        <v>-0.59</v>
      </c>
      <c r="I264" s="33" t="n">
        <v>71</v>
      </c>
      <c r="J264" s="33" t="n">
        <f aca="false">I264-I263</f>
        <v>-7</v>
      </c>
    </row>
    <row r="265" customFormat="false" ht="13.8" hidden="false" customHeight="false" outlineLevel="0" collapsed="false">
      <c r="A265" s="1" t="n">
        <v>264</v>
      </c>
      <c r="B265" s="32" t="n">
        <v>45190</v>
      </c>
      <c r="C265" s="33" t="n">
        <v>5188</v>
      </c>
      <c r="D265" s="33" t="n">
        <f aca="false">C265-C264</f>
        <v>-1500</v>
      </c>
      <c r="E265" s="33" t="n">
        <v>241.7</v>
      </c>
      <c r="F265" s="33" t="n">
        <f aca="false">E265-E264</f>
        <v>-57.6</v>
      </c>
      <c r="G265" s="33" t="n">
        <v>3.63</v>
      </c>
      <c r="H265" s="33" t="n">
        <f aca="false">G265-G264</f>
        <v>-1.05</v>
      </c>
      <c r="I265" s="33" t="n">
        <v>61</v>
      </c>
      <c r="J265" s="33" t="n">
        <f aca="false">I265-I264</f>
        <v>-10</v>
      </c>
    </row>
    <row r="266" customFormat="false" ht="13.8" hidden="false" customHeight="false" outlineLevel="0" collapsed="false">
      <c r="A266" s="33" t="n">
        <v>265</v>
      </c>
      <c r="B266" s="32" t="n">
        <v>45191</v>
      </c>
      <c r="C266" s="33" t="n">
        <v>25186</v>
      </c>
      <c r="D266" s="33" t="n">
        <f aca="false">C266-C265</f>
        <v>19998</v>
      </c>
      <c r="E266" s="33" t="n">
        <v>1060</v>
      </c>
      <c r="F266" s="33" t="n">
        <f aca="false">E266-E265</f>
        <v>818.3</v>
      </c>
      <c r="G266" s="33" t="n">
        <v>17.63</v>
      </c>
      <c r="H266" s="33" t="n">
        <f aca="false">G266-G265</f>
        <v>14</v>
      </c>
      <c r="I266" s="33" t="n">
        <v>219</v>
      </c>
      <c r="J266" s="33" t="n">
        <f aca="false">I266-I265</f>
        <v>158</v>
      </c>
    </row>
    <row r="267" customFormat="false" ht="13.8" hidden="false" customHeight="false" outlineLevel="0" collapsed="false">
      <c r="A267" s="1" t="n">
        <v>266</v>
      </c>
      <c r="B267" s="32" t="n">
        <v>45192</v>
      </c>
      <c r="C267" s="33" t="n">
        <v>26895</v>
      </c>
      <c r="D267" s="33" t="n">
        <f aca="false">C267-C266</f>
        <v>1709</v>
      </c>
      <c r="E267" s="33" t="n">
        <v>1221.5</v>
      </c>
      <c r="F267" s="33" t="n">
        <f aca="false">E267-E266</f>
        <v>161.5</v>
      </c>
      <c r="G267" s="33" t="n">
        <v>18.83</v>
      </c>
      <c r="H267" s="33" t="n">
        <f aca="false">G267-G266</f>
        <v>1.2</v>
      </c>
      <c r="I267" s="33" t="n">
        <v>300</v>
      </c>
      <c r="J267" s="33" t="n">
        <f aca="false">I267-I266</f>
        <v>81</v>
      </c>
    </row>
    <row r="268" customFormat="false" ht="13.8" hidden="false" customHeight="false" outlineLevel="0" collapsed="false">
      <c r="A268" s="33" t="n">
        <v>267</v>
      </c>
      <c r="B268" s="32" t="n">
        <v>45193</v>
      </c>
      <c r="C268" s="33" t="n">
        <v>7068</v>
      </c>
      <c r="D268" s="33" t="n">
        <f aca="false">C268-C267</f>
        <v>-19827</v>
      </c>
      <c r="E268" s="33" t="n">
        <v>306.4</v>
      </c>
      <c r="F268" s="33" t="n">
        <f aca="false">E268-E267</f>
        <v>-915.1</v>
      </c>
      <c r="G268" s="33" t="n">
        <v>4.95</v>
      </c>
      <c r="H268" s="33" t="n">
        <f aca="false">G268-G267</f>
        <v>-13.88</v>
      </c>
      <c r="I268" s="33" t="n">
        <v>67</v>
      </c>
      <c r="J268" s="33" t="n">
        <f aca="false">I268-I267</f>
        <v>-233</v>
      </c>
    </row>
    <row r="269" customFormat="false" ht="13.8" hidden="false" customHeight="false" outlineLevel="0" collapsed="false">
      <c r="A269" s="1" t="n">
        <v>268</v>
      </c>
      <c r="B269" s="32" t="n">
        <v>45194</v>
      </c>
      <c r="C269" s="33" t="n">
        <v>11971</v>
      </c>
      <c r="D269" s="33" t="n">
        <f aca="false">C269-C268</f>
        <v>4903</v>
      </c>
      <c r="E269" s="33" t="n">
        <v>553.9</v>
      </c>
      <c r="F269" s="33" t="n">
        <f aca="false">E269-E268</f>
        <v>247.5</v>
      </c>
      <c r="G269" s="33" t="n">
        <v>8.38</v>
      </c>
      <c r="H269" s="33" t="n">
        <f aca="false">G269-G268</f>
        <v>3.43</v>
      </c>
      <c r="I269" s="33" t="n">
        <v>136</v>
      </c>
      <c r="J269" s="33" t="n">
        <f aca="false">I269-I268</f>
        <v>69</v>
      </c>
    </row>
    <row r="270" customFormat="false" ht="13.8" hidden="false" customHeight="false" outlineLevel="0" collapsed="false">
      <c r="A270" s="33" t="n">
        <v>269</v>
      </c>
      <c r="B270" s="32" t="n">
        <v>45195</v>
      </c>
      <c r="C270" s="33" t="n">
        <v>6704</v>
      </c>
      <c r="D270" s="33" t="n">
        <f aca="false">C270-C269</f>
        <v>-5267</v>
      </c>
      <c r="E270" s="33" t="n">
        <v>289.7</v>
      </c>
      <c r="F270" s="33" t="n">
        <f aca="false">E270-E269</f>
        <v>-264.2</v>
      </c>
      <c r="G270" s="33" t="n">
        <v>4.69</v>
      </c>
      <c r="H270" s="33" t="n">
        <f aca="false">G270-G269</f>
        <v>-3.69</v>
      </c>
      <c r="I270" s="33" t="n">
        <v>66</v>
      </c>
      <c r="J270" s="33" t="n">
        <f aca="false">I270-I269</f>
        <v>-70</v>
      </c>
    </row>
    <row r="271" customFormat="false" ht="13.8" hidden="false" customHeight="false" outlineLevel="0" collapsed="false">
      <c r="A271" s="1" t="n">
        <v>270</v>
      </c>
      <c r="B271" s="32" t="n">
        <v>45196</v>
      </c>
      <c r="C271" s="33" t="n">
        <v>14667</v>
      </c>
      <c r="D271" s="33" t="n">
        <f aca="false">C271-C270</f>
        <v>7963</v>
      </c>
      <c r="E271" s="33" t="n">
        <v>706.4</v>
      </c>
      <c r="F271" s="33" t="n">
        <f aca="false">E271-E270</f>
        <v>416.7</v>
      </c>
      <c r="G271" s="33" t="n">
        <v>10.27</v>
      </c>
      <c r="H271" s="33" t="n">
        <f aca="false">G271-G270</f>
        <v>5.58</v>
      </c>
      <c r="I271" s="33" t="n">
        <v>91</v>
      </c>
      <c r="J271" s="33" t="n">
        <f aca="false">I271-I270</f>
        <v>25</v>
      </c>
    </row>
    <row r="272" customFormat="false" ht="13.8" hidden="false" customHeight="false" outlineLevel="0" collapsed="false">
      <c r="A272" s="33" t="n">
        <v>271</v>
      </c>
      <c r="B272" s="32" t="n">
        <v>45197</v>
      </c>
      <c r="C272" s="33" t="n">
        <v>17924</v>
      </c>
      <c r="D272" s="33" t="n">
        <f aca="false">C272-C271</f>
        <v>3257</v>
      </c>
      <c r="E272" s="33" t="n">
        <v>846.9</v>
      </c>
      <c r="F272" s="33" t="n">
        <f aca="false">E272-E271</f>
        <v>140.5</v>
      </c>
      <c r="G272" s="33" t="n">
        <v>12.55</v>
      </c>
      <c r="H272" s="33" t="n">
        <f aca="false">G272-G271</f>
        <v>2.28</v>
      </c>
      <c r="I272" s="33" t="n">
        <v>107</v>
      </c>
      <c r="J272" s="33" t="n">
        <f aca="false">I272-I271</f>
        <v>16</v>
      </c>
    </row>
    <row r="273" customFormat="false" ht="13.8" hidden="false" customHeight="false" outlineLevel="0" collapsed="false">
      <c r="A273" s="1" t="n">
        <v>272</v>
      </c>
      <c r="B273" s="32" t="n">
        <v>45198</v>
      </c>
      <c r="C273" s="33" t="n">
        <v>9072</v>
      </c>
      <c r="D273" s="33" t="n">
        <f aca="false">C273-C272</f>
        <v>-8852</v>
      </c>
      <c r="E273" s="33" t="n">
        <v>401.4</v>
      </c>
      <c r="F273" s="33" t="n">
        <f aca="false">E273-E272</f>
        <v>-445.5</v>
      </c>
      <c r="G273" s="33" t="n">
        <v>6.35</v>
      </c>
      <c r="H273" s="33" t="n">
        <f aca="false">G273-G272</f>
        <v>-6.2</v>
      </c>
      <c r="I273" s="33" t="n">
        <v>94</v>
      </c>
      <c r="J273" s="33" t="n">
        <f aca="false">I273-I272</f>
        <v>-13</v>
      </c>
    </row>
    <row r="274" customFormat="false" ht="13.8" hidden="false" customHeight="false" outlineLevel="0" collapsed="false">
      <c r="A274" s="33" t="n">
        <v>273</v>
      </c>
      <c r="B274" s="32" t="n">
        <v>45199</v>
      </c>
      <c r="C274" s="33" t="n">
        <v>32416</v>
      </c>
      <c r="D274" s="33" t="n">
        <f aca="false">C274-C273</f>
        <v>23344</v>
      </c>
      <c r="E274" s="33" t="n">
        <v>1345.8</v>
      </c>
      <c r="F274" s="33" t="n">
        <f aca="false">E274-E273</f>
        <v>944.4</v>
      </c>
      <c r="G274" s="33" t="n">
        <v>22.69</v>
      </c>
      <c r="H274" s="33" t="n">
        <f aca="false">G274-G273</f>
        <v>16.34</v>
      </c>
      <c r="I274" s="33" t="n">
        <v>242</v>
      </c>
      <c r="J274" s="33" t="n">
        <f aca="false">I274-I273</f>
        <v>148</v>
      </c>
    </row>
    <row r="275" customFormat="false" ht="13.8" hidden="false" customHeight="false" outlineLevel="0" collapsed="false">
      <c r="A275" s="1" t="n">
        <v>274</v>
      </c>
      <c r="B275" s="32" t="n">
        <v>45200</v>
      </c>
      <c r="C275" s="33" t="n">
        <v>16076</v>
      </c>
      <c r="D275" s="33" t="n">
        <f aca="false">C275-C274</f>
        <v>-16340</v>
      </c>
      <c r="E275" s="33" t="n">
        <v>689.6</v>
      </c>
      <c r="F275" s="33" t="n">
        <f aca="false">E275-E274</f>
        <v>-656.2</v>
      </c>
      <c r="G275" s="33" t="n">
        <v>11.25</v>
      </c>
      <c r="H275" s="33" t="n">
        <f aca="false">G275-G274</f>
        <v>-11.44</v>
      </c>
      <c r="I275" s="33" t="n">
        <v>148</v>
      </c>
      <c r="J275" s="33" t="n">
        <f aca="false">I275-I274</f>
        <v>-94</v>
      </c>
      <c r="L275" s="34" t="s">
        <v>2</v>
      </c>
      <c r="M275" s="34" t="s">
        <v>179</v>
      </c>
      <c r="N275" s="34" t="s">
        <v>175</v>
      </c>
      <c r="O275" s="34" t="s">
        <v>177</v>
      </c>
    </row>
    <row r="276" customFormat="false" ht="13.8" hidden="false" customHeight="false" outlineLevel="0" collapsed="false">
      <c r="A276" s="33" t="n">
        <v>275</v>
      </c>
      <c r="B276" s="32" t="n">
        <v>45201</v>
      </c>
      <c r="C276" s="33" t="n">
        <v>11664</v>
      </c>
      <c r="D276" s="33" t="n">
        <f aca="false">C276-C275</f>
        <v>-4412</v>
      </c>
      <c r="E276" s="33" t="n">
        <v>510.4</v>
      </c>
      <c r="F276" s="33" t="n">
        <f aca="false">E276-E275</f>
        <v>-179.2</v>
      </c>
      <c r="G276" s="33" t="n">
        <v>8.16</v>
      </c>
      <c r="H276" s="33" t="n">
        <f aca="false">G276-G275</f>
        <v>-3.09</v>
      </c>
      <c r="I276" s="33" t="n">
        <v>107</v>
      </c>
      <c r="J276" s="33" t="n">
        <f aca="false">I276-I275</f>
        <v>-41</v>
      </c>
      <c r="K276" s="1" t="s">
        <v>8</v>
      </c>
      <c r="L276" s="1" t="n">
        <f aca="false">AVERAGE($C$275:$C$305)</f>
        <v>14286.064516129</v>
      </c>
      <c r="M276" s="1" t="n">
        <f aca="false">AVERAGE($E$275:$E$305)</f>
        <v>620.587096774194</v>
      </c>
      <c r="N276" s="1" t="n">
        <f aca="false">AVERAGE($G$275:$G$305)</f>
        <v>9.99967741935484</v>
      </c>
      <c r="O276" s="1" t="n">
        <f aca="false">AVERAGE($I$275:$I$305)</f>
        <v>115.935483870968</v>
      </c>
    </row>
    <row r="277" customFormat="false" ht="13.8" hidden="false" customHeight="false" outlineLevel="0" collapsed="false">
      <c r="A277" s="1" t="n">
        <v>276</v>
      </c>
      <c r="B277" s="32" t="n">
        <v>45202</v>
      </c>
      <c r="C277" s="33" t="n">
        <v>19215</v>
      </c>
      <c r="D277" s="33" t="n">
        <f aca="false">C277-C276</f>
        <v>7551</v>
      </c>
      <c r="E277" s="33" t="n">
        <v>851</v>
      </c>
      <c r="F277" s="33" t="n">
        <f aca="false">E277-E276</f>
        <v>340.6</v>
      </c>
      <c r="G277" s="33" t="n">
        <v>13.45</v>
      </c>
      <c r="H277" s="33" t="n">
        <f aca="false">G277-G276</f>
        <v>5.29</v>
      </c>
      <c r="I277" s="33" t="n">
        <v>134</v>
      </c>
      <c r="J277" s="33" t="n">
        <f aca="false">I277-I276</f>
        <v>27</v>
      </c>
      <c r="K277" s="1" t="s">
        <v>10</v>
      </c>
      <c r="L277" s="1" t="n">
        <f aca="false">SQRT(VAR($C$275:$C$305)/COUNT($C$275:$C$305))</f>
        <v>1231.23264743887</v>
      </c>
      <c r="M277" s="1" t="n">
        <f aca="false">SQRT(VAR($E$275:$E$305)/COUNT($E$275:$E$305))</f>
        <v>52.6157940108905</v>
      </c>
      <c r="N277" s="1" t="n">
        <f aca="false">SQRT(VAR($G$275:$G$305)/COUNT($G$275:$G$305))</f>
        <v>0.862015578018428</v>
      </c>
      <c r="O277" s="1" t="n">
        <f aca="false">SQRT(VAR($I$275:$I$305)/COUNT($I$275:$I$305))</f>
        <v>10.0997110023458</v>
      </c>
    </row>
    <row r="278" customFormat="false" ht="13.8" hidden="false" customHeight="false" outlineLevel="0" collapsed="false">
      <c r="A278" s="33" t="n">
        <v>277</v>
      </c>
      <c r="B278" s="32" t="n">
        <v>45203</v>
      </c>
      <c r="C278" s="33" t="n">
        <v>9408</v>
      </c>
      <c r="D278" s="33" t="n">
        <f aca="false">C278-C277</f>
        <v>-9807</v>
      </c>
      <c r="E278" s="33" t="n">
        <v>411.6</v>
      </c>
      <c r="F278" s="33" t="n">
        <f aca="false">E278-E277</f>
        <v>-439.4</v>
      </c>
      <c r="G278" s="33" t="n">
        <v>6.59</v>
      </c>
      <c r="H278" s="33" t="n">
        <f aca="false">G278-G277</f>
        <v>-6.86</v>
      </c>
      <c r="I278" s="33" t="n">
        <v>69</v>
      </c>
      <c r="J278" s="33" t="n">
        <f aca="false">I278-I277</f>
        <v>-65</v>
      </c>
      <c r="K278" s="1" t="s">
        <v>14</v>
      </c>
      <c r="L278" s="1" t="e">
        <f aca="false">MODE($C$275:$C$305)</f>
        <v>#VALUE!</v>
      </c>
      <c r="M278" s="1" t="e">
        <f aca="false">MODE($E$275:$E$305)</f>
        <v>#VALUE!</v>
      </c>
      <c r="N278" s="1" t="n">
        <f aca="false">MODE($G$275:$G$305)</f>
        <v>7.36</v>
      </c>
      <c r="O278" s="1" t="n">
        <f aca="false">MODE($I$275:$I$305)</f>
        <v>88</v>
      </c>
    </row>
    <row r="279" customFormat="false" ht="13.8" hidden="false" customHeight="false" outlineLevel="0" collapsed="false">
      <c r="A279" s="1" t="n">
        <v>278</v>
      </c>
      <c r="B279" s="32" t="n">
        <v>45204</v>
      </c>
      <c r="C279" s="33" t="n">
        <v>16596</v>
      </c>
      <c r="D279" s="33" t="n">
        <f aca="false">C279-C278</f>
        <v>7188</v>
      </c>
      <c r="E279" s="33" t="n">
        <v>809.4</v>
      </c>
      <c r="F279" s="33" t="n">
        <f aca="false">E279-E278</f>
        <v>397.8</v>
      </c>
      <c r="G279" s="33" t="n">
        <v>11.62</v>
      </c>
      <c r="H279" s="33" t="n">
        <f aca="false">G279-G278</f>
        <v>5.03</v>
      </c>
      <c r="I279" s="33" t="n">
        <v>104</v>
      </c>
      <c r="J279" s="33" t="n">
        <f aca="false">I279-I278</f>
        <v>35</v>
      </c>
      <c r="K279" s="1" t="s">
        <v>12</v>
      </c>
      <c r="L279" s="1" t="n">
        <f aca="false">MEDIAN($C$275:$C$305)</f>
        <v>11664</v>
      </c>
      <c r="M279" s="1" t="n">
        <f aca="false">MEDIAN($E$275:$E$305)</f>
        <v>512.5</v>
      </c>
      <c r="N279" s="1" t="n">
        <f aca="false">MEDIAN($G$275:$G$305)</f>
        <v>8.16</v>
      </c>
      <c r="O279" s="1" t="n">
        <f aca="false">MEDIAN($I$275:$I$305)</f>
        <v>102</v>
      </c>
    </row>
    <row r="280" customFormat="false" ht="13.8" hidden="false" customHeight="false" outlineLevel="0" collapsed="false">
      <c r="A280" s="33" t="n">
        <v>279</v>
      </c>
      <c r="B280" s="32" t="n">
        <v>45205</v>
      </c>
      <c r="C280" s="33" t="n">
        <v>6205</v>
      </c>
      <c r="D280" s="33" t="n">
        <f aca="false">C280-C279</f>
        <v>-10391</v>
      </c>
      <c r="E280" s="33" t="n">
        <v>268.8</v>
      </c>
      <c r="F280" s="33" t="n">
        <f aca="false">E280-E279</f>
        <v>-540.6</v>
      </c>
      <c r="G280" s="33" t="n">
        <v>4.34</v>
      </c>
      <c r="H280" s="33" t="n">
        <f aca="false">G280-G279</f>
        <v>-7.28</v>
      </c>
      <c r="I280" s="33" t="n">
        <v>59</v>
      </c>
      <c r="J280" s="33" t="n">
        <f aca="false">I280-I279</f>
        <v>-45</v>
      </c>
      <c r="K280" s="1" t="s">
        <v>195</v>
      </c>
      <c r="L280" s="1" t="n">
        <f aca="false">QUARTILE($C$275:$C$305, 1)</f>
        <v>10694.5</v>
      </c>
      <c r="M280" s="1" t="n">
        <f aca="false">QUARTILE($E$275:$E$305, 1)</f>
        <v>456.15</v>
      </c>
      <c r="N280" s="1" t="n">
        <f aca="false">QUARTILE($G$275:$G$305, 1)</f>
        <v>7.485</v>
      </c>
      <c r="O280" s="1" t="n">
        <f aca="false">QUARTILE($I$275:$I$305, 1)</f>
        <v>81.5</v>
      </c>
    </row>
    <row r="281" customFormat="false" ht="13.8" hidden="false" customHeight="false" outlineLevel="0" collapsed="false">
      <c r="A281" s="1" t="n">
        <v>280</v>
      </c>
      <c r="B281" s="32" t="n">
        <v>45206</v>
      </c>
      <c r="C281" s="33" t="n">
        <v>13274</v>
      </c>
      <c r="D281" s="33" t="n">
        <f aca="false">C281-C280</f>
        <v>7069</v>
      </c>
      <c r="E281" s="33" t="n">
        <v>568.4</v>
      </c>
      <c r="F281" s="33" t="n">
        <f aca="false">E281-E280</f>
        <v>299.6</v>
      </c>
      <c r="G281" s="33" t="n">
        <v>9.29</v>
      </c>
      <c r="H281" s="33" t="n">
        <f aca="false">G281-G280</f>
        <v>4.95</v>
      </c>
      <c r="I281" s="33" t="n">
        <v>115</v>
      </c>
      <c r="J281" s="33" t="n">
        <f aca="false">I281-I280</f>
        <v>56</v>
      </c>
      <c r="K281" s="1" t="s">
        <v>181</v>
      </c>
      <c r="L281" s="1" t="n">
        <f aca="false">QUARTILE($C$275:$C$305, 3)</f>
        <v>16181</v>
      </c>
      <c r="M281" s="1" t="n">
        <f aca="false">QUARTILE($E$275:$E$305, 3)</f>
        <v>733.3</v>
      </c>
      <c r="N281" s="1" t="n">
        <f aca="false">QUARTILE($G$275:$G$305, 3)</f>
        <v>11.325</v>
      </c>
      <c r="O281" s="1" t="n">
        <f aca="false">QUARTILE($I$275:$I$305, 3)</f>
        <v>125.5</v>
      </c>
    </row>
    <row r="282" customFormat="false" ht="13.8" hidden="false" customHeight="false" outlineLevel="0" collapsed="false">
      <c r="A282" s="33" t="n">
        <v>281</v>
      </c>
      <c r="B282" s="32" t="n">
        <v>45207</v>
      </c>
      <c r="C282" s="33" t="n">
        <v>12786</v>
      </c>
      <c r="D282" s="33" t="n">
        <f aca="false">C282-C281</f>
        <v>-488</v>
      </c>
      <c r="E282" s="33" t="n">
        <v>546.9</v>
      </c>
      <c r="F282" s="33" t="n">
        <f aca="false">E282-E281</f>
        <v>-21.5</v>
      </c>
      <c r="G282" s="33" t="n">
        <v>8.95</v>
      </c>
      <c r="H282" s="33" t="n">
        <f aca="false">G282-G281</f>
        <v>-0.34</v>
      </c>
      <c r="I282" s="33" t="n">
        <v>98</v>
      </c>
      <c r="J282" s="33" t="n">
        <f aca="false">I282-I281</f>
        <v>-17</v>
      </c>
      <c r="K282" s="1" t="s">
        <v>182</v>
      </c>
      <c r="L282" s="1" t="n">
        <f aca="false">VAR($C$275:$C$305)</f>
        <v>46993948.7956989</v>
      </c>
      <c r="M282" s="1" t="n">
        <f aca="false">VAR($E$275:$E$305)</f>
        <v>85821.0751612903</v>
      </c>
      <c r="N282" s="1" t="n">
        <f aca="false">VAR($G$275:$G$305)</f>
        <v>23.0351965591398</v>
      </c>
      <c r="O282" s="1" t="n">
        <f aca="false">VAR($I$275:$I$305)</f>
        <v>3162.12903225806</v>
      </c>
    </row>
    <row r="283" customFormat="false" ht="13.8" hidden="false" customHeight="false" outlineLevel="0" collapsed="false">
      <c r="A283" s="1" t="n">
        <v>282</v>
      </c>
      <c r="B283" s="32" t="n">
        <v>45208</v>
      </c>
      <c r="C283" s="33" t="n">
        <v>14708</v>
      </c>
      <c r="D283" s="33" t="n">
        <f aca="false">C283-C282</f>
        <v>1922</v>
      </c>
      <c r="E283" s="33" t="n">
        <v>640</v>
      </c>
      <c r="F283" s="33" t="n">
        <f aca="false">E283-E282</f>
        <v>93.1</v>
      </c>
      <c r="G283" s="33" t="n">
        <v>10.3</v>
      </c>
      <c r="H283" s="33" t="n">
        <f aca="false">G283-G282</f>
        <v>1.35</v>
      </c>
      <c r="I283" s="33" t="n">
        <v>113</v>
      </c>
      <c r="J283" s="33" t="n">
        <f aca="false">I283-I282</f>
        <v>15</v>
      </c>
      <c r="K283" s="1" t="s">
        <v>16</v>
      </c>
      <c r="L283" s="1" t="n">
        <f aca="false">STDEV($C$275:$C$305)</f>
        <v>6855.21325676298</v>
      </c>
      <c r="M283" s="1" t="n">
        <f aca="false">STDEV($E$275:$E$305)</f>
        <v>292.952342815841</v>
      </c>
      <c r="N283" s="1" t="n">
        <f aca="false">STDEV($G$275:$G$305)</f>
        <v>4.79949961549533</v>
      </c>
      <c r="O283" s="1" t="n">
        <f aca="false">STDEV($I$275:$I$305)</f>
        <v>56.2328109937434</v>
      </c>
    </row>
    <row r="284" customFormat="false" ht="13.8" hidden="false" customHeight="false" outlineLevel="0" collapsed="false">
      <c r="A284" s="33" t="n">
        <v>283</v>
      </c>
      <c r="B284" s="32" t="n">
        <v>45209</v>
      </c>
      <c r="C284" s="33" t="n">
        <v>9439</v>
      </c>
      <c r="D284" s="33" t="n">
        <f aca="false">C284-C283</f>
        <v>-5269</v>
      </c>
      <c r="E284" s="33" t="n">
        <v>394.8</v>
      </c>
      <c r="F284" s="33" t="n">
        <f aca="false">E284-E283</f>
        <v>-245.2</v>
      </c>
      <c r="G284" s="33" t="n">
        <v>6.61</v>
      </c>
      <c r="H284" s="33" t="n">
        <f aca="false">G284-G283</f>
        <v>-3.69</v>
      </c>
      <c r="I284" s="33" t="n">
        <v>73</v>
      </c>
      <c r="J284" s="33" t="n">
        <f aca="false">I284-I283</f>
        <v>-40</v>
      </c>
      <c r="K284" s="1" t="s">
        <v>20</v>
      </c>
      <c r="L284" s="1" t="n">
        <f aca="false">KURT($C$275:$C$305)</f>
        <v>2.03961032599408</v>
      </c>
      <c r="M284" s="1" t="n">
        <f aca="false">KURT($E$275:$E$305)</f>
        <v>1.73736561085423</v>
      </c>
      <c r="N284" s="1" t="n">
        <f aca="false">KURT($G$275:$G$305)</f>
        <v>2.0396396265894</v>
      </c>
      <c r="O284" s="1" t="n">
        <f aca="false">KURT($I$275:$I$305)</f>
        <v>2.37307246465092</v>
      </c>
    </row>
    <row r="285" customFormat="false" ht="13.8" hidden="false" customHeight="false" outlineLevel="0" collapsed="false">
      <c r="A285" s="1" t="n">
        <v>284</v>
      </c>
      <c r="B285" s="32" t="n">
        <v>45210</v>
      </c>
      <c r="C285" s="33" t="n">
        <v>11397</v>
      </c>
      <c r="D285" s="33" t="n">
        <f aca="false">C285-C284</f>
        <v>1958</v>
      </c>
      <c r="E285" s="33" t="n">
        <v>487.5</v>
      </c>
      <c r="F285" s="33" t="n">
        <f aca="false">E285-E284</f>
        <v>92.7</v>
      </c>
      <c r="G285" s="33" t="n">
        <v>7.98</v>
      </c>
      <c r="H285" s="33" t="n">
        <f aca="false">G285-G284</f>
        <v>1.37</v>
      </c>
      <c r="I285" s="33" t="n">
        <v>88</v>
      </c>
      <c r="J285" s="33" t="n">
        <f aca="false">I285-I284</f>
        <v>15</v>
      </c>
      <c r="K285" s="1" t="s">
        <v>22</v>
      </c>
      <c r="L285" s="1" t="n">
        <f aca="false">SKEW($C$275:$C$305)</f>
        <v>1.45370711111934</v>
      </c>
      <c r="M285" s="1" t="n">
        <f aca="false">SKEW($E$275:$E$305)</f>
        <v>1.34072093818036</v>
      </c>
      <c r="N285" s="1" t="n">
        <f aca="false">SKEW($G$275:$G$305)</f>
        <v>1.45358190176803</v>
      </c>
      <c r="O285" s="1" t="n">
        <f aca="false">SKEW($I$275:$I$305)</f>
        <v>1.62525888777368</v>
      </c>
    </row>
    <row r="286" customFormat="false" ht="13.8" hidden="false" customHeight="false" outlineLevel="0" collapsed="false">
      <c r="A286" s="33" t="n">
        <v>285</v>
      </c>
      <c r="B286" s="32" t="n">
        <v>45211</v>
      </c>
      <c r="C286" s="33" t="n">
        <v>10513</v>
      </c>
      <c r="D286" s="33" t="n">
        <f aca="false">C286-C285</f>
        <v>-884</v>
      </c>
      <c r="E286" s="33" t="n">
        <v>442.9</v>
      </c>
      <c r="F286" s="33" t="n">
        <f aca="false">E286-E285</f>
        <v>-44.6</v>
      </c>
      <c r="G286" s="33" t="n">
        <v>7.36</v>
      </c>
      <c r="H286" s="33" t="n">
        <f aca="false">G286-G285</f>
        <v>-0.62</v>
      </c>
      <c r="I286" s="33" t="n">
        <v>90</v>
      </c>
      <c r="J286" s="33" t="n">
        <f aca="false">I286-I285</f>
        <v>2</v>
      </c>
      <c r="K286" s="1" t="s">
        <v>24</v>
      </c>
      <c r="L286" s="1" t="n">
        <f aca="false">MAX($C$275:$C$305)-MIN($C$275:$C$305)</f>
        <v>28789</v>
      </c>
      <c r="M286" s="1" t="n">
        <f aca="false">MAX($E$275:$E$305)-MIN($E$275:$E$305)</f>
        <v>1222.7</v>
      </c>
      <c r="N286" s="1" t="n">
        <f aca="false">MAX($G$275:$G$305)-MIN($G$275:$G$305)</f>
        <v>20.16</v>
      </c>
      <c r="O286" s="1" t="n">
        <f aca="false">MAX($I$275:$I$305)-MIN($I$275:$I$305)</f>
        <v>235</v>
      </c>
    </row>
    <row r="287" customFormat="false" ht="13.8" hidden="false" customHeight="false" outlineLevel="0" collapsed="false">
      <c r="A287" s="1" t="n">
        <v>286</v>
      </c>
      <c r="B287" s="32" t="n">
        <v>45212</v>
      </c>
      <c r="C287" s="33" t="n">
        <v>6215</v>
      </c>
      <c r="D287" s="33" t="n">
        <f aca="false">C287-C286</f>
        <v>-4298</v>
      </c>
      <c r="E287" s="33" t="n">
        <v>269.2</v>
      </c>
      <c r="F287" s="33" t="n">
        <f aca="false">E287-E286</f>
        <v>-173.7</v>
      </c>
      <c r="G287" s="33" t="n">
        <v>4.35</v>
      </c>
      <c r="H287" s="33" t="n">
        <f aca="false">G287-G286</f>
        <v>-3.01</v>
      </c>
      <c r="I287" s="33" t="n">
        <v>61</v>
      </c>
      <c r="J287" s="33" t="n">
        <f aca="false">I287-I286</f>
        <v>-29</v>
      </c>
      <c r="K287" s="1" t="s">
        <v>26</v>
      </c>
      <c r="L287" s="1" t="n">
        <f aca="false">MIN($C$275:$C$305)</f>
        <v>5607</v>
      </c>
      <c r="M287" s="1" t="n">
        <f aca="false">MIN($E$275:$E$305)</f>
        <v>242.2</v>
      </c>
      <c r="N287" s="1" t="n">
        <f aca="false">MIN($G$275:$G$305)</f>
        <v>3.92</v>
      </c>
      <c r="O287" s="1" t="n">
        <f aca="false">MIN($I$275:$I$305)</f>
        <v>54</v>
      </c>
    </row>
    <row r="288" customFormat="false" ht="13.8" hidden="false" customHeight="false" outlineLevel="0" collapsed="false">
      <c r="A288" s="33" t="n">
        <v>287</v>
      </c>
      <c r="B288" s="32" t="n">
        <v>45213</v>
      </c>
      <c r="C288" s="33" t="n">
        <v>34396</v>
      </c>
      <c r="D288" s="33" t="n">
        <f aca="false">C288-C287</f>
        <v>28181</v>
      </c>
      <c r="E288" s="33" t="n">
        <v>1464.9</v>
      </c>
      <c r="F288" s="33" t="n">
        <f aca="false">E288-E287</f>
        <v>1195.7</v>
      </c>
      <c r="G288" s="33" t="n">
        <v>24.08</v>
      </c>
      <c r="H288" s="33" t="n">
        <f aca="false">G288-G287</f>
        <v>19.73</v>
      </c>
      <c r="I288" s="33" t="n">
        <v>289</v>
      </c>
      <c r="J288" s="33" t="n">
        <f aca="false">I288-I287</f>
        <v>228</v>
      </c>
      <c r="K288" s="1" t="s">
        <v>28</v>
      </c>
      <c r="L288" s="1" t="n">
        <f aca="false">MAX($C$275:$C$305)</f>
        <v>34396</v>
      </c>
      <c r="M288" s="1" t="n">
        <f aca="false">MAX($E$275:$E$305)</f>
        <v>1464.9</v>
      </c>
      <c r="N288" s="1" t="n">
        <f aca="false">MAX($G$275:$G$305)</f>
        <v>24.08</v>
      </c>
      <c r="O288" s="1" t="n">
        <f aca="false">MAX($I$275:$I$305)</f>
        <v>289</v>
      </c>
    </row>
    <row r="289" customFormat="false" ht="13.8" hidden="false" customHeight="false" outlineLevel="0" collapsed="false">
      <c r="A289" s="1" t="n">
        <v>288</v>
      </c>
      <c r="B289" s="32" t="n">
        <v>45214</v>
      </c>
      <c r="C289" s="33" t="n">
        <v>23508</v>
      </c>
      <c r="D289" s="33" t="n">
        <f aca="false">C289-C288</f>
        <v>-10888</v>
      </c>
      <c r="E289" s="33" t="n">
        <v>1013.5</v>
      </c>
      <c r="F289" s="33" t="n">
        <f aca="false">E289-E288</f>
        <v>-451.4</v>
      </c>
      <c r="G289" s="33" t="n">
        <v>16.46</v>
      </c>
      <c r="H289" s="33" t="n">
        <f aca="false">G289-G288</f>
        <v>-7.62</v>
      </c>
      <c r="I289" s="33" t="n">
        <v>215</v>
      </c>
      <c r="J289" s="33" t="n">
        <f aca="false">I289-I288</f>
        <v>-74</v>
      </c>
      <c r="K289" s="1" t="s">
        <v>30</v>
      </c>
      <c r="L289" s="1" t="n">
        <f aca="false">SUM($C$275:$C$305)</f>
        <v>442868</v>
      </c>
      <c r="M289" s="1" t="n">
        <f aca="false">SUM($E$275:$E$305)</f>
        <v>19238.2</v>
      </c>
      <c r="N289" s="1" t="n">
        <f aca="false">SUM($G$275:$G$305)</f>
        <v>309.99</v>
      </c>
      <c r="O289" s="1" t="n">
        <f aca="false">SUM($I$275:$I$305)</f>
        <v>3594</v>
      </c>
    </row>
    <row r="290" customFormat="false" ht="13.8" hidden="false" customHeight="false" outlineLevel="0" collapsed="false">
      <c r="A290" s="33" t="n">
        <v>289</v>
      </c>
      <c r="B290" s="32" t="n">
        <v>45215</v>
      </c>
      <c r="C290" s="33" t="n">
        <v>11692</v>
      </c>
      <c r="D290" s="33" t="n">
        <f aca="false">C290-C289</f>
        <v>-11816</v>
      </c>
      <c r="E290" s="33" t="n">
        <v>517.4</v>
      </c>
      <c r="F290" s="33" t="n">
        <f aca="false">E290-E289</f>
        <v>-496.1</v>
      </c>
      <c r="G290" s="33" t="n">
        <v>8.18</v>
      </c>
      <c r="H290" s="33" t="n">
        <f aca="false">G290-G289</f>
        <v>-8.28</v>
      </c>
      <c r="I290" s="33" t="n">
        <v>102</v>
      </c>
      <c r="J290" s="33" t="n">
        <f aca="false">I290-I289</f>
        <v>-113</v>
      </c>
      <c r="K290" s="1" t="s">
        <v>32</v>
      </c>
      <c r="L290" s="1" t="n">
        <f aca="false">COUNT($C$275:$C$305)</f>
        <v>31</v>
      </c>
      <c r="M290" s="1" t="n">
        <f aca="false">COUNT($E$275:$E$305)</f>
        <v>31</v>
      </c>
      <c r="N290" s="1" t="n">
        <f aca="false">COUNT($G$275:$G$305)</f>
        <v>31</v>
      </c>
      <c r="O290" s="1" t="n">
        <f aca="false">COUNT($I$275:$I$305)</f>
        <v>31</v>
      </c>
    </row>
    <row r="291" customFormat="false" ht="13.8" hidden="false" customHeight="false" outlineLevel="0" collapsed="false">
      <c r="A291" s="1" t="n">
        <v>290</v>
      </c>
      <c r="B291" s="32" t="n">
        <v>45216</v>
      </c>
      <c r="C291" s="33" t="n">
        <v>16286</v>
      </c>
      <c r="D291" s="33" t="n">
        <f aca="false">C291-C290</f>
        <v>4594</v>
      </c>
      <c r="E291" s="33" t="n">
        <v>733.5</v>
      </c>
      <c r="F291" s="33" t="n">
        <f aca="false">E291-E290</f>
        <v>216.1</v>
      </c>
      <c r="G291" s="33" t="n">
        <v>11.4</v>
      </c>
      <c r="H291" s="33" t="n">
        <f aca="false">G291-G290</f>
        <v>3.22</v>
      </c>
      <c r="I291" s="33" t="n">
        <v>115</v>
      </c>
      <c r="J291" s="33" t="n">
        <f aca="false">I291-I290</f>
        <v>13</v>
      </c>
    </row>
    <row r="292" customFormat="false" ht="13.8" hidden="false" customHeight="false" outlineLevel="0" collapsed="false">
      <c r="A292" s="33" t="n">
        <v>291</v>
      </c>
      <c r="B292" s="32" t="n">
        <v>45217</v>
      </c>
      <c r="C292" s="33" t="n">
        <v>11545</v>
      </c>
      <c r="D292" s="33" t="n">
        <f aca="false">C292-C291</f>
        <v>-4741</v>
      </c>
      <c r="E292" s="33" t="n">
        <v>512.5</v>
      </c>
      <c r="F292" s="33" t="n">
        <f aca="false">E292-E291</f>
        <v>-221</v>
      </c>
      <c r="G292" s="33" t="n">
        <v>8.08</v>
      </c>
      <c r="H292" s="33" t="n">
        <f aca="false">G292-G291</f>
        <v>-3.32</v>
      </c>
      <c r="I292" s="33" t="n">
        <v>88</v>
      </c>
      <c r="J292" s="33" t="n">
        <f aca="false">I292-I291</f>
        <v>-27</v>
      </c>
    </row>
    <row r="293" customFormat="false" ht="13.8" hidden="false" customHeight="false" outlineLevel="0" collapsed="false">
      <c r="A293" s="1" t="n">
        <v>292</v>
      </c>
      <c r="B293" s="32" t="n">
        <v>45218</v>
      </c>
      <c r="C293" s="33" t="n">
        <v>10511</v>
      </c>
      <c r="D293" s="33" t="n">
        <f aca="false">C293-C292</f>
        <v>-1034</v>
      </c>
      <c r="E293" s="33" t="n">
        <v>448.5</v>
      </c>
      <c r="F293" s="33" t="n">
        <f aca="false">E293-E292</f>
        <v>-64</v>
      </c>
      <c r="G293" s="33" t="n">
        <v>7.36</v>
      </c>
      <c r="H293" s="33" t="n">
        <f aca="false">G293-G292</f>
        <v>-0.72</v>
      </c>
      <c r="I293" s="33" t="n">
        <v>93</v>
      </c>
      <c r="J293" s="33" t="n">
        <f aca="false">I293-I292</f>
        <v>5</v>
      </c>
    </row>
    <row r="294" customFormat="false" ht="13.8" hidden="false" customHeight="false" outlineLevel="0" collapsed="false">
      <c r="A294" s="33" t="n">
        <v>293</v>
      </c>
      <c r="B294" s="32" t="n">
        <v>45219</v>
      </c>
      <c r="C294" s="33" t="n">
        <v>10876</v>
      </c>
      <c r="D294" s="33" t="n">
        <f aca="false">C294-C293</f>
        <v>365</v>
      </c>
      <c r="E294" s="33" t="n">
        <v>472.6</v>
      </c>
      <c r="F294" s="33" t="n">
        <f aca="false">E294-E293</f>
        <v>24.1</v>
      </c>
      <c r="G294" s="33" t="n">
        <v>7.61</v>
      </c>
      <c r="H294" s="33" t="n">
        <f aca="false">G294-G293</f>
        <v>0.25</v>
      </c>
      <c r="I294" s="33" t="n">
        <v>76</v>
      </c>
      <c r="J294" s="33" t="n">
        <f aca="false">I294-I293</f>
        <v>-17</v>
      </c>
    </row>
    <row r="295" customFormat="false" ht="13.8" hidden="false" customHeight="false" outlineLevel="0" collapsed="false">
      <c r="A295" s="1" t="n">
        <v>294</v>
      </c>
      <c r="B295" s="32" t="n">
        <v>45220</v>
      </c>
      <c r="C295" s="33" t="n">
        <v>30999</v>
      </c>
      <c r="D295" s="33" t="n">
        <f aca="false">C295-C294</f>
        <v>20123</v>
      </c>
      <c r="E295" s="33" t="n">
        <v>1332.6</v>
      </c>
      <c r="F295" s="33" t="n">
        <f aca="false">E295-E294</f>
        <v>860</v>
      </c>
      <c r="G295" s="33" t="n">
        <v>21.7</v>
      </c>
      <c r="H295" s="33" t="n">
        <f aca="false">G295-G294</f>
        <v>14.09</v>
      </c>
      <c r="I295" s="33" t="n">
        <v>245</v>
      </c>
      <c r="J295" s="33" t="n">
        <f aca="false">I295-I294</f>
        <v>169</v>
      </c>
    </row>
    <row r="296" customFormat="false" ht="13.8" hidden="false" customHeight="false" outlineLevel="0" collapsed="false">
      <c r="A296" s="33" t="n">
        <v>295</v>
      </c>
      <c r="B296" s="32" t="n">
        <v>45221</v>
      </c>
      <c r="C296" s="33" t="n">
        <v>26334</v>
      </c>
      <c r="D296" s="33" t="n">
        <f aca="false">C296-C295</f>
        <v>-4665</v>
      </c>
      <c r="E296" s="33" t="n">
        <v>1091.6</v>
      </c>
      <c r="F296" s="33" t="n">
        <f aca="false">E296-E295</f>
        <v>-241</v>
      </c>
      <c r="G296" s="33" t="n">
        <v>18.43</v>
      </c>
      <c r="H296" s="33" t="n">
        <f aca="false">G296-G295</f>
        <v>-3.27</v>
      </c>
      <c r="I296" s="33" t="n">
        <v>197</v>
      </c>
      <c r="J296" s="33" t="n">
        <f aca="false">I296-I295</f>
        <v>-48</v>
      </c>
    </row>
    <row r="297" customFormat="false" ht="13.8" hidden="false" customHeight="false" outlineLevel="0" collapsed="false">
      <c r="A297" s="1" t="n">
        <v>296</v>
      </c>
      <c r="B297" s="32" t="n">
        <v>45222</v>
      </c>
      <c r="C297" s="33" t="n">
        <v>15045</v>
      </c>
      <c r="D297" s="33" t="n">
        <f aca="false">C297-C296</f>
        <v>-11289</v>
      </c>
      <c r="E297" s="33" t="n">
        <v>643.8</v>
      </c>
      <c r="F297" s="33" t="n">
        <f aca="false">E297-E296</f>
        <v>-447.8</v>
      </c>
      <c r="G297" s="33" t="n">
        <v>10.53</v>
      </c>
      <c r="H297" s="33" t="n">
        <f aca="false">G297-G296</f>
        <v>-7.9</v>
      </c>
      <c r="I297" s="33" t="n">
        <v>134</v>
      </c>
      <c r="J297" s="33" t="n">
        <f aca="false">I297-I296</f>
        <v>-63</v>
      </c>
    </row>
    <row r="298" customFormat="false" ht="13.8" hidden="false" customHeight="false" outlineLevel="0" collapsed="false">
      <c r="A298" s="33" t="n">
        <v>297</v>
      </c>
      <c r="B298" s="32" t="n">
        <v>45223</v>
      </c>
      <c r="C298" s="33" t="n">
        <v>10889</v>
      </c>
      <c r="D298" s="33" t="n">
        <f aca="false">C298-C297</f>
        <v>-4156</v>
      </c>
      <c r="E298" s="33" t="n">
        <v>505.7</v>
      </c>
      <c r="F298" s="33" t="n">
        <f aca="false">E298-E297</f>
        <v>-138.1</v>
      </c>
      <c r="G298" s="33" t="n">
        <v>7.62</v>
      </c>
      <c r="H298" s="33" t="n">
        <f aca="false">G298-G297</f>
        <v>-2.91</v>
      </c>
      <c r="I298" s="33" t="n">
        <v>76</v>
      </c>
      <c r="J298" s="33" t="n">
        <f aca="false">I298-I297</f>
        <v>-58</v>
      </c>
    </row>
    <row r="299" customFormat="false" ht="13.8" hidden="false" customHeight="false" outlineLevel="0" collapsed="false">
      <c r="A299" s="1" t="n">
        <v>298</v>
      </c>
      <c r="B299" s="32" t="n">
        <v>45224</v>
      </c>
      <c r="C299" s="33" t="n">
        <v>15962</v>
      </c>
      <c r="D299" s="33" t="n">
        <f aca="false">C299-C298</f>
        <v>5073</v>
      </c>
      <c r="E299" s="33" t="n">
        <v>733.1</v>
      </c>
      <c r="F299" s="33" t="n">
        <f aca="false">E299-E298</f>
        <v>227.4</v>
      </c>
      <c r="G299" s="33" t="n">
        <v>11.17</v>
      </c>
      <c r="H299" s="33" t="n">
        <f aca="false">G299-G298</f>
        <v>3.55</v>
      </c>
      <c r="I299" s="33" t="n">
        <v>117</v>
      </c>
      <c r="J299" s="33" t="n">
        <f aca="false">I299-I298</f>
        <v>41</v>
      </c>
    </row>
    <row r="300" customFormat="false" ht="13.8" hidden="false" customHeight="false" outlineLevel="0" collapsed="false">
      <c r="A300" s="33" t="n">
        <v>299</v>
      </c>
      <c r="B300" s="32" t="n">
        <v>45225</v>
      </c>
      <c r="C300" s="33" t="n">
        <v>5607</v>
      </c>
      <c r="D300" s="33" t="n">
        <f aca="false">C300-C299</f>
        <v>-10355</v>
      </c>
      <c r="E300" s="33" t="n">
        <v>242.2</v>
      </c>
      <c r="F300" s="33" t="n">
        <f aca="false">E300-E299</f>
        <v>-490.9</v>
      </c>
      <c r="G300" s="33" t="n">
        <v>3.92</v>
      </c>
      <c r="H300" s="33" t="n">
        <f aca="false">G300-G299</f>
        <v>-7.25</v>
      </c>
      <c r="I300" s="33" t="n">
        <v>54</v>
      </c>
      <c r="J300" s="33" t="n">
        <f aca="false">I300-I299</f>
        <v>-63</v>
      </c>
    </row>
    <row r="301" customFormat="false" ht="13.8" hidden="false" customHeight="false" outlineLevel="0" collapsed="false">
      <c r="A301" s="1" t="n">
        <v>300</v>
      </c>
      <c r="B301" s="32" t="n">
        <v>45226</v>
      </c>
      <c r="C301" s="33" t="n">
        <v>7488</v>
      </c>
      <c r="D301" s="33" t="n">
        <f aca="false">C301-C300</f>
        <v>1881</v>
      </c>
      <c r="E301" s="33" t="n">
        <v>315.7</v>
      </c>
      <c r="F301" s="33" t="n">
        <f aca="false">E301-E300</f>
        <v>73.5</v>
      </c>
      <c r="G301" s="33" t="n">
        <v>5.24</v>
      </c>
      <c r="H301" s="33" t="n">
        <f aca="false">G301-G300</f>
        <v>1.32</v>
      </c>
      <c r="I301" s="33" t="n">
        <v>67</v>
      </c>
      <c r="J301" s="33" t="n">
        <f aca="false">I301-I300</f>
        <v>13</v>
      </c>
    </row>
    <row r="302" customFormat="false" ht="13.8" hidden="false" customHeight="false" outlineLevel="0" collapsed="false">
      <c r="A302" s="33" t="n">
        <v>301</v>
      </c>
      <c r="B302" s="32" t="n">
        <v>45227</v>
      </c>
      <c r="C302" s="33" t="n">
        <v>20782</v>
      </c>
      <c r="D302" s="33" t="n">
        <f aca="false">C302-C301</f>
        <v>13294</v>
      </c>
      <c r="E302" s="33" t="n">
        <v>875.3</v>
      </c>
      <c r="F302" s="33" t="n">
        <f aca="false">E302-E301</f>
        <v>559.6</v>
      </c>
      <c r="G302" s="33" t="n">
        <v>14.55</v>
      </c>
      <c r="H302" s="33" t="n">
        <f aca="false">G302-G301</f>
        <v>9.31</v>
      </c>
      <c r="I302" s="33" t="n">
        <v>188</v>
      </c>
      <c r="J302" s="33" t="n">
        <f aca="false">I302-I301</f>
        <v>121</v>
      </c>
    </row>
    <row r="303" customFormat="false" ht="13.8" hidden="false" customHeight="false" outlineLevel="0" collapsed="false">
      <c r="A303" s="1" t="n">
        <v>302</v>
      </c>
      <c r="B303" s="32" t="n">
        <v>45228</v>
      </c>
      <c r="C303" s="33" t="n">
        <v>11044</v>
      </c>
      <c r="D303" s="33" t="n">
        <f aca="false">C303-C302</f>
        <v>-9738</v>
      </c>
      <c r="E303" s="33" t="n">
        <v>463.8</v>
      </c>
      <c r="F303" s="33" t="n">
        <f aca="false">E303-E302</f>
        <v>-411.5</v>
      </c>
      <c r="G303" s="33" t="n">
        <v>7.73</v>
      </c>
      <c r="H303" s="33" t="n">
        <f aca="false">G303-G302</f>
        <v>-6.82</v>
      </c>
      <c r="I303" s="33" t="n">
        <v>88</v>
      </c>
      <c r="J303" s="33" t="n">
        <f aca="false">I303-I302</f>
        <v>-100</v>
      </c>
    </row>
    <row r="304" customFormat="false" ht="13.8" hidden="false" customHeight="false" outlineLevel="0" collapsed="false">
      <c r="A304" s="33" t="n">
        <v>303</v>
      </c>
      <c r="B304" s="32" t="n">
        <v>45229</v>
      </c>
      <c r="C304" s="33" t="n">
        <v>10962</v>
      </c>
      <c r="D304" s="33" t="n">
        <f aca="false">C304-C303</f>
        <v>-82</v>
      </c>
      <c r="E304" s="33" t="n">
        <v>470.5</v>
      </c>
      <c r="F304" s="33" t="n">
        <f aca="false">E304-E303</f>
        <v>6.69999999999999</v>
      </c>
      <c r="G304" s="33" t="n">
        <v>7.67</v>
      </c>
      <c r="H304" s="33" t="n">
        <f aca="false">G304-G303</f>
        <v>-0.0600000000000005</v>
      </c>
      <c r="I304" s="33" t="n">
        <v>104</v>
      </c>
      <c r="J304" s="33" t="n">
        <f aca="false">I304-I303</f>
        <v>16</v>
      </c>
    </row>
    <row r="305" customFormat="false" ht="13.8" hidden="false" customHeight="false" outlineLevel="0" collapsed="false">
      <c r="A305" s="1" t="n">
        <v>304</v>
      </c>
      <c r="B305" s="32" t="n">
        <v>45230</v>
      </c>
      <c r="C305" s="33" t="n">
        <v>11446</v>
      </c>
      <c r="D305" s="33" t="n">
        <f aca="false">C305-C304</f>
        <v>484</v>
      </c>
      <c r="E305" s="33" t="n">
        <v>510.5</v>
      </c>
      <c r="F305" s="33" t="n">
        <f aca="false">E305-E304</f>
        <v>40</v>
      </c>
      <c r="G305" s="33" t="n">
        <v>8.01</v>
      </c>
      <c r="H305" s="33" t="n">
        <f aca="false">G305-G304</f>
        <v>0.34</v>
      </c>
      <c r="I305" s="33" t="n">
        <v>87</v>
      </c>
      <c r="J305" s="33" t="n">
        <f aca="false">I305-I304</f>
        <v>-17</v>
      </c>
    </row>
    <row r="306" customFormat="false" ht="13.8" hidden="false" customHeight="false" outlineLevel="0" collapsed="false">
      <c r="A306" s="33" t="n">
        <v>305</v>
      </c>
      <c r="B306" s="32" t="n">
        <v>45231</v>
      </c>
      <c r="C306" s="33" t="n">
        <v>14153</v>
      </c>
      <c r="D306" s="33" t="n">
        <f aca="false">C306-C305</f>
        <v>2707</v>
      </c>
      <c r="E306" s="33" t="n">
        <v>598.2</v>
      </c>
      <c r="F306" s="33" t="n">
        <f aca="false">E306-E305</f>
        <v>87.7000000000001</v>
      </c>
      <c r="G306" s="33" t="n">
        <v>9.91</v>
      </c>
      <c r="H306" s="33" t="n">
        <f aca="false">G306-G305</f>
        <v>1.9</v>
      </c>
      <c r="I306" s="33" t="n">
        <v>113</v>
      </c>
      <c r="J306" s="33" t="n">
        <f aca="false">I306-I305</f>
        <v>26</v>
      </c>
      <c r="L306" s="34" t="s">
        <v>2</v>
      </c>
      <c r="M306" s="34" t="s">
        <v>179</v>
      </c>
      <c r="N306" s="34" t="s">
        <v>175</v>
      </c>
      <c r="O306" s="34" t="s">
        <v>177</v>
      </c>
    </row>
    <row r="307" customFormat="false" ht="13.8" hidden="false" customHeight="false" outlineLevel="0" collapsed="false">
      <c r="A307" s="1" t="n">
        <v>306</v>
      </c>
      <c r="B307" s="32" t="n">
        <v>45232</v>
      </c>
      <c r="C307" s="33" t="n">
        <v>12295</v>
      </c>
      <c r="D307" s="33" t="n">
        <f aca="false">C307-C306</f>
        <v>-1858</v>
      </c>
      <c r="E307" s="33" t="n">
        <v>518</v>
      </c>
      <c r="F307" s="33" t="n">
        <f aca="false">E307-E306</f>
        <v>-80.2000000000001</v>
      </c>
      <c r="G307" s="33" t="n">
        <v>8.61</v>
      </c>
      <c r="H307" s="33" t="n">
        <f aca="false">G307-G306</f>
        <v>-1.3</v>
      </c>
      <c r="I307" s="33" t="n">
        <v>103</v>
      </c>
      <c r="J307" s="33" t="n">
        <f aca="false">I307-I306</f>
        <v>-10</v>
      </c>
      <c r="K307" s="1" t="s">
        <v>8</v>
      </c>
      <c r="L307" s="1" t="n">
        <f aca="false">AVERAGE($C$306:$C$335)</f>
        <v>9309.36666666667</v>
      </c>
      <c r="M307" s="1" t="n">
        <f aca="false">AVERAGE($E$306:$E$335)</f>
        <v>412.63</v>
      </c>
      <c r="N307" s="1" t="n">
        <f aca="false">AVERAGE($G$306:$G$335)</f>
        <v>6.51666666666667</v>
      </c>
      <c r="O307" s="1" t="n">
        <f aca="false">AVERAGE($I$306:$I$335)</f>
        <v>83.9333333333333</v>
      </c>
    </row>
    <row r="308" customFormat="false" ht="13.8" hidden="false" customHeight="false" outlineLevel="0" collapsed="false">
      <c r="A308" s="33" t="n">
        <v>307</v>
      </c>
      <c r="B308" s="32" t="n">
        <v>45233</v>
      </c>
      <c r="C308" s="33" t="n">
        <v>6057</v>
      </c>
      <c r="D308" s="33" t="n">
        <f aca="false">C308-C307</f>
        <v>-6238</v>
      </c>
      <c r="E308" s="33" t="n">
        <v>262.9</v>
      </c>
      <c r="F308" s="33" t="n">
        <f aca="false">E308-E307</f>
        <v>-255.1</v>
      </c>
      <c r="G308" s="33" t="n">
        <v>4.24</v>
      </c>
      <c r="H308" s="33" t="n">
        <f aca="false">G308-G307</f>
        <v>-4.37</v>
      </c>
      <c r="I308" s="33" t="n">
        <v>56</v>
      </c>
      <c r="J308" s="33" t="n">
        <f aca="false">I308-I307</f>
        <v>-47</v>
      </c>
      <c r="K308" s="1" t="s">
        <v>10</v>
      </c>
      <c r="L308" s="1" t="n">
        <f aca="false">SQRT(VAR($C$306:$C$335)/COUNT($C$306:$C$335))</f>
        <v>757.472482688745</v>
      </c>
      <c r="M308" s="1" t="n">
        <f aca="false">SQRT(VAR($E$306:$E$335)/COUNT($E$306:$E$335))</f>
        <v>32.9925805487289</v>
      </c>
      <c r="N308" s="1" t="n">
        <f aca="false">SQRT(VAR($G$306:$G$335)/COUNT($G$306:$G$335))</f>
        <v>0.53020194229827</v>
      </c>
      <c r="O308" s="1" t="n">
        <f aca="false">SQRT(VAR($I$306:$I$335)/COUNT($I$306:$I$335))</f>
        <v>6.10670129990681</v>
      </c>
    </row>
    <row r="309" customFormat="false" ht="13.8" hidden="false" customHeight="false" outlineLevel="0" collapsed="false">
      <c r="A309" s="1" t="n">
        <v>308</v>
      </c>
      <c r="B309" s="32" t="n">
        <v>45234</v>
      </c>
      <c r="C309" s="33" t="n">
        <v>12515</v>
      </c>
      <c r="D309" s="33" t="n">
        <f aca="false">C309-C308</f>
        <v>6458</v>
      </c>
      <c r="E309" s="33" t="n">
        <v>589.5</v>
      </c>
      <c r="F309" s="33" t="n">
        <f aca="false">E309-E308</f>
        <v>326.6</v>
      </c>
      <c r="G309" s="33" t="n">
        <v>8.76</v>
      </c>
      <c r="H309" s="33" t="n">
        <f aca="false">G309-G308</f>
        <v>4.52</v>
      </c>
      <c r="I309" s="33" t="n">
        <v>91</v>
      </c>
      <c r="J309" s="33" t="n">
        <f aca="false">I309-I308</f>
        <v>35</v>
      </c>
      <c r="K309" s="1" t="s">
        <v>14</v>
      </c>
      <c r="L309" s="1" t="e">
        <f aca="false">MODE($C$306:$C$335)</f>
        <v>#VALUE!</v>
      </c>
      <c r="M309" s="1" t="e">
        <f aca="false">MODE($E$306:$E$335)</f>
        <v>#VALUE!</v>
      </c>
      <c r="N309" s="1" t="e">
        <f aca="false">MODE($G$306:$G$335)</f>
        <v>#VALUE!</v>
      </c>
      <c r="O309" s="1" t="n">
        <f aca="false">MODE($I$306:$I$335)</f>
        <v>67</v>
      </c>
    </row>
    <row r="310" customFormat="false" ht="13.8" hidden="false" customHeight="false" outlineLevel="0" collapsed="false">
      <c r="A310" s="33" t="n">
        <v>309</v>
      </c>
      <c r="B310" s="32" t="n">
        <v>45235</v>
      </c>
      <c r="C310" s="33" t="n">
        <v>14032</v>
      </c>
      <c r="D310" s="33" t="n">
        <f aca="false">C310-C309</f>
        <v>1517</v>
      </c>
      <c r="E310" s="33" t="n">
        <v>626.5</v>
      </c>
      <c r="F310" s="33" t="n">
        <f aca="false">E310-E309</f>
        <v>37</v>
      </c>
      <c r="G310" s="33" t="n">
        <v>9.82</v>
      </c>
      <c r="H310" s="33" t="n">
        <f aca="false">G310-G309</f>
        <v>1.06</v>
      </c>
      <c r="I310" s="33" t="n">
        <v>107</v>
      </c>
      <c r="J310" s="33" t="n">
        <f aca="false">I310-I309</f>
        <v>16</v>
      </c>
      <c r="K310" s="1" t="s">
        <v>12</v>
      </c>
      <c r="L310" s="1" t="n">
        <f aca="false">MEDIAN($C$306:$C$335)</f>
        <v>8797</v>
      </c>
      <c r="M310" s="1" t="n">
        <f aca="false">MEDIAN($E$306:$E$335)</f>
        <v>381.7</v>
      </c>
      <c r="N310" s="1" t="n">
        <f aca="false">MEDIAN($G$306:$G$335)</f>
        <v>6.155</v>
      </c>
      <c r="O310" s="1" t="n">
        <f aca="false">MEDIAN($I$306:$I$335)</f>
        <v>80.5</v>
      </c>
    </row>
    <row r="311" customFormat="false" ht="13.8" hidden="false" customHeight="false" outlineLevel="0" collapsed="false">
      <c r="A311" s="1" t="n">
        <v>310</v>
      </c>
      <c r="B311" s="32" t="n">
        <v>45236</v>
      </c>
      <c r="C311" s="33" t="n">
        <v>14275</v>
      </c>
      <c r="D311" s="33" t="n">
        <f aca="false">C311-C310</f>
        <v>243</v>
      </c>
      <c r="E311" s="33" t="n">
        <v>618.1</v>
      </c>
      <c r="F311" s="33" t="n">
        <f aca="false">E311-E310</f>
        <v>-8.39999999999998</v>
      </c>
      <c r="G311" s="33" t="n">
        <v>9.99</v>
      </c>
      <c r="H311" s="33" t="n">
        <f aca="false">G311-G310</f>
        <v>0.17</v>
      </c>
      <c r="I311" s="33" t="n">
        <v>129</v>
      </c>
      <c r="J311" s="33" t="n">
        <f aca="false">I311-I310</f>
        <v>22</v>
      </c>
      <c r="K311" s="1" t="s">
        <v>195</v>
      </c>
      <c r="L311" s="1" t="n">
        <f aca="false">QUARTILE($C$306:$C$335, 1)</f>
        <v>6823.25</v>
      </c>
      <c r="M311" s="1" t="n">
        <f aca="false">QUARTILE($E$306:$E$335, 1)</f>
        <v>300.65</v>
      </c>
      <c r="N311" s="1" t="n">
        <f aca="false">QUARTILE($G$306:$G$335, 1)</f>
        <v>4.78</v>
      </c>
      <c r="O311" s="1" t="n">
        <f aca="false">QUARTILE($I$306:$I$335, 1)</f>
        <v>67.25</v>
      </c>
    </row>
    <row r="312" customFormat="false" ht="13.8" hidden="false" customHeight="false" outlineLevel="0" collapsed="false">
      <c r="A312" s="33" t="n">
        <v>311</v>
      </c>
      <c r="B312" s="32" t="n">
        <v>45237</v>
      </c>
      <c r="C312" s="33" t="n">
        <v>12377</v>
      </c>
      <c r="D312" s="33" t="n">
        <f aca="false">C312-C311</f>
        <v>-1898</v>
      </c>
      <c r="E312" s="33" t="n">
        <v>578.8</v>
      </c>
      <c r="F312" s="33" t="n">
        <f aca="false">E312-E311</f>
        <v>-39.3000000000001</v>
      </c>
      <c r="G312" s="33" t="n">
        <v>8.66</v>
      </c>
      <c r="H312" s="33" t="n">
        <f aca="false">G312-G311</f>
        <v>-1.33</v>
      </c>
      <c r="I312" s="33" t="n">
        <v>81</v>
      </c>
      <c r="J312" s="33" t="n">
        <f aca="false">I312-I311</f>
        <v>-48</v>
      </c>
      <c r="K312" s="1" t="s">
        <v>181</v>
      </c>
      <c r="L312" s="1" t="n">
        <f aca="false">QUARTILE($C$306:$C$335, 3)</f>
        <v>12480.5</v>
      </c>
      <c r="M312" s="1" t="n">
        <f aca="false">QUARTILE($E$306:$E$335, 3)</f>
        <v>586.825</v>
      </c>
      <c r="N312" s="1" t="n">
        <f aca="false">QUARTILE($G$306:$G$335, 3)</f>
        <v>8.735</v>
      </c>
      <c r="O312" s="1" t="n">
        <f aca="false">QUARTILE($I$306:$I$335, 3)</f>
        <v>110.5</v>
      </c>
    </row>
    <row r="313" customFormat="false" ht="13.8" hidden="false" customHeight="false" outlineLevel="0" collapsed="false">
      <c r="A313" s="1" t="n">
        <v>312</v>
      </c>
      <c r="B313" s="32" t="n">
        <v>45238</v>
      </c>
      <c r="C313" s="33" t="n">
        <v>8748</v>
      </c>
      <c r="D313" s="33" t="n">
        <f aca="false">C313-C312</f>
        <v>-3629</v>
      </c>
      <c r="E313" s="33" t="n">
        <v>376.6</v>
      </c>
      <c r="F313" s="33" t="n">
        <f aca="false">E313-E312</f>
        <v>-202.2</v>
      </c>
      <c r="G313" s="33" t="n">
        <v>6.12</v>
      </c>
      <c r="H313" s="33" t="n">
        <f aca="false">G313-G312</f>
        <v>-2.54</v>
      </c>
      <c r="I313" s="33" t="n">
        <v>83</v>
      </c>
      <c r="J313" s="33" t="n">
        <f aca="false">I313-I312</f>
        <v>2</v>
      </c>
      <c r="K313" s="1" t="s">
        <v>182</v>
      </c>
      <c r="L313" s="1" t="n">
        <f aca="false">VAR($C$306:$C$335)</f>
        <v>17212936.8609195</v>
      </c>
      <c r="M313" s="1" t="n">
        <f aca="false">VAR($E$306:$E$335)</f>
        <v>32655.311137931</v>
      </c>
      <c r="N313" s="1" t="n">
        <f aca="false">VAR($G$306:$G$335)</f>
        <v>8.43342298850575</v>
      </c>
      <c r="O313" s="1" t="n">
        <f aca="false">VAR($I$306:$I$335)</f>
        <v>1118.75402298851</v>
      </c>
    </row>
    <row r="314" customFormat="false" ht="13.8" hidden="false" customHeight="false" outlineLevel="0" collapsed="false">
      <c r="A314" s="33" t="n">
        <v>313</v>
      </c>
      <c r="B314" s="32" t="n">
        <v>45239</v>
      </c>
      <c r="C314" s="33" t="n">
        <v>7266</v>
      </c>
      <c r="D314" s="33" t="n">
        <f aca="false">C314-C313</f>
        <v>-1482</v>
      </c>
      <c r="E314" s="33" t="n">
        <v>326.4</v>
      </c>
      <c r="F314" s="33" t="n">
        <f aca="false">E314-E313</f>
        <v>-50.2</v>
      </c>
      <c r="G314" s="33" t="n">
        <v>5.09</v>
      </c>
      <c r="H314" s="33" t="n">
        <f aca="false">G314-G313</f>
        <v>-1.03</v>
      </c>
      <c r="I314" s="33" t="n">
        <v>77</v>
      </c>
      <c r="J314" s="33" t="n">
        <f aca="false">I314-I313</f>
        <v>-6</v>
      </c>
      <c r="K314" s="1" t="s">
        <v>16</v>
      </c>
      <c r="L314" s="1" t="n">
        <f aca="false">STDEV($C$306:$C$335)</f>
        <v>4148.84765458067</v>
      </c>
      <c r="M314" s="1" t="n">
        <f aca="false">STDEV($E$306:$E$335)</f>
        <v>180.70780596845</v>
      </c>
      <c r="N314" s="1" t="n">
        <f aca="false">STDEV($G$306:$G$335)</f>
        <v>2.90403563829815</v>
      </c>
      <c r="O314" s="1" t="n">
        <f aca="false">STDEV($I$306:$I$335)</f>
        <v>33.4477805390508</v>
      </c>
    </row>
    <row r="315" customFormat="false" ht="13.8" hidden="false" customHeight="false" outlineLevel="0" collapsed="false">
      <c r="A315" s="1" t="n">
        <v>314</v>
      </c>
      <c r="B315" s="32" t="n">
        <v>45240</v>
      </c>
      <c r="C315" s="33" t="n">
        <v>1617</v>
      </c>
      <c r="D315" s="33" t="n">
        <f aca="false">C315-C314</f>
        <v>-5649</v>
      </c>
      <c r="E315" s="33" t="n">
        <v>76.9</v>
      </c>
      <c r="F315" s="33" t="n">
        <f aca="false">E315-E314</f>
        <v>-249.5</v>
      </c>
      <c r="G315" s="33" t="n">
        <v>1.13</v>
      </c>
      <c r="H315" s="33" t="n">
        <f aca="false">G315-G314</f>
        <v>-3.96</v>
      </c>
      <c r="I315" s="33" t="n">
        <v>19</v>
      </c>
      <c r="J315" s="33" t="n">
        <f aca="false">I315-I314</f>
        <v>-58</v>
      </c>
      <c r="K315" s="1" t="s">
        <v>20</v>
      </c>
      <c r="L315" s="1" t="n">
        <f aca="false">KURT($C$306:$C$335)</f>
        <v>-0.873332195769931</v>
      </c>
      <c r="M315" s="1" t="n">
        <f aca="false">KURT($E$306:$E$335)</f>
        <v>-0.909730758783904</v>
      </c>
      <c r="N315" s="1" t="n">
        <f aca="false">KURT($G$306:$G$335)</f>
        <v>-0.872776732496111</v>
      </c>
      <c r="O315" s="1" t="n">
        <f aca="false">KURT($I$306:$I$335)</f>
        <v>-0.191144154071706</v>
      </c>
    </row>
    <row r="316" customFormat="false" ht="13.8" hidden="false" customHeight="false" outlineLevel="0" collapsed="false">
      <c r="A316" s="33" t="n">
        <v>315</v>
      </c>
      <c r="B316" s="32" t="n">
        <v>45241</v>
      </c>
      <c r="C316" s="33" t="n">
        <v>11922</v>
      </c>
      <c r="D316" s="33" t="n">
        <f aca="false">C316-C315</f>
        <v>10305</v>
      </c>
      <c r="E316" s="33" t="n">
        <v>516</v>
      </c>
      <c r="F316" s="33" t="n">
        <f aca="false">E316-E315</f>
        <v>439.1</v>
      </c>
      <c r="G316" s="33" t="n">
        <v>8.35</v>
      </c>
      <c r="H316" s="33" t="n">
        <f aca="false">G316-G315</f>
        <v>7.22</v>
      </c>
      <c r="I316" s="33" t="n">
        <v>99</v>
      </c>
      <c r="J316" s="33" t="n">
        <f aca="false">I316-I315</f>
        <v>80</v>
      </c>
      <c r="K316" s="1" t="s">
        <v>22</v>
      </c>
      <c r="L316" s="1" t="n">
        <f aca="false">SKEW($C$306:$C$335)</f>
        <v>-0.361629645772473</v>
      </c>
      <c r="M316" s="1" t="n">
        <f aca="false">SKEW($E$306:$E$335)</f>
        <v>-0.363929303809074</v>
      </c>
      <c r="N316" s="1" t="n">
        <f aca="false">SKEW($G$306:$G$335)</f>
        <v>-0.361772465188553</v>
      </c>
      <c r="O316" s="1" t="n">
        <f aca="false">SKEW($I$306:$I$335)</f>
        <v>-0.26502091726221</v>
      </c>
    </row>
    <row r="317" customFormat="false" ht="13.8" hidden="false" customHeight="false" outlineLevel="0" collapsed="false">
      <c r="A317" s="1" t="n">
        <v>316</v>
      </c>
      <c r="B317" s="32" t="n">
        <v>45242</v>
      </c>
      <c r="C317" s="33" t="n">
        <v>6998</v>
      </c>
      <c r="D317" s="33" t="n">
        <f aca="false">C317-C316</f>
        <v>-4924</v>
      </c>
      <c r="E317" s="33" t="n">
        <v>323.6</v>
      </c>
      <c r="F317" s="33" t="n">
        <f aca="false">E317-E316</f>
        <v>-192.4</v>
      </c>
      <c r="G317" s="33" t="n">
        <v>4.9</v>
      </c>
      <c r="H317" s="33" t="n">
        <f aca="false">G317-G316</f>
        <v>-3.45</v>
      </c>
      <c r="I317" s="33" t="n">
        <v>80</v>
      </c>
      <c r="J317" s="33" t="n">
        <f aca="false">I317-I316</f>
        <v>-19</v>
      </c>
      <c r="K317" s="1" t="s">
        <v>24</v>
      </c>
      <c r="L317" s="1" t="n">
        <f aca="false">MAX($C$306:$C$335)-MIN($C$306:$C$335)</f>
        <v>14025</v>
      </c>
      <c r="M317" s="1" t="n">
        <f aca="false">MAX($E$306:$E$335)-MIN($E$306:$E$335)</f>
        <v>603</v>
      </c>
      <c r="N317" s="1" t="n">
        <f aca="false">MAX($G$306:$G$335)-MIN($G$306:$G$335)</f>
        <v>9.82</v>
      </c>
      <c r="O317" s="1" t="n">
        <f aca="false">MAX($I$306:$I$335)-MIN($I$306:$I$335)</f>
        <v>136</v>
      </c>
    </row>
    <row r="318" customFormat="false" ht="13.8" hidden="false" customHeight="false" outlineLevel="0" collapsed="false">
      <c r="A318" s="33" t="n">
        <v>317</v>
      </c>
      <c r="B318" s="32" t="n">
        <v>45243</v>
      </c>
      <c r="C318" s="33" t="n">
        <v>6765</v>
      </c>
      <c r="D318" s="33" t="n">
        <f aca="false">C318-C317</f>
        <v>-233</v>
      </c>
      <c r="E318" s="33" t="n">
        <v>293.9</v>
      </c>
      <c r="F318" s="33" t="n">
        <f aca="false">E318-E317</f>
        <v>-29.7</v>
      </c>
      <c r="G318" s="33" t="n">
        <v>4.74</v>
      </c>
      <c r="H318" s="33" t="n">
        <f aca="false">G318-G317</f>
        <v>-0.16</v>
      </c>
      <c r="I318" s="33" t="n">
        <v>67</v>
      </c>
      <c r="J318" s="33" t="n">
        <f aca="false">I318-I317</f>
        <v>-13</v>
      </c>
      <c r="K318" s="1" t="s">
        <v>26</v>
      </c>
      <c r="L318" s="1" t="n">
        <f aca="false">MIN($C$306:$C$335)</f>
        <v>1341</v>
      </c>
      <c r="M318" s="1" t="n">
        <f aca="false">MIN($E$306:$E$335)</f>
        <v>65</v>
      </c>
      <c r="N318" s="1" t="n">
        <f aca="false">MIN($G$306:$G$335)</f>
        <v>0.94</v>
      </c>
      <c r="O318" s="1" t="n">
        <f aca="false">MIN($I$306:$I$335)</f>
        <v>16</v>
      </c>
    </row>
    <row r="319" customFormat="false" ht="13.8" hidden="false" customHeight="false" outlineLevel="0" collapsed="false">
      <c r="A319" s="1" t="n">
        <v>318</v>
      </c>
      <c r="B319" s="32" t="n">
        <v>45244</v>
      </c>
      <c r="C319" s="33" t="n">
        <v>11452</v>
      </c>
      <c r="D319" s="33" t="n">
        <f aca="false">C319-C318</f>
        <v>4687</v>
      </c>
      <c r="E319" s="33" t="n">
        <v>508.1</v>
      </c>
      <c r="F319" s="33" t="n">
        <f aca="false">E319-E318</f>
        <v>214.2</v>
      </c>
      <c r="G319" s="33" t="n">
        <v>8.02</v>
      </c>
      <c r="H319" s="33" t="n">
        <f aca="false">G319-G318</f>
        <v>3.28</v>
      </c>
      <c r="I319" s="33" t="n">
        <v>109</v>
      </c>
      <c r="J319" s="33" t="n">
        <f aca="false">I319-I318</f>
        <v>42</v>
      </c>
      <c r="K319" s="1" t="s">
        <v>28</v>
      </c>
      <c r="L319" s="1" t="n">
        <f aca="false">MAX($C$306:$C$335)</f>
        <v>15366</v>
      </c>
      <c r="M319" s="1" t="n">
        <f aca="false">MAX($E$306:$E$335)</f>
        <v>668</v>
      </c>
      <c r="N319" s="1" t="n">
        <f aca="false">MAX($G$306:$G$335)</f>
        <v>10.76</v>
      </c>
      <c r="O319" s="1" t="n">
        <f aca="false">MAX($I$306:$I$335)</f>
        <v>152</v>
      </c>
    </row>
    <row r="320" customFormat="false" ht="13.8" hidden="false" customHeight="false" outlineLevel="0" collapsed="false">
      <c r="A320" s="33" t="n">
        <v>319</v>
      </c>
      <c r="B320" s="32" t="n">
        <v>45245</v>
      </c>
      <c r="C320" s="33" t="n">
        <v>7378</v>
      </c>
      <c r="D320" s="33" t="n">
        <f aca="false">C320-C319</f>
        <v>-4074</v>
      </c>
      <c r="E320" s="33" t="n">
        <v>320.9</v>
      </c>
      <c r="F320" s="33" t="n">
        <f aca="false">E320-E319</f>
        <v>-187.2</v>
      </c>
      <c r="G320" s="33" t="n">
        <v>5.16</v>
      </c>
      <c r="H320" s="33" t="n">
        <f aca="false">G320-G319</f>
        <v>-2.86</v>
      </c>
      <c r="I320" s="33" t="n">
        <v>74</v>
      </c>
      <c r="J320" s="33" t="n">
        <f aca="false">I320-I319</f>
        <v>-35</v>
      </c>
      <c r="K320" s="1" t="s">
        <v>30</v>
      </c>
      <c r="L320" s="1" t="n">
        <f aca="false">SUM($C$306:$C$335)</f>
        <v>279281</v>
      </c>
      <c r="M320" s="1" t="n">
        <f aca="false">SUM($E$306:$E$335)</f>
        <v>12378.9</v>
      </c>
      <c r="N320" s="1" t="n">
        <f aca="false">SUM($G$306:$G$335)</f>
        <v>195.5</v>
      </c>
      <c r="O320" s="1" t="n">
        <f aca="false">SUM($I$306:$I$335)</f>
        <v>2518</v>
      </c>
    </row>
    <row r="321" customFormat="false" ht="13.8" hidden="false" customHeight="false" outlineLevel="0" collapsed="false">
      <c r="A321" s="1" t="n">
        <v>320</v>
      </c>
      <c r="B321" s="32" t="n">
        <v>45246</v>
      </c>
      <c r="C321" s="33" t="n">
        <v>6015</v>
      </c>
      <c r="D321" s="33" t="n">
        <f aca="false">C321-C320</f>
        <v>-1363</v>
      </c>
      <c r="E321" s="33" t="n">
        <v>285.6</v>
      </c>
      <c r="F321" s="33" t="n">
        <f aca="false">E321-E320</f>
        <v>-35.3</v>
      </c>
      <c r="G321" s="33" t="n">
        <v>4.21</v>
      </c>
      <c r="H321" s="33" t="n">
        <f aca="false">G321-G320</f>
        <v>-0.95</v>
      </c>
      <c r="I321" s="33" t="n">
        <v>73</v>
      </c>
      <c r="J321" s="33" t="n">
        <f aca="false">I321-I320</f>
        <v>-1</v>
      </c>
      <c r="K321" s="1" t="s">
        <v>32</v>
      </c>
      <c r="L321" s="1" t="n">
        <f aca="false">COUNT($C$306:$C$335)</f>
        <v>30</v>
      </c>
      <c r="M321" s="1" t="n">
        <f aca="false">COUNT($E$306:$E$335)</f>
        <v>30</v>
      </c>
      <c r="N321" s="1" t="n">
        <f aca="false">COUNT($G$306:$G$335)</f>
        <v>30</v>
      </c>
      <c r="O321" s="1" t="n">
        <f aca="false">COUNT($I$306:$I$335)</f>
        <v>30</v>
      </c>
    </row>
    <row r="322" customFormat="false" ht="13.8" hidden="false" customHeight="false" outlineLevel="0" collapsed="false">
      <c r="A322" s="33" t="n">
        <v>321</v>
      </c>
      <c r="B322" s="32" t="n">
        <v>45247</v>
      </c>
      <c r="C322" s="33" t="n">
        <v>1341</v>
      </c>
      <c r="D322" s="33" t="n">
        <f aca="false">C322-C321</f>
        <v>-4674</v>
      </c>
      <c r="E322" s="33" t="n">
        <v>65</v>
      </c>
      <c r="F322" s="33" t="n">
        <f aca="false">E322-E321</f>
        <v>-220.6</v>
      </c>
      <c r="G322" s="33" t="n">
        <v>0.94</v>
      </c>
      <c r="H322" s="33" t="n">
        <f aca="false">G322-G321</f>
        <v>-3.27</v>
      </c>
      <c r="I322" s="33" t="n">
        <v>16</v>
      </c>
      <c r="J322" s="33" t="n">
        <f aca="false">I322-I321</f>
        <v>-57</v>
      </c>
    </row>
    <row r="323" customFormat="false" ht="13.8" hidden="false" customHeight="false" outlineLevel="0" collapsed="false">
      <c r="A323" s="1" t="n">
        <v>322</v>
      </c>
      <c r="B323" s="32" t="n">
        <v>45248</v>
      </c>
      <c r="C323" s="33" t="n">
        <v>2072</v>
      </c>
      <c r="D323" s="33" t="n">
        <f aca="false">C323-C322</f>
        <v>731</v>
      </c>
      <c r="E323" s="33" t="n">
        <v>96.3</v>
      </c>
      <c r="F323" s="33" t="n">
        <f aca="false">E323-E322</f>
        <v>31.3</v>
      </c>
      <c r="G323" s="33" t="n">
        <v>1.45</v>
      </c>
      <c r="H323" s="33" t="n">
        <f aca="false">G323-G322</f>
        <v>0.51</v>
      </c>
      <c r="I323" s="33" t="n">
        <v>24</v>
      </c>
      <c r="J323" s="33" t="n">
        <f aca="false">I323-I322</f>
        <v>8</v>
      </c>
    </row>
    <row r="324" customFormat="false" ht="13.8" hidden="false" customHeight="false" outlineLevel="0" collapsed="false">
      <c r="A324" s="33" t="n">
        <v>323</v>
      </c>
      <c r="B324" s="32" t="n">
        <v>45249</v>
      </c>
      <c r="C324" s="33" t="n">
        <v>3257</v>
      </c>
      <c r="D324" s="33" t="n">
        <f aca="false">C324-C323</f>
        <v>1185</v>
      </c>
      <c r="E324" s="33" t="n">
        <v>152.6</v>
      </c>
      <c r="F324" s="33" t="n">
        <f aca="false">E324-E323</f>
        <v>56.3</v>
      </c>
      <c r="G324" s="33" t="n">
        <v>2.28</v>
      </c>
      <c r="H324" s="33" t="n">
        <f aca="false">G324-G323</f>
        <v>0.83</v>
      </c>
      <c r="I324" s="33" t="n">
        <v>38</v>
      </c>
      <c r="J324" s="33" t="n">
        <f aca="false">I324-I323</f>
        <v>14</v>
      </c>
    </row>
    <row r="325" customFormat="false" ht="13.8" hidden="false" customHeight="false" outlineLevel="0" collapsed="false">
      <c r="A325" s="1" t="n">
        <v>324</v>
      </c>
      <c r="B325" s="32" t="n">
        <v>45250</v>
      </c>
      <c r="C325" s="33" t="n">
        <v>15366</v>
      </c>
      <c r="D325" s="33" t="n">
        <f aca="false">C325-C324</f>
        <v>12109</v>
      </c>
      <c r="E325" s="33" t="n">
        <v>668</v>
      </c>
      <c r="F325" s="33" t="n">
        <f aca="false">E325-E324</f>
        <v>515.4</v>
      </c>
      <c r="G325" s="33" t="n">
        <v>10.76</v>
      </c>
      <c r="H325" s="33" t="n">
        <f aca="false">G325-G324</f>
        <v>8.48</v>
      </c>
      <c r="I325" s="33" t="n">
        <v>129</v>
      </c>
      <c r="J325" s="33" t="n">
        <f aca="false">I325-I324</f>
        <v>91</v>
      </c>
    </row>
    <row r="326" customFormat="false" ht="13.8" hidden="false" customHeight="false" outlineLevel="0" collapsed="false">
      <c r="A326" s="33" t="n">
        <v>325</v>
      </c>
      <c r="B326" s="32" t="n">
        <v>45251</v>
      </c>
      <c r="C326" s="33" t="n">
        <v>14188</v>
      </c>
      <c r="D326" s="33" t="n">
        <f aca="false">C326-C325</f>
        <v>-1178</v>
      </c>
      <c r="E326" s="33" t="n">
        <v>606.3</v>
      </c>
      <c r="F326" s="33" t="n">
        <f aca="false">E326-E325</f>
        <v>-61.7</v>
      </c>
      <c r="G326" s="33" t="n">
        <v>9.93</v>
      </c>
      <c r="H326" s="33" t="n">
        <f aca="false">G326-G325</f>
        <v>-0.83</v>
      </c>
      <c r="I326" s="33" t="n">
        <v>121</v>
      </c>
      <c r="J326" s="33" t="n">
        <f aca="false">I326-I325</f>
        <v>-8</v>
      </c>
    </row>
    <row r="327" customFormat="false" ht="13.8" hidden="false" customHeight="false" outlineLevel="0" collapsed="false">
      <c r="A327" s="1" t="n">
        <v>326</v>
      </c>
      <c r="B327" s="32" t="n">
        <v>45252</v>
      </c>
      <c r="C327" s="33" t="n">
        <v>8568</v>
      </c>
      <c r="D327" s="33" t="n">
        <f aca="false">C327-C326</f>
        <v>-5620</v>
      </c>
      <c r="E327" s="33" t="n">
        <v>386.8</v>
      </c>
      <c r="F327" s="33" t="n">
        <f aca="false">E327-E326</f>
        <v>-219.5</v>
      </c>
      <c r="G327" s="33" t="n">
        <v>6</v>
      </c>
      <c r="H327" s="33" t="n">
        <f aca="false">G327-G326</f>
        <v>-3.93</v>
      </c>
      <c r="I327" s="33" t="n">
        <v>62</v>
      </c>
      <c r="J327" s="33" t="n">
        <f aca="false">I327-I326</f>
        <v>-59</v>
      </c>
    </row>
    <row r="328" customFormat="false" ht="13.8" hidden="false" customHeight="false" outlineLevel="0" collapsed="false">
      <c r="A328" s="33" t="n">
        <v>327</v>
      </c>
      <c r="B328" s="32" t="n">
        <v>45253</v>
      </c>
      <c r="C328" s="33" t="n">
        <v>7600</v>
      </c>
      <c r="D328" s="33" t="n">
        <f aca="false">C328-C327</f>
        <v>-968</v>
      </c>
      <c r="E328" s="33" t="n">
        <v>331.9</v>
      </c>
      <c r="F328" s="33" t="n">
        <f aca="false">E328-E327</f>
        <v>-54.9</v>
      </c>
      <c r="G328" s="33" t="n">
        <v>5.32</v>
      </c>
      <c r="H328" s="33" t="n">
        <f aca="false">G328-G327</f>
        <v>-0.68</v>
      </c>
      <c r="I328" s="33" t="n">
        <v>71</v>
      </c>
      <c r="J328" s="33" t="n">
        <f aca="false">I328-I327</f>
        <v>9</v>
      </c>
    </row>
    <row r="329" customFormat="false" ht="13.8" hidden="false" customHeight="false" outlineLevel="0" collapsed="false">
      <c r="A329" s="1" t="n">
        <v>328</v>
      </c>
      <c r="B329" s="32" t="n">
        <v>45254</v>
      </c>
      <c r="C329" s="33" t="n">
        <v>7834</v>
      </c>
      <c r="D329" s="33" t="n">
        <f aca="false">C329-C328</f>
        <v>234</v>
      </c>
      <c r="E329" s="33" t="n">
        <v>332.3</v>
      </c>
      <c r="F329" s="33" t="n">
        <f aca="false">E329-E328</f>
        <v>0.400000000000034</v>
      </c>
      <c r="G329" s="33" t="n">
        <v>5.48</v>
      </c>
      <c r="H329" s="33" t="n">
        <f aca="false">G329-G328</f>
        <v>0.16</v>
      </c>
      <c r="I329" s="33" t="n">
        <v>71</v>
      </c>
      <c r="J329" s="33" t="n">
        <f aca="false">I329-I328</f>
        <v>0</v>
      </c>
    </row>
    <row r="330" customFormat="false" ht="13.8" hidden="false" customHeight="false" outlineLevel="0" collapsed="false">
      <c r="A330" s="33" t="n">
        <v>329</v>
      </c>
      <c r="B330" s="32" t="n">
        <v>45255</v>
      </c>
      <c r="C330" s="33" t="n">
        <v>14102</v>
      </c>
      <c r="D330" s="33" t="n">
        <f aca="false">C330-C329</f>
        <v>6268</v>
      </c>
      <c r="E330" s="33" t="n">
        <v>614.4</v>
      </c>
      <c r="F330" s="33" t="n">
        <f aca="false">E330-E329</f>
        <v>282.1</v>
      </c>
      <c r="G330" s="33" t="n">
        <v>9.87</v>
      </c>
      <c r="H330" s="33" t="n">
        <f aca="false">G330-G329</f>
        <v>4.39</v>
      </c>
      <c r="I330" s="33" t="n">
        <v>113</v>
      </c>
      <c r="J330" s="33" t="n">
        <f aca="false">I330-I329</f>
        <v>42</v>
      </c>
    </row>
    <row r="331" customFormat="false" ht="13.8" hidden="false" customHeight="false" outlineLevel="0" collapsed="false">
      <c r="A331" s="1" t="n">
        <v>330</v>
      </c>
      <c r="B331" s="32" t="n">
        <v>45256</v>
      </c>
      <c r="C331" s="33" t="n">
        <v>14177</v>
      </c>
      <c r="D331" s="33" t="n">
        <f aca="false">C331-C330</f>
        <v>75</v>
      </c>
      <c r="E331" s="33" t="n">
        <v>636.8</v>
      </c>
      <c r="F331" s="33" t="n">
        <f aca="false">E331-E330</f>
        <v>22.4</v>
      </c>
      <c r="G331" s="33" t="n">
        <v>9.92</v>
      </c>
      <c r="H331" s="33" t="n">
        <f aca="false">G331-G330</f>
        <v>0.0500000000000007</v>
      </c>
      <c r="I331" s="33" t="n">
        <v>152</v>
      </c>
      <c r="J331" s="33" t="n">
        <f aca="false">I331-I330</f>
        <v>39</v>
      </c>
    </row>
    <row r="332" customFormat="false" ht="13.8" hidden="false" customHeight="false" outlineLevel="0" collapsed="false">
      <c r="A332" s="33" t="n">
        <v>331</v>
      </c>
      <c r="B332" s="32" t="n">
        <v>45257</v>
      </c>
      <c r="C332" s="33" t="n">
        <v>11855</v>
      </c>
      <c r="D332" s="33" t="n">
        <f aca="false">C332-C331</f>
        <v>-2322</v>
      </c>
      <c r="E332" s="33" t="n">
        <v>555</v>
      </c>
      <c r="F332" s="33" t="n">
        <f aca="false">E332-E331</f>
        <v>-81.8</v>
      </c>
      <c r="G332" s="33" t="n">
        <v>8.3</v>
      </c>
      <c r="H332" s="33" t="n">
        <f aca="false">G332-G331</f>
        <v>-1.62</v>
      </c>
      <c r="I332" s="33" t="n">
        <v>111</v>
      </c>
      <c r="J332" s="33" t="n">
        <f aca="false">I332-I331</f>
        <v>-41</v>
      </c>
    </row>
    <row r="333" customFormat="false" ht="13.8" hidden="false" customHeight="false" outlineLevel="0" collapsed="false">
      <c r="A333" s="1" t="n">
        <v>332</v>
      </c>
      <c r="B333" s="32" t="n">
        <v>45258</v>
      </c>
      <c r="C333" s="33" t="n">
        <v>10674</v>
      </c>
      <c r="D333" s="33" t="n">
        <f aca="false">C333-C332</f>
        <v>-1181</v>
      </c>
      <c r="E333" s="33" t="n">
        <v>478</v>
      </c>
      <c r="F333" s="33" t="n">
        <f aca="false">E333-E332</f>
        <v>-77</v>
      </c>
      <c r="G333" s="33" t="n">
        <v>7.47</v>
      </c>
      <c r="H333" s="33" t="n">
        <f aca="false">G333-G332</f>
        <v>-0.830000000000001</v>
      </c>
      <c r="I333" s="33" t="n">
        <v>114</v>
      </c>
      <c r="J333" s="33" t="n">
        <f aca="false">I333-I332</f>
        <v>3</v>
      </c>
    </row>
    <row r="334" customFormat="false" ht="13.8" hidden="false" customHeight="false" outlineLevel="0" collapsed="false">
      <c r="A334" s="33" t="n">
        <v>333</v>
      </c>
      <c r="B334" s="32" t="n">
        <v>45259</v>
      </c>
      <c r="C334" s="33" t="n">
        <v>8846</v>
      </c>
      <c r="D334" s="33" t="n">
        <f aca="false">C334-C333</f>
        <v>-1828</v>
      </c>
      <c r="E334" s="33" t="n">
        <v>372.4</v>
      </c>
      <c r="F334" s="33" t="n">
        <f aca="false">E334-E333</f>
        <v>-105.6</v>
      </c>
      <c r="G334" s="33" t="n">
        <v>6.19</v>
      </c>
      <c r="H334" s="33" t="n">
        <f aca="false">G334-G333</f>
        <v>-1.28</v>
      </c>
      <c r="I334" s="33" t="n">
        <v>68</v>
      </c>
      <c r="J334" s="33" t="n">
        <f aca="false">I334-I333</f>
        <v>-46</v>
      </c>
    </row>
    <row r="335" customFormat="false" ht="13.8" hidden="false" customHeight="false" outlineLevel="0" collapsed="false">
      <c r="A335" s="1" t="n">
        <v>334</v>
      </c>
      <c r="B335" s="32" t="n">
        <v>45260</v>
      </c>
      <c r="C335" s="33" t="n">
        <v>5536</v>
      </c>
      <c r="D335" s="33" t="n">
        <f aca="false">C335-C334</f>
        <v>-3310</v>
      </c>
      <c r="E335" s="33" t="n">
        <v>263.1</v>
      </c>
      <c r="F335" s="33" t="n">
        <f aca="false">E335-E334</f>
        <v>-109.3</v>
      </c>
      <c r="G335" s="33" t="n">
        <v>3.88</v>
      </c>
      <c r="H335" s="33" t="n">
        <f aca="false">G335-G334</f>
        <v>-2.31</v>
      </c>
      <c r="I335" s="33" t="n">
        <v>67</v>
      </c>
      <c r="J335" s="33" t="n">
        <f aca="false">I335-I334</f>
        <v>-1</v>
      </c>
    </row>
    <row r="336" customFormat="false" ht="13.8" hidden="false" customHeight="false" outlineLevel="0" collapsed="false">
      <c r="A336" s="33" t="n">
        <v>335</v>
      </c>
      <c r="B336" s="32" t="n">
        <v>45261</v>
      </c>
      <c r="C336" s="33" t="n">
        <v>4381</v>
      </c>
      <c r="D336" s="33" t="n">
        <f aca="false">C336-C335</f>
        <v>-1155</v>
      </c>
      <c r="E336" s="33" t="n">
        <v>187.1</v>
      </c>
      <c r="F336" s="33" t="n">
        <f aca="false">E336-E335</f>
        <v>-76</v>
      </c>
      <c r="G336" s="33" t="n">
        <v>3.07</v>
      </c>
      <c r="H336" s="33" t="n">
        <f aca="false">G336-G335</f>
        <v>-0.81</v>
      </c>
      <c r="I336" s="33" t="n">
        <v>40</v>
      </c>
      <c r="J336" s="33" t="n">
        <f aca="false">I336-I335</f>
        <v>-27</v>
      </c>
      <c r="L336" s="34" t="s">
        <v>2</v>
      </c>
      <c r="M336" s="34" t="s">
        <v>179</v>
      </c>
      <c r="N336" s="34" t="s">
        <v>175</v>
      </c>
      <c r="O336" s="34" t="s">
        <v>177</v>
      </c>
    </row>
    <row r="337" customFormat="false" ht="13.8" hidden="false" customHeight="false" outlineLevel="0" collapsed="false">
      <c r="A337" s="1" t="n">
        <v>336</v>
      </c>
      <c r="B337" s="32" t="n">
        <v>45262</v>
      </c>
      <c r="C337" s="33" t="n">
        <v>10122</v>
      </c>
      <c r="D337" s="33" t="n">
        <f aca="false">C337-C336</f>
        <v>5741</v>
      </c>
      <c r="E337" s="33" t="n">
        <v>425.7</v>
      </c>
      <c r="F337" s="33" t="n">
        <f aca="false">E337-E336</f>
        <v>238.6</v>
      </c>
      <c r="G337" s="33" t="n">
        <v>7.09</v>
      </c>
      <c r="H337" s="33" t="n">
        <f aca="false">G337-G336</f>
        <v>4.02</v>
      </c>
      <c r="I337" s="33" t="n">
        <v>88</v>
      </c>
      <c r="J337" s="33" t="n">
        <f aca="false">I337-I336</f>
        <v>48</v>
      </c>
      <c r="K337" s="1" t="s">
        <v>8</v>
      </c>
      <c r="L337" s="1" t="n">
        <f aca="false">AVERAGE($C$336:$C$366)</f>
        <v>9231.38709677419</v>
      </c>
      <c r="M337" s="1" t="n">
        <f aca="false">AVERAGE($E$336:$E$366)</f>
        <v>410.525806451613</v>
      </c>
      <c r="N337" s="1" t="n">
        <f aca="false">AVERAGE($G$336:$G$366)</f>
        <v>6.46193548387097</v>
      </c>
      <c r="O337" s="1" t="n">
        <f aca="false">AVERAGE($I$336:$I$366)</f>
        <v>83.6129032258065</v>
      </c>
    </row>
    <row r="338" customFormat="false" ht="13.8" hidden="false" customHeight="false" outlineLevel="0" collapsed="false">
      <c r="A338" s="33" t="n">
        <v>337</v>
      </c>
      <c r="B338" s="32" t="n">
        <v>45263</v>
      </c>
      <c r="C338" s="33" t="n">
        <v>2707</v>
      </c>
      <c r="D338" s="33" t="n">
        <f aca="false">C338-C337</f>
        <v>-7415</v>
      </c>
      <c r="E338" s="33" t="n">
        <v>115.1</v>
      </c>
      <c r="F338" s="33" t="n">
        <f aca="false">E338-E337</f>
        <v>-310.6</v>
      </c>
      <c r="G338" s="33" t="n">
        <v>1.89</v>
      </c>
      <c r="H338" s="33" t="n">
        <f aca="false">G338-G337</f>
        <v>-5.2</v>
      </c>
      <c r="I338" s="33" t="n">
        <v>25</v>
      </c>
      <c r="J338" s="33" t="n">
        <f aca="false">I338-I337</f>
        <v>-63</v>
      </c>
      <c r="K338" s="1" t="s">
        <v>10</v>
      </c>
      <c r="L338" s="1" t="n">
        <f aca="false">SQRT(VAR($C$336:$C$366)/COUNT($C$336:$C$366))</f>
        <v>770.040677151258</v>
      </c>
      <c r="M338" s="1" t="n">
        <f aca="false">SQRT(VAR($E$336:$E$366)/COUNT($E$336:$E$366))</f>
        <v>35.761466006292</v>
      </c>
      <c r="N338" s="1" t="n">
        <f aca="false">SQRT(VAR($G$336:$G$366)/COUNT($G$336:$G$366))</f>
        <v>0.539025887493483</v>
      </c>
      <c r="O338" s="1" t="n">
        <f aca="false">SQRT(VAR($I$336:$I$366)/COUNT($I$336:$I$366))</f>
        <v>6.57458080259079</v>
      </c>
    </row>
    <row r="339" customFormat="false" ht="13.8" hidden="false" customHeight="false" outlineLevel="0" collapsed="false">
      <c r="A339" s="1" t="n">
        <v>338</v>
      </c>
      <c r="B339" s="32" t="n">
        <v>45264</v>
      </c>
      <c r="C339" s="33" t="n">
        <v>13160</v>
      </c>
      <c r="D339" s="33" t="n">
        <f aca="false">C339-C338</f>
        <v>10453</v>
      </c>
      <c r="E339" s="33" t="n">
        <v>573.5</v>
      </c>
      <c r="F339" s="33" t="n">
        <f aca="false">E339-E338</f>
        <v>458.4</v>
      </c>
      <c r="G339" s="33" t="n">
        <v>9.21</v>
      </c>
      <c r="H339" s="33" t="n">
        <f aca="false">G339-G338</f>
        <v>7.32</v>
      </c>
      <c r="I339" s="33" t="n">
        <v>129</v>
      </c>
      <c r="J339" s="33" t="n">
        <f aca="false">I339-I338</f>
        <v>104</v>
      </c>
      <c r="K339" s="1" t="s">
        <v>14</v>
      </c>
      <c r="L339" s="1" t="e">
        <f aca="false">MODE($C$336:$C$366)</f>
        <v>#VALUE!</v>
      </c>
      <c r="M339" s="1" t="e">
        <f aca="false">MODE($E$336:$E$366)</f>
        <v>#VALUE!</v>
      </c>
      <c r="N339" s="1" t="e">
        <f aca="false">MODE($G$336:$G$366)</f>
        <v>#VALUE!</v>
      </c>
      <c r="O339" s="1" t="n">
        <f aca="false">MODE($I$336:$I$366)</f>
        <v>25</v>
      </c>
    </row>
    <row r="340" customFormat="false" ht="13.8" hidden="false" customHeight="false" outlineLevel="0" collapsed="false">
      <c r="A340" s="33" t="n">
        <v>339</v>
      </c>
      <c r="B340" s="32" t="n">
        <v>45265</v>
      </c>
      <c r="C340" s="33" t="n">
        <v>9178</v>
      </c>
      <c r="D340" s="33" t="n">
        <f aca="false">C340-C339</f>
        <v>-3982</v>
      </c>
      <c r="E340" s="33" t="n">
        <v>394.6</v>
      </c>
      <c r="F340" s="33" t="n">
        <f aca="false">E340-E339</f>
        <v>-178.9</v>
      </c>
      <c r="G340" s="33" t="n">
        <v>6.42</v>
      </c>
      <c r="H340" s="33" t="n">
        <f aca="false">G340-G339</f>
        <v>-2.79</v>
      </c>
      <c r="I340" s="33" t="n">
        <v>85</v>
      </c>
      <c r="J340" s="33" t="n">
        <f aca="false">I340-I339</f>
        <v>-44</v>
      </c>
      <c r="K340" s="1" t="s">
        <v>12</v>
      </c>
      <c r="L340" s="1" t="n">
        <f aca="false">MEDIAN($C$336:$C$366)</f>
        <v>9178</v>
      </c>
      <c r="M340" s="1" t="n">
        <f aca="false">MEDIAN($E$336:$E$366)</f>
        <v>408.2</v>
      </c>
      <c r="N340" s="1" t="n">
        <f aca="false">MEDIAN($G$336:$G$366)</f>
        <v>6.42</v>
      </c>
      <c r="O340" s="1" t="n">
        <f aca="false">MEDIAN($I$336:$I$366)</f>
        <v>88</v>
      </c>
    </row>
    <row r="341" customFormat="false" ht="13.8" hidden="false" customHeight="false" outlineLevel="0" collapsed="false">
      <c r="A341" s="1" t="n">
        <v>340</v>
      </c>
      <c r="B341" s="32" t="n">
        <v>45266</v>
      </c>
      <c r="C341" s="33" t="n">
        <v>9634</v>
      </c>
      <c r="D341" s="33" t="n">
        <f aca="false">C341-C340</f>
        <v>456</v>
      </c>
      <c r="E341" s="33" t="n">
        <v>411.3</v>
      </c>
      <c r="F341" s="33" t="n">
        <f aca="false">E341-E340</f>
        <v>16.7</v>
      </c>
      <c r="G341" s="33" t="n">
        <v>6.74</v>
      </c>
      <c r="H341" s="33" t="n">
        <f aca="false">G341-G340</f>
        <v>0.32</v>
      </c>
      <c r="I341" s="33" t="n">
        <v>87</v>
      </c>
      <c r="J341" s="33" t="n">
        <f aca="false">I341-I340</f>
        <v>2</v>
      </c>
      <c r="K341" s="1" t="s">
        <v>195</v>
      </c>
      <c r="L341" s="1" t="n">
        <f aca="false">QUARTILE($C$336:$C$366, 1)</f>
        <v>6912</v>
      </c>
      <c r="M341" s="1" t="n">
        <f aca="false">QUARTILE($E$336:$E$366, 1)</f>
        <v>307.5</v>
      </c>
      <c r="N341" s="1" t="n">
        <f aca="false">QUARTILE($G$336:$G$366, 1)</f>
        <v>4.84</v>
      </c>
      <c r="O341" s="1" t="n">
        <f aca="false">QUARTILE($I$336:$I$366, 1)</f>
        <v>62</v>
      </c>
    </row>
    <row r="342" customFormat="false" ht="13.8" hidden="false" customHeight="false" outlineLevel="0" collapsed="false">
      <c r="A342" s="33" t="n">
        <v>341</v>
      </c>
      <c r="B342" s="32" t="n">
        <v>45267</v>
      </c>
      <c r="C342" s="33" t="n">
        <v>9948</v>
      </c>
      <c r="D342" s="33" t="n">
        <f aca="false">C342-C341</f>
        <v>314</v>
      </c>
      <c r="E342" s="33" t="n">
        <v>440.5</v>
      </c>
      <c r="F342" s="33" t="n">
        <f aca="false">E342-E341</f>
        <v>29.2</v>
      </c>
      <c r="G342" s="33" t="n">
        <v>6.96</v>
      </c>
      <c r="H342" s="33" t="n">
        <f aca="false">G342-G341</f>
        <v>0.22</v>
      </c>
      <c r="I342" s="33" t="n">
        <v>103</v>
      </c>
      <c r="J342" s="33" t="n">
        <f aca="false">I342-I341</f>
        <v>16</v>
      </c>
      <c r="K342" s="1" t="s">
        <v>181</v>
      </c>
      <c r="L342" s="1" t="n">
        <f aca="false">QUARTILE($C$336:$C$366, 3)</f>
        <v>12270</v>
      </c>
      <c r="M342" s="1" t="n">
        <f aca="false">QUARTILE($E$336:$E$366, 3)</f>
        <v>526.7</v>
      </c>
      <c r="N342" s="1" t="n">
        <f aca="false">QUARTILE($G$336:$G$366, 3)</f>
        <v>8.59</v>
      </c>
      <c r="O342" s="1" t="n">
        <f aca="false">QUARTILE($I$336:$I$366, 3)</f>
        <v>103</v>
      </c>
    </row>
    <row r="343" customFormat="false" ht="13.8" hidden="false" customHeight="false" outlineLevel="0" collapsed="false">
      <c r="A343" s="1" t="n">
        <v>342</v>
      </c>
      <c r="B343" s="32" t="n">
        <v>45268</v>
      </c>
      <c r="C343" s="33" t="n">
        <v>3237</v>
      </c>
      <c r="D343" s="33" t="n">
        <f aca="false">C343-C342</f>
        <v>-6711</v>
      </c>
      <c r="E343" s="33" t="n">
        <v>149</v>
      </c>
      <c r="F343" s="33" t="n">
        <f aca="false">E343-E342</f>
        <v>-291.5</v>
      </c>
      <c r="G343" s="33" t="n">
        <v>2.27</v>
      </c>
      <c r="H343" s="33" t="n">
        <f aca="false">G343-G342</f>
        <v>-4.69</v>
      </c>
      <c r="I343" s="33" t="n">
        <v>37</v>
      </c>
      <c r="J343" s="33" t="n">
        <f aca="false">I343-I342</f>
        <v>-66</v>
      </c>
      <c r="K343" s="1" t="s">
        <v>182</v>
      </c>
      <c r="L343" s="1" t="n">
        <f aca="false">VAR($C$336:$C$366)</f>
        <v>18381841.9784946</v>
      </c>
      <c r="M343" s="1" t="n">
        <f aca="false">VAR($E$336:$E$366)</f>
        <v>39645.3559784946</v>
      </c>
      <c r="N343" s="1" t="n">
        <f aca="false">VAR($G$336:$G$366)</f>
        <v>9.00701612903226</v>
      </c>
      <c r="O343" s="1" t="n">
        <f aca="false">VAR($I$336:$I$366)</f>
        <v>1339.97849462366</v>
      </c>
    </row>
    <row r="344" customFormat="false" ht="13.8" hidden="false" customHeight="false" outlineLevel="0" collapsed="false">
      <c r="A344" s="33" t="n">
        <v>343</v>
      </c>
      <c r="B344" s="32" t="n">
        <v>45269</v>
      </c>
      <c r="C344" s="33" t="n">
        <v>2466</v>
      </c>
      <c r="D344" s="33" t="n">
        <f aca="false">C344-C343</f>
        <v>-771</v>
      </c>
      <c r="E344" s="33" t="n">
        <v>108.8</v>
      </c>
      <c r="F344" s="33" t="n">
        <f aca="false">E344-E343</f>
        <v>-40.2</v>
      </c>
      <c r="G344" s="33" t="n">
        <v>1.73</v>
      </c>
      <c r="H344" s="33" t="n">
        <f aca="false">G344-G343</f>
        <v>-0.54</v>
      </c>
      <c r="I344" s="33" t="n">
        <v>25</v>
      </c>
      <c r="J344" s="33" t="n">
        <f aca="false">I344-I343</f>
        <v>-12</v>
      </c>
      <c r="K344" s="1" t="s">
        <v>16</v>
      </c>
      <c r="L344" s="1" t="n">
        <f aca="false">STDEV($C$336:$C$366)</f>
        <v>4287.40504017227</v>
      </c>
      <c r="M344" s="1" t="n">
        <f aca="false">STDEV($E$336:$E$366)</f>
        <v>199.11141599239</v>
      </c>
      <c r="N344" s="1" t="n">
        <f aca="false">STDEV($G$336:$G$366)</f>
        <v>3.00116912702904</v>
      </c>
      <c r="O344" s="1" t="n">
        <f aca="false">STDEV($I$336:$I$366)</f>
        <v>36.6057166932114</v>
      </c>
    </row>
    <row r="345" customFormat="false" ht="13.8" hidden="false" customHeight="false" outlineLevel="0" collapsed="false">
      <c r="A345" s="1" t="n">
        <v>344</v>
      </c>
      <c r="B345" s="32" t="n">
        <v>45270</v>
      </c>
      <c r="C345" s="33" t="n">
        <v>12727</v>
      </c>
      <c r="D345" s="33" t="n">
        <f aca="false">C345-C344</f>
        <v>10261</v>
      </c>
      <c r="E345" s="33" t="n">
        <v>540.3</v>
      </c>
      <c r="F345" s="33" t="n">
        <f aca="false">E345-E344</f>
        <v>431.5</v>
      </c>
      <c r="G345" s="33" t="n">
        <v>8.91</v>
      </c>
      <c r="H345" s="33" t="n">
        <f aca="false">G345-G344</f>
        <v>7.18</v>
      </c>
      <c r="I345" s="33" t="n">
        <v>113</v>
      </c>
      <c r="J345" s="33" t="n">
        <f aca="false">I345-I344</f>
        <v>88</v>
      </c>
      <c r="K345" s="1" t="s">
        <v>20</v>
      </c>
      <c r="L345" s="1" t="n">
        <f aca="false">KURT($C$336:$C$366)</f>
        <v>-0.530644481088403</v>
      </c>
      <c r="M345" s="1" t="n">
        <f aca="false">KURT($E$336:$E$366)</f>
        <v>-0.377783085804472</v>
      </c>
      <c r="N345" s="1" t="n">
        <f aca="false">KURT($G$336:$G$366)</f>
        <v>-0.530089831461831</v>
      </c>
      <c r="O345" s="1" t="n">
        <f aca="false">KURT($I$336:$I$366)</f>
        <v>-0.288047485657573</v>
      </c>
    </row>
    <row r="346" customFormat="false" ht="13.8" hidden="false" customHeight="false" outlineLevel="0" collapsed="false">
      <c r="A346" s="33" t="n">
        <v>345</v>
      </c>
      <c r="B346" s="32" t="n">
        <v>45271</v>
      </c>
      <c r="C346" s="33" t="n">
        <v>3557</v>
      </c>
      <c r="D346" s="33" t="n">
        <f aca="false">C346-C345</f>
        <v>-9170</v>
      </c>
      <c r="E346" s="33" t="n">
        <v>161.2</v>
      </c>
      <c r="F346" s="33" t="n">
        <f aca="false">E346-E345</f>
        <v>-379.1</v>
      </c>
      <c r="G346" s="33" t="n">
        <v>2.49</v>
      </c>
      <c r="H346" s="33" t="n">
        <f aca="false">G346-G345</f>
        <v>-6.42</v>
      </c>
      <c r="I346" s="33" t="n">
        <v>39</v>
      </c>
      <c r="J346" s="33" t="n">
        <f aca="false">I346-I345</f>
        <v>-74</v>
      </c>
      <c r="K346" s="1" t="s">
        <v>22</v>
      </c>
      <c r="L346" s="1" t="n">
        <f aca="false">SKEW($C$336:$C$366)</f>
        <v>-0.128328744095937</v>
      </c>
      <c r="M346" s="1" t="n">
        <f aca="false">SKEW($E$336:$E$366)</f>
        <v>0.117296013366802</v>
      </c>
      <c r="N346" s="1" t="n">
        <f aca="false">SKEW($G$336:$G$366)</f>
        <v>-0.127425752445082</v>
      </c>
      <c r="O346" s="1" t="n">
        <f aca="false">SKEW($I$336:$I$366)</f>
        <v>-0.076646754073287</v>
      </c>
    </row>
    <row r="347" customFormat="false" ht="13.8" hidden="false" customHeight="false" outlineLevel="0" collapsed="false">
      <c r="A347" s="1" t="n">
        <v>346</v>
      </c>
      <c r="B347" s="32" t="n">
        <v>45272</v>
      </c>
      <c r="C347" s="33" t="n">
        <v>11813</v>
      </c>
      <c r="D347" s="33" t="n">
        <f aca="false">C347-C346</f>
        <v>8256</v>
      </c>
      <c r="E347" s="33" t="n">
        <v>513.1</v>
      </c>
      <c r="F347" s="33" t="n">
        <f aca="false">E347-E346</f>
        <v>351.9</v>
      </c>
      <c r="G347" s="33" t="n">
        <v>8.27</v>
      </c>
      <c r="H347" s="33" t="n">
        <f aca="false">G347-G346</f>
        <v>5.78</v>
      </c>
      <c r="I347" s="33" t="n">
        <v>115</v>
      </c>
      <c r="J347" s="33" t="n">
        <f aca="false">I347-I346</f>
        <v>76</v>
      </c>
      <c r="K347" s="1" t="s">
        <v>24</v>
      </c>
      <c r="L347" s="1" t="n">
        <f aca="false">MAX($C$336:$C$366)-MIN($C$336:$C$366)</f>
        <v>16666</v>
      </c>
      <c r="M347" s="1" t="n">
        <f aca="false">MAX($E$336:$E$366)-MIN($E$336:$E$366)</f>
        <v>744.3</v>
      </c>
      <c r="N347" s="1" t="n">
        <f aca="false">MAX($G$336:$G$366)-MIN($G$336:$G$366)</f>
        <v>11.67</v>
      </c>
      <c r="O347" s="1" t="n">
        <f aca="false">MAX($I$336:$I$366)-MIN($I$336:$I$366)</f>
        <v>146</v>
      </c>
    </row>
    <row r="348" customFormat="false" ht="13.8" hidden="false" customHeight="false" outlineLevel="0" collapsed="false">
      <c r="A348" s="33" t="n">
        <v>347</v>
      </c>
      <c r="B348" s="32" t="n">
        <v>45273</v>
      </c>
      <c r="C348" s="33" t="n">
        <v>11543</v>
      </c>
      <c r="D348" s="33" t="n">
        <f aca="false">C348-C347</f>
        <v>-270</v>
      </c>
      <c r="E348" s="33" t="n">
        <v>504.4</v>
      </c>
      <c r="F348" s="33" t="n">
        <f aca="false">E348-E347</f>
        <v>-8.70000000000005</v>
      </c>
      <c r="G348" s="33" t="n">
        <v>8.08</v>
      </c>
      <c r="H348" s="33" t="n">
        <f aca="false">G348-G347</f>
        <v>-0.19</v>
      </c>
      <c r="I348" s="33" t="n">
        <v>103</v>
      </c>
      <c r="J348" s="33" t="n">
        <f aca="false">I348-I347</f>
        <v>-12</v>
      </c>
      <c r="K348" s="1" t="s">
        <v>26</v>
      </c>
      <c r="L348" s="1" t="n">
        <f aca="false">MIN($C$336:$C$366)</f>
        <v>1690</v>
      </c>
      <c r="M348" s="1" t="n">
        <f aca="false">MIN($E$336:$E$366)</f>
        <v>80.1</v>
      </c>
      <c r="N348" s="1" t="n">
        <f aca="false">MIN($G$336:$G$366)</f>
        <v>1.18</v>
      </c>
      <c r="O348" s="1" t="n">
        <f aca="false">MIN($I$336:$I$366)</f>
        <v>20</v>
      </c>
    </row>
    <row r="349" customFormat="false" ht="13.8" hidden="false" customHeight="false" outlineLevel="0" collapsed="false">
      <c r="A349" s="1" t="n">
        <v>348</v>
      </c>
      <c r="B349" s="32" t="n">
        <v>45274</v>
      </c>
      <c r="C349" s="33" t="n">
        <v>8233</v>
      </c>
      <c r="D349" s="33" t="n">
        <f aca="false">C349-C348</f>
        <v>-3310</v>
      </c>
      <c r="E349" s="33" t="n">
        <v>366.3</v>
      </c>
      <c r="F349" s="33" t="n">
        <f aca="false">E349-E348</f>
        <v>-138.1</v>
      </c>
      <c r="G349" s="33" t="n">
        <v>5.76</v>
      </c>
      <c r="H349" s="33" t="n">
        <f aca="false">G349-G348</f>
        <v>-2.32</v>
      </c>
      <c r="I349" s="33" t="n">
        <v>88</v>
      </c>
      <c r="J349" s="33" t="n">
        <f aca="false">I349-I348</f>
        <v>-15</v>
      </c>
      <c r="K349" s="1" t="s">
        <v>28</v>
      </c>
      <c r="L349" s="1" t="n">
        <f aca="false">MAX($C$336:$C$366)</f>
        <v>18356</v>
      </c>
      <c r="M349" s="1" t="n">
        <f aca="false">MAX($E$336:$E$366)</f>
        <v>824.4</v>
      </c>
      <c r="N349" s="1" t="n">
        <f aca="false">MAX($G$336:$G$366)</f>
        <v>12.85</v>
      </c>
      <c r="O349" s="1" t="n">
        <f aca="false">MAX($I$336:$I$366)</f>
        <v>166</v>
      </c>
    </row>
    <row r="350" customFormat="false" ht="13.8" hidden="false" customHeight="false" outlineLevel="0" collapsed="false">
      <c r="A350" s="33" t="n">
        <v>349</v>
      </c>
      <c r="B350" s="32" t="n">
        <v>45275</v>
      </c>
      <c r="C350" s="33" t="n">
        <v>1690</v>
      </c>
      <c r="D350" s="33" t="n">
        <f aca="false">C350-C349</f>
        <v>-6543</v>
      </c>
      <c r="E350" s="33" t="n">
        <v>80.1</v>
      </c>
      <c r="F350" s="33" t="n">
        <f aca="false">E350-E349</f>
        <v>-286.2</v>
      </c>
      <c r="G350" s="33" t="n">
        <v>1.18</v>
      </c>
      <c r="H350" s="33" t="n">
        <f aca="false">G350-G349</f>
        <v>-4.58</v>
      </c>
      <c r="I350" s="33" t="n">
        <v>20</v>
      </c>
      <c r="J350" s="33" t="n">
        <f aca="false">I350-I349</f>
        <v>-68</v>
      </c>
      <c r="K350" s="1" t="s">
        <v>30</v>
      </c>
      <c r="L350" s="1" t="n">
        <f aca="false">SUM($C$336:$C$366)</f>
        <v>286173</v>
      </c>
      <c r="M350" s="1" t="n">
        <f aca="false">SUM($E$336:$E$366)</f>
        <v>12726.3</v>
      </c>
      <c r="N350" s="1" t="n">
        <f aca="false">SUM($G$336:$G$366)</f>
        <v>200.32</v>
      </c>
      <c r="O350" s="1" t="n">
        <f aca="false">SUM($I$336:$I$366)</f>
        <v>2592</v>
      </c>
    </row>
    <row r="351" customFormat="false" ht="13.8" hidden="false" customHeight="false" outlineLevel="0" collapsed="false">
      <c r="A351" s="1" t="n">
        <v>350</v>
      </c>
      <c r="B351" s="32" t="n">
        <v>45276</v>
      </c>
      <c r="C351" s="33" t="n">
        <v>8914</v>
      </c>
      <c r="D351" s="33" t="n">
        <f aca="false">C351-C350</f>
        <v>7224</v>
      </c>
      <c r="E351" s="33" t="n">
        <v>408.2</v>
      </c>
      <c r="F351" s="33" t="n">
        <f aca="false">E351-E350</f>
        <v>328.1</v>
      </c>
      <c r="G351" s="33" t="n">
        <v>6.24</v>
      </c>
      <c r="H351" s="33" t="n">
        <f aca="false">G351-G350</f>
        <v>5.06</v>
      </c>
      <c r="I351" s="33" t="n">
        <v>100</v>
      </c>
      <c r="J351" s="33" t="n">
        <f aca="false">I351-I350</f>
        <v>80</v>
      </c>
      <c r="K351" s="1" t="s">
        <v>32</v>
      </c>
      <c r="L351" s="1" t="n">
        <f aca="false">COUNT($C$336:$C$366)</f>
        <v>31</v>
      </c>
      <c r="M351" s="1" t="n">
        <f aca="false">COUNT($E$336:$E$366)</f>
        <v>31</v>
      </c>
      <c r="N351" s="1" t="n">
        <f aca="false">COUNT($G$336:$G$366)</f>
        <v>31</v>
      </c>
      <c r="O351" s="1" t="n">
        <f aca="false">COUNT($I$336:$I$366)</f>
        <v>31</v>
      </c>
    </row>
    <row r="352" customFormat="false" ht="13.8" hidden="false" customHeight="false" outlineLevel="0" collapsed="false">
      <c r="A352" s="33" t="n">
        <v>351</v>
      </c>
      <c r="B352" s="32" t="n">
        <v>45277</v>
      </c>
      <c r="C352" s="33" t="n">
        <v>13058</v>
      </c>
      <c r="D352" s="33" t="n">
        <f aca="false">C352-C351</f>
        <v>4144</v>
      </c>
      <c r="E352" s="33" t="n">
        <v>576.3</v>
      </c>
      <c r="F352" s="33" t="n">
        <f aca="false">E352-E351</f>
        <v>168.1</v>
      </c>
      <c r="G352" s="33" t="n">
        <v>9.14</v>
      </c>
      <c r="H352" s="33" t="n">
        <f aca="false">G352-G351</f>
        <v>2.9</v>
      </c>
      <c r="I352" s="33" t="n">
        <v>135</v>
      </c>
      <c r="J352" s="33" t="n">
        <f aca="false">I352-I351</f>
        <v>35</v>
      </c>
    </row>
    <row r="353" customFormat="false" ht="13.8" hidden="false" customHeight="false" outlineLevel="0" collapsed="false">
      <c r="A353" s="1" t="n">
        <v>352</v>
      </c>
      <c r="B353" s="32" t="n">
        <v>45278</v>
      </c>
      <c r="C353" s="33" t="n">
        <v>9118</v>
      </c>
      <c r="D353" s="33" t="n">
        <f aca="false">C353-C352</f>
        <v>-3940</v>
      </c>
      <c r="E353" s="33" t="n">
        <v>391.2</v>
      </c>
      <c r="F353" s="33" t="n">
        <f aca="false">E353-E352</f>
        <v>-185.1</v>
      </c>
      <c r="G353" s="33" t="n">
        <v>6.38</v>
      </c>
      <c r="H353" s="33" t="n">
        <f aca="false">G353-G352</f>
        <v>-2.76</v>
      </c>
      <c r="I353" s="33" t="n">
        <v>81</v>
      </c>
      <c r="J353" s="33" t="n">
        <f aca="false">I353-I352</f>
        <v>-54</v>
      </c>
    </row>
    <row r="354" customFormat="false" ht="13.8" hidden="false" customHeight="false" outlineLevel="0" collapsed="false">
      <c r="A354" s="33" t="n">
        <v>353</v>
      </c>
      <c r="B354" s="32" t="n">
        <v>45279</v>
      </c>
      <c r="C354" s="33" t="n">
        <v>11468</v>
      </c>
      <c r="D354" s="33" t="n">
        <f aca="false">C354-C353</f>
        <v>2350</v>
      </c>
      <c r="E354" s="33" t="n">
        <v>490.2</v>
      </c>
      <c r="F354" s="33" t="n">
        <f aca="false">E354-E353</f>
        <v>99</v>
      </c>
      <c r="G354" s="33" t="n">
        <v>8.03</v>
      </c>
      <c r="H354" s="33" t="n">
        <f aca="false">G354-G353</f>
        <v>1.65</v>
      </c>
      <c r="I354" s="33" t="n">
        <v>100</v>
      </c>
      <c r="J354" s="33" t="n">
        <f aca="false">I354-I353</f>
        <v>19</v>
      </c>
    </row>
    <row r="355" customFormat="false" ht="13.8" hidden="false" customHeight="false" outlineLevel="0" collapsed="false">
      <c r="A355" s="1" t="n">
        <v>354</v>
      </c>
      <c r="B355" s="32" t="n">
        <v>45280</v>
      </c>
      <c r="C355" s="33" t="n">
        <v>11133</v>
      </c>
      <c r="D355" s="33" t="n">
        <f aca="false">C355-C354</f>
        <v>-335</v>
      </c>
      <c r="E355" s="33" t="n">
        <v>489.4</v>
      </c>
      <c r="F355" s="33" t="n">
        <f aca="false">E355-E354</f>
        <v>-0.800000000000011</v>
      </c>
      <c r="G355" s="33" t="n">
        <v>7.79</v>
      </c>
      <c r="H355" s="33" t="n">
        <f aca="false">G355-G354</f>
        <v>-0.239999999999999</v>
      </c>
      <c r="I355" s="33" t="n">
        <v>102</v>
      </c>
      <c r="J355" s="33" t="n">
        <f aca="false">I355-I354</f>
        <v>2</v>
      </c>
    </row>
    <row r="356" customFormat="false" ht="13.8" hidden="false" customHeight="false" outlineLevel="0" collapsed="false">
      <c r="A356" s="33" t="n">
        <v>355</v>
      </c>
      <c r="B356" s="32" t="n">
        <v>45281</v>
      </c>
      <c r="C356" s="33" t="n">
        <v>6271</v>
      </c>
      <c r="D356" s="33" t="n">
        <f aca="false">C356-C355</f>
        <v>-4862</v>
      </c>
      <c r="E356" s="33" t="n">
        <v>277.3</v>
      </c>
      <c r="F356" s="33" t="n">
        <f aca="false">E356-E355</f>
        <v>-212.1</v>
      </c>
      <c r="G356" s="33" t="n">
        <v>4.39</v>
      </c>
      <c r="H356" s="33" t="n">
        <f aca="false">G356-G355</f>
        <v>-3.4</v>
      </c>
      <c r="I356" s="33" t="n">
        <v>56</v>
      </c>
      <c r="J356" s="33" t="n">
        <f aca="false">I356-I355</f>
        <v>-46</v>
      </c>
    </row>
    <row r="357" customFormat="false" ht="13.8" hidden="false" customHeight="false" outlineLevel="0" collapsed="false">
      <c r="A357" s="1" t="n">
        <v>356</v>
      </c>
      <c r="B357" s="32" t="n">
        <v>45282</v>
      </c>
      <c r="C357" s="33" t="n">
        <v>2580</v>
      </c>
      <c r="D357" s="33" t="n">
        <f aca="false">C357-C356</f>
        <v>-3691</v>
      </c>
      <c r="E357" s="33" t="n">
        <v>111.7</v>
      </c>
      <c r="F357" s="33" t="n">
        <f aca="false">E357-E356</f>
        <v>-165.6</v>
      </c>
      <c r="G357" s="33" t="n">
        <v>1.81</v>
      </c>
      <c r="H357" s="33" t="n">
        <f aca="false">G357-G356</f>
        <v>-2.58</v>
      </c>
      <c r="I357" s="33" t="n">
        <v>25</v>
      </c>
      <c r="J357" s="33" t="n">
        <f aca="false">I357-I356</f>
        <v>-31</v>
      </c>
    </row>
    <row r="358" customFormat="false" ht="13.8" hidden="false" customHeight="false" outlineLevel="0" collapsed="false">
      <c r="A358" s="33" t="n">
        <v>357</v>
      </c>
      <c r="B358" s="32" t="n">
        <v>45283</v>
      </c>
      <c r="C358" s="33" t="n">
        <v>8949</v>
      </c>
      <c r="D358" s="33" t="n">
        <f aca="false">C358-C357</f>
        <v>6369</v>
      </c>
      <c r="E358" s="33" t="n">
        <v>393</v>
      </c>
      <c r="F358" s="33" t="n">
        <f aca="false">E358-E357</f>
        <v>281.3</v>
      </c>
      <c r="G358" s="33" t="n">
        <v>6.26</v>
      </c>
      <c r="H358" s="33" t="n">
        <f aca="false">G358-G357</f>
        <v>4.45</v>
      </c>
      <c r="I358" s="33" t="n">
        <v>93</v>
      </c>
      <c r="J358" s="33" t="n">
        <f aca="false">I358-I357</f>
        <v>68</v>
      </c>
    </row>
    <row r="359" customFormat="false" ht="13.8" hidden="false" customHeight="false" outlineLevel="0" collapsed="false">
      <c r="A359" s="1" t="n">
        <v>358</v>
      </c>
      <c r="B359" s="32" t="n">
        <v>45284</v>
      </c>
      <c r="C359" s="33" t="n">
        <v>18356</v>
      </c>
      <c r="D359" s="33" t="n">
        <f aca="false">C359-C358</f>
        <v>9407</v>
      </c>
      <c r="E359" s="33" t="n">
        <v>824.4</v>
      </c>
      <c r="F359" s="33" t="n">
        <f aca="false">E359-E358</f>
        <v>431.4</v>
      </c>
      <c r="G359" s="33" t="n">
        <v>12.85</v>
      </c>
      <c r="H359" s="33" t="n">
        <f aca="false">G359-G358</f>
        <v>6.59</v>
      </c>
      <c r="I359" s="33" t="n">
        <v>139</v>
      </c>
      <c r="J359" s="33" t="n">
        <f aca="false">I359-I358</f>
        <v>46</v>
      </c>
    </row>
    <row r="360" customFormat="false" ht="13.8" hidden="false" customHeight="false" outlineLevel="0" collapsed="false">
      <c r="A360" s="33" t="n">
        <v>359</v>
      </c>
      <c r="B360" s="32" t="n">
        <v>45285</v>
      </c>
      <c r="C360" s="33" t="n">
        <v>13921</v>
      </c>
      <c r="D360" s="33" t="n">
        <f aca="false">C360-C359</f>
        <v>-4435</v>
      </c>
      <c r="E360" s="33" t="n">
        <v>674.6</v>
      </c>
      <c r="F360" s="33" t="n">
        <f aca="false">E360-E359</f>
        <v>-149.8</v>
      </c>
      <c r="G360" s="33" t="n">
        <v>9.74</v>
      </c>
      <c r="H360" s="33" t="n">
        <f aca="false">G360-G359</f>
        <v>-3.11</v>
      </c>
      <c r="I360" s="33" t="n">
        <v>88</v>
      </c>
      <c r="J360" s="33" t="n">
        <f aca="false">I360-I359</f>
        <v>-51</v>
      </c>
    </row>
    <row r="361" customFormat="false" ht="13.8" hidden="false" customHeight="false" outlineLevel="0" collapsed="false">
      <c r="A361" s="1" t="n">
        <v>360</v>
      </c>
      <c r="B361" s="32" t="n">
        <v>45286</v>
      </c>
      <c r="C361" s="33" t="n">
        <v>8262</v>
      </c>
      <c r="D361" s="33" t="n">
        <f aca="false">C361-C360</f>
        <v>-5659</v>
      </c>
      <c r="E361" s="33" t="n">
        <v>356.4</v>
      </c>
      <c r="F361" s="33" t="n">
        <f aca="false">E361-E360</f>
        <v>-318.2</v>
      </c>
      <c r="G361" s="33" t="n">
        <v>5.78</v>
      </c>
      <c r="H361" s="33" t="n">
        <f aca="false">G361-G360</f>
        <v>-3.96</v>
      </c>
      <c r="I361" s="33" t="n">
        <v>68</v>
      </c>
      <c r="J361" s="33" t="n">
        <f aca="false">I361-I360</f>
        <v>-20</v>
      </c>
    </row>
    <row r="362" customFormat="false" ht="13.8" hidden="false" customHeight="false" outlineLevel="0" collapsed="false">
      <c r="A362" s="33" t="n">
        <v>361</v>
      </c>
      <c r="B362" s="32" t="n">
        <v>45287</v>
      </c>
      <c r="C362" s="33" t="n">
        <v>15924</v>
      </c>
      <c r="D362" s="33" t="n">
        <f aca="false">C362-C361</f>
        <v>7662</v>
      </c>
      <c r="E362" s="33" t="n">
        <v>703.7</v>
      </c>
      <c r="F362" s="33" t="n">
        <f aca="false">E362-E361</f>
        <v>347.3</v>
      </c>
      <c r="G362" s="33" t="n">
        <v>11.15</v>
      </c>
      <c r="H362" s="33" t="n">
        <f aca="false">G362-G361</f>
        <v>5.37</v>
      </c>
      <c r="I362" s="33" t="n">
        <v>166</v>
      </c>
      <c r="J362" s="33" t="n">
        <f aca="false">I362-I361</f>
        <v>98</v>
      </c>
    </row>
    <row r="363" customFormat="false" ht="13.8" hidden="false" customHeight="false" outlineLevel="0" collapsed="false">
      <c r="A363" s="1" t="n">
        <v>362</v>
      </c>
      <c r="B363" s="32" t="n">
        <v>45288</v>
      </c>
      <c r="C363" s="33" t="n">
        <v>14538</v>
      </c>
      <c r="D363" s="33" t="n">
        <f aca="false">C363-C362</f>
        <v>-1386</v>
      </c>
      <c r="E363" s="33" t="n">
        <v>798</v>
      </c>
      <c r="F363" s="33" t="n">
        <f aca="false">E363-E362</f>
        <v>94.3</v>
      </c>
      <c r="G363" s="33" t="n">
        <v>10.18</v>
      </c>
      <c r="H363" s="33" t="n">
        <f aca="false">G363-G362</f>
        <v>-0.970000000000001</v>
      </c>
      <c r="I363" s="33" t="n">
        <v>83</v>
      </c>
      <c r="J363" s="33" t="n">
        <f aca="false">I363-I362</f>
        <v>-83</v>
      </c>
    </row>
    <row r="364" customFormat="false" ht="13.8" hidden="false" customHeight="false" outlineLevel="0" collapsed="false">
      <c r="A364" s="33" t="n">
        <v>363</v>
      </c>
      <c r="B364" s="32" t="n">
        <v>45289</v>
      </c>
      <c r="C364" s="33" t="n">
        <v>8781</v>
      </c>
      <c r="D364" s="33" t="n">
        <f aca="false">C364-C363</f>
        <v>-5757</v>
      </c>
      <c r="E364" s="33" t="n">
        <v>369.5</v>
      </c>
      <c r="F364" s="33" t="n">
        <f aca="false">E364-E363</f>
        <v>-428.5</v>
      </c>
      <c r="G364" s="33" t="n">
        <v>6.15</v>
      </c>
      <c r="H364" s="33" t="n">
        <f aca="false">G364-G363</f>
        <v>-4.03</v>
      </c>
      <c r="I364" s="33" t="n">
        <v>73</v>
      </c>
      <c r="J364" s="33" t="n">
        <f aca="false">I364-I363</f>
        <v>-10</v>
      </c>
    </row>
    <row r="365" customFormat="false" ht="13.8" hidden="false" customHeight="false" outlineLevel="0" collapsed="false">
      <c r="A365" s="1" t="n">
        <v>364</v>
      </c>
      <c r="B365" s="32" t="n">
        <v>45290</v>
      </c>
      <c r="C365" s="33" t="n">
        <v>7553</v>
      </c>
      <c r="D365" s="33" t="n">
        <f aca="false">C365-C364</f>
        <v>-1228</v>
      </c>
      <c r="E365" s="33" t="n">
        <v>337.7</v>
      </c>
      <c r="F365" s="33" t="n">
        <f aca="false">E365-E364</f>
        <v>-31.8</v>
      </c>
      <c r="G365" s="33" t="n">
        <v>5.29</v>
      </c>
      <c r="H365" s="33" t="n">
        <f aca="false">G365-G364</f>
        <v>-0.86</v>
      </c>
      <c r="I365" s="33" t="n">
        <v>81</v>
      </c>
      <c r="J365" s="33" t="n">
        <f aca="false">I365-I364</f>
        <v>8</v>
      </c>
    </row>
    <row r="366" customFormat="false" ht="13.8" hidden="false" customHeight="false" outlineLevel="0" collapsed="false">
      <c r="A366" s="33" t="n">
        <v>365</v>
      </c>
      <c r="B366" s="32" t="n">
        <v>45291</v>
      </c>
      <c r="C366" s="33" t="n">
        <v>12951</v>
      </c>
      <c r="D366" s="33" t="n">
        <f aca="false">C366-C365</f>
        <v>5398</v>
      </c>
      <c r="E366" s="33" t="n">
        <v>553.7</v>
      </c>
      <c r="F366" s="33" t="n">
        <f aca="false">E366-E365</f>
        <v>216</v>
      </c>
      <c r="G366" s="33" t="n">
        <v>9.07</v>
      </c>
      <c r="H366" s="33" t="n">
        <f aca="false">G366-G365</f>
        <v>3.78</v>
      </c>
      <c r="I366" s="33" t="n">
        <v>105</v>
      </c>
      <c r="J366" s="33" t="n">
        <f aca="false">I366-I365</f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4"/>
  <sheetViews>
    <sheetView showFormulas="false" showGridLines="true" showRowColHeaders="true" showZeros="true" rightToLeft="false" tabSelected="false" showOutlineSymbols="true" defaultGridColor="true" view="normal" topLeftCell="B334" colorId="64" zoomScale="100" zoomScaleNormal="100" zoomScalePageLayoutView="100" workbookViewId="0">
      <selection pane="topLeft" activeCell="M347" activeCellId="0" sqref="M347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1" t="s">
        <v>0</v>
      </c>
      <c r="B1" s="32" t="s">
        <v>1</v>
      </c>
      <c r="C1" s="31" t="s">
        <v>2</v>
      </c>
      <c r="D1" s="31" t="s">
        <v>3</v>
      </c>
      <c r="E1" s="31" t="s">
        <v>179</v>
      </c>
      <c r="F1" s="31" t="s">
        <v>174</v>
      </c>
      <c r="G1" s="31" t="s">
        <v>175</v>
      </c>
      <c r="H1" s="31" t="s">
        <v>176</v>
      </c>
      <c r="I1" s="31" t="s">
        <v>177</v>
      </c>
      <c r="J1" s="31" t="s">
        <v>178</v>
      </c>
    </row>
    <row r="2" customFormat="false" ht="13.8" hidden="false" customHeight="false" outlineLevel="0" collapsed="false">
      <c r="A2" s="33" t="n">
        <v>1</v>
      </c>
      <c r="B2" s="32" t="n">
        <v>45292</v>
      </c>
      <c r="C2" s="33" t="n">
        <v>8510</v>
      </c>
      <c r="D2" s="33"/>
      <c r="E2" s="33" t="n">
        <v>376.1</v>
      </c>
      <c r="F2" s="33"/>
      <c r="G2" s="33" t="n">
        <v>5.96</v>
      </c>
      <c r="H2" s="33"/>
      <c r="I2" s="33" t="n">
        <v>105</v>
      </c>
      <c r="J2" s="33"/>
      <c r="L2" s="34" t="s">
        <v>2</v>
      </c>
      <c r="M2" s="34" t="s">
        <v>179</v>
      </c>
      <c r="N2" s="34" t="s">
        <v>175</v>
      </c>
      <c r="O2" s="34" t="s">
        <v>177</v>
      </c>
    </row>
    <row r="3" customFormat="false" ht="13.8" hidden="false" customHeight="false" outlineLevel="0" collapsed="false">
      <c r="A3" s="1" t="n">
        <v>2</v>
      </c>
      <c r="B3" s="32" t="n">
        <v>45293</v>
      </c>
      <c r="C3" s="33" t="n">
        <v>18869</v>
      </c>
      <c r="D3" s="33" t="n">
        <f aca="false">C3-C2</f>
        <v>10359</v>
      </c>
      <c r="E3" s="33" t="n">
        <v>819.4</v>
      </c>
      <c r="F3" s="33" t="n">
        <f aca="false">E3-E2</f>
        <v>443.3</v>
      </c>
      <c r="G3" s="33" t="n">
        <v>13.21</v>
      </c>
      <c r="H3" s="33" t="n">
        <f aca="false">G3-G2</f>
        <v>7.25</v>
      </c>
      <c r="I3" s="33" t="n">
        <v>140</v>
      </c>
      <c r="J3" s="33" t="n">
        <f aca="false">I3-I2</f>
        <v>35</v>
      </c>
      <c r="K3" s="1" t="s">
        <v>8</v>
      </c>
      <c r="L3" s="1" t="n">
        <f aca="false">AVERAGE($C$1:$C$32)</f>
        <v>9647.09677419355</v>
      </c>
      <c r="M3" s="1" t="n">
        <f aca="false">AVERAGE($E$1:$E$32)</f>
        <v>426.91935483871</v>
      </c>
      <c r="N3" s="1" t="n">
        <f aca="false">AVERAGE($G$1:$G$32)</f>
        <v>6.75290322580645</v>
      </c>
      <c r="O3" s="1" t="n">
        <f aca="false">AVERAGE($I$1:$I$32)</f>
        <v>87.1935483870968</v>
      </c>
    </row>
    <row r="4" customFormat="false" ht="13.8" hidden="false" customHeight="false" outlineLevel="0" collapsed="false">
      <c r="A4" s="33" t="n">
        <v>3</v>
      </c>
      <c r="B4" s="32" t="n">
        <v>45294</v>
      </c>
      <c r="C4" s="33" t="n">
        <v>12201</v>
      </c>
      <c r="D4" s="33" t="n">
        <f aca="false">C4-C3</f>
        <v>-6668</v>
      </c>
      <c r="E4" s="33" t="n">
        <v>580.8</v>
      </c>
      <c r="F4" s="33" t="n">
        <f aca="false">E4-E3</f>
        <v>-238.6</v>
      </c>
      <c r="G4" s="33" t="n">
        <v>8.54</v>
      </c>
      <c r="H4" s="33" t="n">
        <f aca="false">G4-G3</f>
        <v>-4.67</v>
      </c>
      <c r="I4" s="33" t="n">
        <v>89</v>
      </c>
      <c r="J4" s="33" t="n">
        <f aca="false">I4-I3</f>
        <v>-51</v>
      </c>
      <c r="K4" s="1" t="s">
        <v>10</v>
      </c>
      <c r="L4" s="1" t="n">
        <f aca="false">SQRT(VAR($C$1:$C$32)/COUNT($C$1:$C$32))</f>
        <v>1028.34977664639</v>
      </c>
      <c r="M4" s="1" t="n">
        <f aca="false">SQRT(VAR($E$1:$E$32)/COUNT($E$1:$E$32))</f>
        <v>45.774967902094</v>
      </c>
      <c r="N4" s="1" t="n">
        <f aca="false">SQRT(VAR($G$1:$G$32)/COUNT($G$1:$G$32))</f>
        <v>0.719954925941027</v>
      </c>
      <c r="O4" s="1" t="n">
        <f aca="false">SQRT(VAR($I$1:$I$32)/COUNT($I$1:$I$32))</f>
        <v>8.09239910927156</v>
      </c>
    </row>
    <row r="5" customFormat="false" ht="13.8" hidden="false" customHeight="false" outlineLevel="0" collapsed="false">
      <c r="A5" s="1" t="n">
        <v>4</v>
      </c>
      <c r="B5" s="32" t="n">
        <v>45295</v>
      </c>
      <c r="C5" s="33" t="n">
        <v>14829</v>
      </c>
      <c r="D5" s="33" t="n">
        <f aca="false">C5-C4</f>
        <v>2628</v>
      </c>
      <c r="E5" s="33" t="n">
        <v>735.7</v>
      </c>
      <c r="F5" s="33" t="n">
        <f aca="false">E5-E4</f>
        <v>154.9</v>
      </c>
      <c r="G5" s="33" t="n">
        <v>10.38</v>
      </c>
      <c r="H5" s="33" t="n">
        <f aca="false">G5-G4</f>
        <v>1.84</v>
      </c>
      <c r="I5" s="33" t="n">
        <v>94</v>
      </c>
      <c r="J5" s="33" t="n">
        <f aca="false">I5-I4</f>
        <v>5</v>
      </c>
      <c r="K5" s="1" t="s">
        <v>14</v>
      </c>
      <c r="L5" s="1" t="e">
        <f aca="false">MODE($C$1:$C$32)</f>
        <v>#VALUE!</v>
      </c>
      <c r="M5" s="1" t="e">
        <f aca="false">MODE($E$1:$E$32)</f>
        <v>#VALUE!</v>
      </c>
      <c r="N5" s="1" t="e">
        <f aca="false">MODE($G$1:$G$32)</f>
        <v>#VALUE!</v>
      </c>
      <c r="O5" s="1" t="n">
        <f aca="false">MODE($I$1:$I$32)</f>
        <v>35</v>
      </c>
    </row>
    <row r="6" customFormat="false" ht="13.8" hidden="false" customHeight="false" outlineLevel="0" collapsed="false">
      <c r="A6" s="33" t="n">
        <v>5</v>
      </c>
      <c r="B6" s="32" t="n">
        <v>45296</v>
      </c>
      <c r="C6" s="33" t="n">
        <v>11969</v>
      </c>
      <c r="D6" s="33" t="n">
        <f aca="false">C6-C5</f>
        <v>-2860</v>
      </c>
      <c r="E6" s="33" t="n">
        <v>512.6</v>
      </c>
      <c r="F6" s="33" t="n">
        <f aca="false">E6-E5</f>
        <v>-223.1</v>
      </c>
      <c r="G6" s="33" t="n">
        <v>8.38</v>
      </c>
      <c r="H6" s="33" t="n">
        <f aca="false">G6-G5</f>
        <v>-2</v>
      </c>
      <c r="I6" s="33" t="n">
        <v>101</v>
      </c>
      <c r="J6" s="33" t="n">
        <f aca="false">I6-I5</f>
        <v>7</v>
      </c>
      <c r="K6" s="1" t="s">
        <v>12</v>
      </c>
      <c r="L6" s="1" t="n">
        <f aca="false">MEDIAN($C$1:$C$32)</f>
        <v>9445</v>
      </c>
      <c r="M6" s="1" t="n">
        <f aca="false">MEDIAN($E$1:$E$32)</f>
        <v>409.3</v>
      </c>
      <c r="N6" s="1" t="n">
        <f aca="false">MEDIAN($G$1:$G$32)</f>
        <v>6.61</v>
      </c>
      <c r="O6" s="1" t="n">
        <f aca="false">MEDIAN($I$1:$I$32)</f>
        <v>94</v>
      </c>
    </row>
    <row r="7" customFormat="false" ht="13.8" hidden="false" customHeight="false" outlineLevel="0" collapsed="false">
      <c r="A7" s="1" t="n">
        <v>6</v>
      </c>
      <c r="B7" s="32" t="n">
        <v>45297</v>
      </c>
      <c r="C7" s="33" t="n">
        <v>13285</v>
      </c>
      <c r="D7" s="33" t="n">
        <f aca="false">C7-C6</f>
        <v>1316</v>
      </c>
      <c r="E7" s="33" t="n">
        <v>564.7</v>
      </c>
      <c r="F7" s="33" t="n">
        <f aca="false">E7-E6</f>
        <v>52.1</v>
      </c>
      <c r="G7" s="33" t="n">
        <v>9.3</v>
      </c>
      <c r="H7" s="33" t="n">
        <f aca="false">G7-G6</f>
        <v>0.92</v>
      </c>
      <c r="I7" s="33" t="n">
        <v>123</v>
      </c>
      <c r="J7" s="33" t="n">
        <f aca="false">I7-I6</f>
        <v>22</v>
      </c>
      <c r="K7" s="1" t="s">
        <v>195</v>
      </c>
      <c r="L7" s="1" t="n">
        <f aca="false">QUARTILE($C$1:$C$32, 1)</f>
        <v>4079.5</v>
      </c>
      <c r="M7" s="1" t="n">
        <f aca="false">QUARTILE($E$1:$E$32, 1)</f>
        <v>184.8</v>
      </c>
      <c r="N7" s="1" t="n">
        <f aca="false">QUARTILE($G$1:$G$32, 1)</f>
        <v>2.855</v>
      </c>
      <c r="O7" s="1" t="n">
        <f aca="false">QUARTILE($I$1:$I$32, 1)</f>
        <v>45</v>
      </c>
    </row>
    <row r="8" customFormat="false" ht="13.8" hidden="false" customHeight="false" outlineLevel="0" collapsed="false">
      <c r="A8" s="33" t="n">
        <v>7</v>
      </c>
      <c r="B8" s="32" t="n">
        <v>45298</v>
      </c>
      <c r="C8" s="33" t="n">
        <v>12059</v>
      </c>
      <c r="D8" s="33" t="n">
        <f aca="false">C8-C7</f>
        <v>-1226</v>
      </c>
      <c r="E8" s="33" t="n">
        <v>504.6</v>
      </c>
      <c r="F8" s="33" t="n">
        <f aca="false">E8-E7</f>
        <v>-60.1</v>
      </c>
      <c r="G8" s="33" t="n">
        <v>8.44</v>
      </c>
      <c r="H8" s="33" t="n">
        <f aca="false">G8-G7</f>
        <v>-0.860000000000001</v>
      </c>
      <c r="I8" s="33" t="n">
        <v>100</v>
      </c>
      <c r="J8" s="33" t="n">
        <f aca="false">I8-I7</f>
        <v>-23</v>
      </c>
      <c r="K8" s="1" t="s">
        <v>181</v>
      </c>
      <c r="L8" s="1" t="n">
        <f aca="false">QUARTILE($C$1:$C$32, 3)</f>
        <v>13791</v>
      </c>
      <c r="M8" s="1" t="n">
        <f aca="false">QUARTILE($E$1:$E$32, 3)</f>
        <v>601.65</v>
      </c>
      <c r="N8" s="1" t="n">
        <f aca="false">QUARTILE($G$1:$G$32, 3)</f>
        <v>9.655</v>
      </c>
      <c r="O8" s="1" t="n">
        <f aca="false">QUARTILE($I$1:$I$32, 3)</f>
        <v>120</v>
      </c>
    </row>
    <row r="9" customFormat="false" ht="13.8" hidden="false" customHeight="false" outlineLevel="0" collapsed="false">
      <c r="A9" s="1" t="n">
        <v>8</v>
      </c>
      <c r="B9" s="32" t="n">
        <v>45299</v>
      </c>
      <c r="C9" s="33" t="n">
        <v>3248</v>
      </c>
      <c r="D9" s="33" t="n">
        <f aca="false">C9-C8</f>
        <v>-8811</v>
      </c>
      <c r="E9" s="33" t="n">
        <v>149.1</v>
      </c>
      <c r="F9" s="33" t="n">
        <f aca="false">E9-E8</f>
        <v>-355.5</v>
      </c>
      <c r="G9" s="33" t="n">
        <v>2.27</v>
      </c>
      <c r="H9" s="33" t="n">
        <f aca="false">G9-G8</f>
        <v>-6.17</v>
      </c>
      <c r="I9" s="33" t="n">
        <v>36</v>
      </c>
      <c r="J9" s="33" t="n">
        <f aca="false">I9-I8</f>
        <v>-64</v>
      </c>
      <c r="K9" s="1" t="s">
        <v>182</v>
      </c>
      <c r="L9" s="1" t="n">
        <f aca="false">VAR($C$1:$C$32)</f>
        <v>32782601.1569893</v>
      </c>
      <c r="M9" s="1" t="n">
        <f aca="false">VAR($E$1:$E$32)</f>
        <v>64955.7782795699</v>
      </c>
      <c r="N9" s="1" t="n">
        <f aca="false">VAR($G$1:$G$32)</f>
        <v>16.0683879569893</v>
      </c>
      <c r="O9" s="1" t="n">
        <f aca="false">VAR($I$1:$I$32)</f>
        <v>2030.09462365591</v>
      </c>
    </row>
    <row r="10" customFormat="false" ht="13.8" hidden="false" customHeight="false" outlineLevel="0" collapsed="false">
      <c r="A10" s="33" t="n">
        <v>9</v>
      </c>
      <c r="B10" s="32" t="n">
        <v>45300</v>
      </c>
      <c r="C10" s="33" t="n">
        <v>3342</v>
      </c>
      <c r="D10" s="33" t="n">
        <f aca="false">C10-C9</f>
        <v>94</v>
      </c>
      <c r="E10" s="33" t="n">
        <v>143.1</v>
      </c>
      <c r="F10" s="33" t="n">
        <f aca="false">E10-E9</f>
        <v>-6</v>
      </c>
      <c r="G10" s="33" t="n">
        <v>2.34</v>
      </c>
      <c r="H10" s="33" t="n">
        <f aca="false">G10-G9</f>
        <v>0.0699999999999998</v>
      </c>
      <c r="I10" s="33" t="n">
        <v>32</v>
      </c>
      <c r="J10" s="33" t="n">
        <f aca="false">I10-I9</f>
        <v>-4</v>
      </c>
      <c r="K10" s="1" t="s">
        <v>16</v>
      </c>
      <c r="L10" s="1" t="n">
        <f aca="false">STDEV($C$1:$C$32)</f>
        <v>5725.609238936</v>
      </c>
      <c r="M10" s="1" t="n">
        <f aca="false">STDEV($E$1:$E$32)</f>
        <v>254.864234994967</v>
      </c>
      <c r="N10" s="1" t="n">
        <f aca="false">STDEV($G$1:$G$32)</f>
        <v>4.00853937949838</v>
      </c>
      <c r="O10" s="1" t="n">
        <f aca="false">STDEV($I$1:$I$32)</f>
        <v>45.0565713703996</v>
      </c>
    </row>
    <row r="11" customFormat="false" ht="13.8" hidden="false" customHeight="false" outlineLevel="0" collapsed="false">
      <c r="A11" s="1" t="n">
        <v>10</v>
      </c>
      <c r="B11" s="32" t="n">
        <v>45301</v>
      </c>
      <c r="C11" s="33" t="n">
        <v>21305</v>
      </c>
      <c r="D11" s="33" t="n">
        <f aca="false">C11-C10</f>
        <v>17963</v>
      </c>
      <c r="E11" s="33" t="n">
        <v>1007.3</v>
      </c>
      <c r="F11" s="33" t="n">
        <f aca="false">E11-E10</f>
        <v>864.2</v>
      </c>
      <c r="G11" s="33" t="n">
        <v>14.91</v>
      </c>
      <c r="H11" s="33" t="n">
        <f aca="false">G11-G10</f>
        <v>12.57</v>
      </c>
      <c r="I11" s="33" t="n">
        <v>149</v>
      </c>
      <c r="J11" s="33" t="n">
        <f aca="false">I11-I10</f>
        <v>117</v>
      </c>
      <c r="K11" s="1" t="s">
        <v>20</v>
      </c>
      <c r="L11" s="1" t="n">
        <f aca="false">KURT($C$1:$C$32)</f>
        <v>-0.744649199743208</v>
      </c>
      <c r="M11" s="1" t="n">
        <f aca="false">KURT($E$1:$E$32)</f>
        <v>-0.486939926866101</v>
      </c>
      <c r="N11" s="1" t="n">
        <f aca="false">KURT($G$1:$G$32)</f>
        <v>-0.745277716906537</v>
      </c>
      <c r="O11" s="1" t="n">
        <f aca="false">KURT($I$1:$I$32)</f>
        <v>-0.890510565479361</v>
      </c>
    </row>
    <row r="12" customFormat="false" ht="13.8" hidden="false" customHeight="false" outlineLevel="0" collapsed="false">
      <c r="A12" s="33" t="n">
        <v>11</v>
      </c>
      <c r="B12" s="32" t="n">
        <v>45302</v>
      </c>
      <c r="C12" s="33" t="n">
        <v>10723</v>
      </c>
      <c r="D12" s="33" t="n">
        <f aca="false">C12-C11</f>
        <v>-10582</v>
      </c>
      <c r="E12" s="33" t="n">
        <v>472.4</v>
      </c>
      <c r="F12" s="33" t="n">
        <f aca="false">E12-E11</f>
        <v>-534.9</v>
      </c>
      <c r="G12" s="33" t="n">
        <v>7.51</v>
      </c>
      <c r="H12" s="33" t="n">
        <f aca="false">G12-G11</f>
        <v>-7.4</v>
      </c>
      <c r="I12" s="33" t="n">
        <v>74</v>
      </c>
      <c r="J12" s="33" t="n">
        <f aca="false">I12-I11</f>
        <v>-75</v>
      </c>
      <c r="K12" s="1" t="s">
        <v>22</v>
      </c>
      <c r="L12" s="1" t="n">
        <f aca="false">SKEW($C$1:$C$32)</f>
        <v>0.274148450918512</v>
      </c>
      <c r="M12" s="1" t="n">
        <f aca="false">SKEW($E$1:$E$32)</f>
        <v>0.397346955214046</v>
      </c>
      <c r="N12" s="1" t="n">
        <f aca="false">SKEW($G$1:$G$32)</f>
        <v>0.273287206544485</v>
      </c>
      <c r="O12" s="1" t="n">
        <f aca="false">SKEW($I$1:$I$32)</f>
        <v>0.064475460639607</v>
      </c>
    </row>
    <row r="13" customFormat="false" ht="13.8" hidden="false" customHeight="false" outlineLevel="0" collapsed="false">
      <c r="A13" s="1" t="n">
        <v>12</v>
      </c>
      <c r="B13" s="32" t="n">
        <v>45303</v>
      </c>
      <c r="C13" s="33" t="n">
        <v>8210</v>
      </c>
      <c r="D13" s="33" t="n">
        <f aca="false">C13-C12</f>
        <v>-2513</v>
      </c>
      <c r="E13" s="33" t="n">
        <v>345.8</v>
      </c>
      <c r="F13" s="33" t="n">
        <f aca="false">E13-E12</f>
        <v>-126.6</v>
      </c>
      <c r="G13" s="33" t="n">
        <v>5.75</v>
      </c>
      <c r="H13" s="33" t="n">
        <f aca="false">G13-G12</f>
        <v>-1.76</v>
      </c>
      <c r="I13" s="33" t="n">
        <v>70</v>
      </c>
      <c r="J13" s="33" t="n">
        <f aca="false">I13-I12</f>
        <v>-4</v>
      </c>
      <c r="K13" s="1" t="s">
        <v>24</v>
      </c>
      <c r="L13" s="1" t="n">
        <f aca="false">MAX($C$1:$C$32)-MIN($C$1:$C$32)</f>
        <v>21073</v>
      </c>
      <c r="M13" s="1" t="n">
        <f aca="false">MAX($E$1:$E$32)-MIN($E$1:$E$32)</f>
        <v>996.4</v>
      </c>
      <c r="N13" s="1" t="n">
        <f aca="false">MAX($G$1:$G$32)-MIN($G$1:$G$32)</f>
        <v>14.75</v>
      </c>
      <c r="O13" s="1" t="n">
        <f aca="false">MAX($I$1:$I$32)-MIN($I$1:$I$32)</f>
        <v>177</v>
      </c>
    </row>
    <row r="14" customFormat="false" ht="13.8" hidden="false" customHeight="false" outlineLevel="0" collapsed="false">
      <c r="A14" s="33" t="n">
        <v>13</v>
      </c>
      <c r="B14" s="32" t="n">
        <v>45304</v>
      </c>
      <c r="C14" s="33" t="n">
        <v>3582</v>
      </c>
      <c r="D14" s="33" t="n">
        <f aca="false">C14-C13</f>
        <v>-4628</v>
      </c>
      <c r="E14" s="33" t="n">
        <v>163.2</v>
      </c>
      <c r="F14" s="33" t="n">
        <f aca="false">E14-E13</f>
        <v>-182.6</v>
      </c>
      <c r="G14" s="33" t="n">
        <v>2.51</v>
      </c>
      <c r="H14" s="33" t="n">
        <f aca="false">G14-G13</f>
        <v>-3.24</v>
      </c>
      <c r="I14" s="33" t="n">
        <v>40</v>
      </c>
      <c r="J14" s="33" t="n">
        <f aca="false">I14-I13</f>
        <v>-30</v>
      </c>
      <c r="K14" s="1" t="s">
        <v>26</v>
      </c>
      <c r="L14" s="1" t="n">
        <f aca="false">MIN($C$1:$C$32)</f>
        <v>232</v>
      </c>
      <c r="M14" s="1" t="n">
        <f aca="false">MIN($E$1:$E$32)</f>
        <v>10.9</v>
      </c>
      <c r="N14" s="1" t="n">
        <f aca="false">MIN($G$1:$G$32)</f>
        <v>0.16</v>
      </c>
      <c r="O14" s="1" t="n">
        <f aca="false">MIN($I$1:$I$32)</f>
        <v>2</v>
      </c>
    </row>
    <row r="15" customFormat="false" ht="13.8" hidden="false" customHeight="false" outlineLevel="0" collapsed="false">
      <c r="A15" s="1" t="n">
        <v>14</v>
      </c>
      <c r="B15" s="32" t="n">
        <v>45305</v>
      </c>
      <c r="C15" s="33" t="n">
        <v>20898</v>
      </c>
      <c r="D15" s="33" t="n">
        <f aca="false">C15-C14</f>
        <v>17316</v>
      </c>
      <c r="E15" s="33" t="n">
        <v>914.7</v>
      </c>
      <c r="F15" s="33" t="n">
        <f aca="false">E15-E14</f>
        <v>751.5</v>
      </c>
      <c r="G15" s="33" t="n">
        <v>14.63</v>
      </c>
      <c r="H15" s="33" t="n">
        <f aca="false">G15-G14</f>
        <v>12.12</v>
      </c>
      <c r="I15" s="33" t="n">
        <v>179</v>
      </c>
      <c r="J15" s="33" t="n">
        <f aca="false">I15-I14</f>
        <v>139</v>
      </c>
      <c r="K15" s="1" t="s">
        <v>28</v>
      </c>
      <c r="L15" s="1" t="n">
        <f aca="false">MAX($C$1:$C$32)</f>
        <v>21305</v>
      </c>
      <c r="M15" s="1" t="n">
        <f aca="false">MAX($E$1:$E$32)</f>
        <v>1007.3</v>
      </c>
      <c r="N15" s="1" t="n">
        <f aca="false">MAX($G$1:$G$32)</f>
        <v>14.91</v>
      </c>
      <c r="O15" s="1" t="n">
        <f aca="false">MAX($I$1:$I$32)</f>
        <v>179</v>
      </c>
    </row>
    <row r="16" customFormat="false" ht="13.8" hidden="false" customHeight="false" outlineLevel="0" collapsed="false">
      <c r="A16" s="33" t="n">
        <v>15</v>
      </c>
      <c r="B16" s="32" t="n">
        <v>45306</v>
      </c>
      <c r="C16" s="33" t="n">
        <v>15008</v>
      </c>
      <c r="D16" s="33" t="n">
        <f aca="false">C16-C15</f>
        <v>-5890</v>
      </c>
      <c r="E16" s="33" t="n">
        <v>645.2</v>
      </c>
      <c r="F16" s="33" t="n">
        <f aca="false">E16-E15</f>
        <v>-269.5</v>
      </c>
      <c r="G16" s="33" t="n">
        <v>10.51</v>
      </c>
      <c r="H16" s="33" t="n">
        <f aca="false">G16-G15</f>
        <v>-4.12</v>
      </c>
      <c r="I16" s="33" t="n">
        <v>135</v>
      </c>
      <c r="J16" s="33" t="n">
        <f aca="false">I16-I15</f>
        <v>-44</v>
      </c>
      <c r="K16" s="1" t="s">
        <v>30</v>
      </c>
      <c r="L16" s="1" t="n">
        <f aca="false">SUM($C$1:$C$32)</f>
        <v>299060</v>
      </c>
      <c r="M16" s="1" t="n">
        <f aca="false">SUM($E$1:$E$32)</f>
        <v>13234.5</v>
      </c>
      <c r="N16" s="1" t="n">
        <f aca="false">SUM($G$1:$G$32)</f>
        <v>209.34</v>
      </c>
      <c r="O16" s="1" t="n">
        <f aca="false">SUM($I$1:$I$32)</f>
        <v>2703</v>
      </c>
    </row>
    <row r="17" customFormat="false" ht="13.8" hidden="false" customHeight="false" outlineLevel="0" collapsed="false">
      <c r="A17" s="1" t="n">
        <v>16</v>
      </c>
      <c r="B17" s="32" t="n">
        <v>45307</v>
      </c>
      <c r="C17" s="33" t="n">
        <v>12268</v>
      </c>
      <c r="D17" s="33" t="n">
        <f aca="false">C17-C16</f>
        <v>-2740</v>
      </c>
      <c r="E17" s="33" t="n">
        <v>521.8</v>
      </c>
      <c r="F17" s="33" t="n">
        <f aca="false">E17-E16</f>
        <v>-123.4</v>
      </c>
      <c r="G17" s="33" t="n">
        <v>8.59</v>
      </c>
      <c r="H17" s="33" t="n">
        <f aca="false">G17-G16</f>
        <v>-1.92</v>
      </c>
      <c r="I17" s="33" t="n">
        <v>117</v>
      </c>
      <c r="J17" s="33" t="n">
        <f aca="false">I17-I16</f>
        <v>-18</v>
      </c>
      <c r="K17" s="1" t="s">
        <v>32</v>
      </c>
      <c r="L17" s="1" t="n">
        <f aca="false">COUNT($C$1:$C$32)</f>
        <v>31</v>
      </c>
      <c r="M17" s="1" t="n">
        <f aca="false">COUNT($E$1:$E$32)</f>
        <v>31</v>
      </c>
      <c r="N17" s="1" t="n">
        <f aca="false">COUNT($G$1:$G$32)</f>
        <v>31</v>
      </c>
      <c r="O17" s="1" t="n">
        <f aca="false">COUNT($I$1:$I$32)</f>
        <v>31</v>
      </c>
    </row>
    <row r="18" customFormat="false" ht="13.8" hidden="false" customHeight="false" outlineLevel="0" collapsed="false">
      <c r="A18" s="33" t="n">
        <v>17</v>
      </c>
      <c r="B18" s="32" t="n">
        <v>45308</v>
      </c>
      <c r="C18" s="33" t="n">
        <v>15032</v>
      </c>
      <c r="D18" s="33" t="n">
        <f aca="false">C18-C17</f>
        <v>2764</v>
      </c>
      <c r="E18" s="33" t="n">
        <v>645.4</v>
      </c>
      <c r="F18" s="33" t="n">
        <f aca="false">E18-E17</f>
        <v>123.6</v>
      </c>
      <c r="G18" s="33" t="n">
        <v>10.52</v>
      </c>
      <c r="H18" s="33" t="n">
        <f aca="false">G18-G17</f>
        <v>1.93</v>
      </c>
      <c r="I18" s="33" t="n">
        <v>147</v>
      </c>
      <c r="J18" s="33" t="n">
        <f aca="false">I18-I17</f>
        <v>30</v>
      </c>
    </row>
    <row r="19" customFormat="false" ht="13.8" hidden="false" customHeight="false" outlineLevel="0" collapsed="false">
      <c r="A19" s="1" t="n">
        <v>18</v>
      </c>
      <c r="B19" s="32" t="n">
        <v>45309</v>
      </c>
      <c r="C19" s="33" t="n">
        <v>9445</v>
      </c>
      <c r="D19" s="33" t="n">
        <f aca="false">C19-C18</f>
        <v>-5587</v>
      </c>
      <c r="E19" s="33" t="n">
        <v>409.3</v>
      </c>
      <c r="F19" s="33" t="n">
        <f aca="false">E19-E18</f>
        <v>-236.1</v>
      </c>
      <c r="G19" s="33" t="n">
        <v>6.61</v>
      </c>
      <c r="H19" s="33" t="n">
        <f aca="false">G19-G18</f>
        <v>-3.91</v>
      </c>
      <c r="I19" s="33" t="n">
        <v>94</v>
      </c>
      <c r="J19" s="33" t="n">
        <f aca="false">I19-I18</f>
        <v>-53</v>
      </c>
    </row>
    <row r="20" customFormat="false" ht="13.8" hidden="false" customHeight="false" outlineLevel="0" collapsed="false">
      <c r="A20" s="33" t="n">
        <v>19</v>
      </c>
      <c r="B20" s="32" t="n">
        <v>45310</v>
      </c>
      <c r="C20" s="33" t="n">
        <v>7205</v>
      </c>
      <c r="D20" s="33" t="n">
        <f aca="false">C20-C19</f>
        <v>-2240</v>
      </c>
      <c r="E20" s="33" t="n">
        <v>321.5</v>
      </c>
      <c r="F20" s="33" t="n">
        <f aca="false">E20-E19</f>
        <v>-87.8</v>
      </c>
      <c r="G20" s="33" t="n">
        <v>5.04</v>
      </c>
      <c r="H20" s="33" t="n">
        <f aca="false">G20-G19</f>
        <v>-1.57</v>
      </c>
      <c r="I20" s="33" t="n">
        <v>77</v>
      </c>
      <c r="J20" s="33" t="n">
        <f aca="false">I20-I19</f>
        <v>-17</v>
      </c>
    </row>
    <row r="21" customFormat="false" ht="13.8" hidden="false" customHeight="false" outlineLevel="0" collapsed="false">
      <c r="A21" s="1" t="n">
        <v>20</v>
      </c>
      <c r="B21" s="32" t="n">
        <v>45311</v>
      </c>
      <c r="C21" s="33" t="n">
        <v>232</v>
      </c>
      <c r="D21" s="33" t="n">
        <f aca="false">C21-C20</f>
        <v>-6973</v>
      </c>
      <c r="E21" s="33" t="n">
        <v>10.9</v>
      </c>
      <c r="F21" s="33" t="n">
        <f aca="false">E21-E20</f>
        <v>-310.6</v>
      </c>
      <c r="G21" s="33" t="n">
        <v>0.16</v>
      </c>
      <c r="H21" s="33" t="n">
        <f aca="false">G21-G20</f>
        <v>-4.88</v>
      </c>
      <c r="I21" s="33" t="n">
        <v>2</v>
      </c>
      <c r="J21" s="33" t="n">
        <f aca="false">I21-I20</f>
        <v>-75</v>
      </c>
    </row>
    <row r="22" customFormat="false" ht="13.8" hidden="false" customHeight="false" outlineLevel="0" collapsed="false">
      <c r="A22" s="33" t="n">
        <v>21</v>
      </c>
      <c r="B22" s="32" t="n">
        <v>45312</v>
      </c>
      <c r="C22" s="33" t="n">
        <v>2021</v>
      </c>
      <c r="D22" s="33" t="n">
        <f aca="false">C22-C21</f>
        <v>1789</v>
      </c>
      <c r="E22" s="33" t="n">
        <v>94.7</v>
      </c>
      <c r="F22" s="33" t="n">
        <f aca="false">E22-E21</f>
        <v>83.8</v>
      </c>
      <c r="G22" s="33" t="n">
        <v>1.41</v>
      </c>
      <c r="H22" s="33" t="n">
        <f aca="false">G22-G21</f>
        <v>1.25</v>
      </c>
      <c r="I22" s="33" t="n">
        <v>24</v>
      </c>
      <c r="J22" s="33" t="n">
        <f aca="false">I22-I21</f>
        <v>22</v>
      </c>
    </row>
    <row r="23" customFormat="false" ht="13.8" hidden="false" customHeight="false" outlineLevel="0" collapsed="false">
      <c r="A23" s="1" t="n">
        <v>22</v>
      </c>
      <c r="B23" s="32" t="n">
        <v>45313</v>
      </c>
      <c r="C23" s="33" t="n">
        <v>6086</v>
      </c>
      <c r="D23" s="33" t="n">
        <f aca="false">C23-C22</f>
        <v>4065</v>
      </c>
      <c r="E23" s="33" t="n">
        <v>275.7</v>
      </c>
      <c r="F23" s="33" t="n">
        <f aca="false">E23-E22</f>
        <v>181</v>
      </c>
      <c r="G23" s="33" t="n">
        <v>4.26</v>
      </c>
      <c r="H23" s="33" t="n">
        <f aca="false">G23-G22</f>
        <v>2.85</v>
      </c>
      <c r="I23" s="33" t="n">
        <v>67</v>
      </c>
      <c r="J23" s="33" t="n">
        <f aca="false">I23-I22</f>
        <v>43</v>
      </c>
    </row>
    <row r="24" customFormat="false" ht="13.8" hidden="false" customHeight="false" outlineLevel="0" collapsed="false">
      <c r="A24" s="33" t="n">
        <v>23</v>
      </c>
      <c r="B24" s="32" t="n">
        <v>45314</v>
      </c>
      <c r="C24" s="33" t="n">
        <v>2921</v>
      </c>
      <c r="D24" s="33" t="n">
        <f aca="false">C24-C23</f>
        <v>-3165</v>
      </c>
      <c r="E24" s="33" t="n">
        <v>138.8</v>
      </c>
      <c r="F24" s="33" t="n">
        <f aca="false">E24-E23</f>
        <v>-136.9</v>
      </c>
      <c r="G24" s="33" t="n">
        <v>2.04</v>
      </c>
      <c r="H24" s="33" t="n">
        <f aca="false">G24-G23</f>
        <v>-2.22</v>
      </c>
      <c r="I24" s="33" t="n">
        <v>35</v>
      </c>
      <c r="J24" s="33" t="n">
        <f aca="false">I24-I23</f>
        <v>-32</v>
      </c>
    </row>
    <row r="25" customFormat="false" ht="13.8" hidden="false" customHeight="false" outlineLevel="0" collapsed="false">
      <c r="A25" s="1" t="n">
        <v>24</v>
      </c>
      <c r="B25" s="32" t="n">
        <v>45315</v>
      </c>
      <c r="C25" s="33" t="n">
        <v>4838</v>
      </c>
      <c r="D25" s="33" t="n">
        <f aca="false">C25-C24</f>
        <v>1917</v>
      </c>
      <c r="E25" s="33" t="n">
        <v>221.7</v>
      </c>
      <c r="F25" s="33" t="n">
        <f aca="false">E25-E24</f>
        <v>82.9</v>
      </c>
      <c r="G25" s="33" t="n">
        <v>3.39</v>
      </c>
      <c r="H25" s="33" t="n">
        <f aca="false">G25-G24</f>
        <v>1.35</v>
      </c>
      <c r="I25" s="33" t="n">
        <v>55</v>
      </c>
      <c r="J25" s="33" t="n">
        <f aca="false">I25-I24</f>
        <v>20</v>
      </c>
    </row>
    <row r="26" customFormat="false" ht="13.8" hidden="false" customHeight="false" outlineLevel="0" collapsed="false">
      <c r="A26" s="33" t="n">
        <v>25</v>
      </c>
      <c r="B26" s="32" t="n">
        <v>45316</v>
      </c>
      <c r="C26" s="33" t="n">
        <v>4118</v>
      </c>
      <c r="D26" s="33" t="n">
        <f aca="false">C26-C25</f>
        <v>-720</v>
      </c>
      <c r="E26" s="33" t="n">
        <v>188.4</v>
      </c>
      <c r="F26" s="33" t="n">
        <f aca="false">E26-E25</f>
        <v>-33.3</v>
      </c>
      <c r="G26" s="33" t="n">
        <v>2.88</v>
      </c>
      <c r="H26" s="33" t="n">
        <f aca="false">G26-G25</f>
        <v>-0.51</v>
      </c>
      <c r="I26" s="33" t="n">
        <v>46</v>
      </c>
      <c r="J26" s="33" t="n">
        <f aca="false">I26-I25</f>
        <v>-9</v>
      </c>
    </row>
    <row r="27" customFormat="false" ht="13.8" hidden="false" customHeight="false" outlineLevel="0" collapsed="false">
      <c r="A27" s="1" t="n">
        <v>26</v>
      </c>
      <c r="B27" s="32" t="n">
        <v>45317</v>
      </c>
      <c r="C27" s="33" t="n">
        <v>2947</v>
      </c>
      <c r="D27" s="33" t="n">
        <f aca="false">C27-C26</f>
        <v>-1171</v>
      </c>
      <c r="E27" s="33" t="n">
        <v>139</v>
      </c>
      <c r="F27" s="33" t="n">
        <f aca="false">E27-E26</f>
        <v>-49.4</v>
      </c>
      <c r="G27" s="33" t="n">
        <v>2.06</v>
      </c>
      <c r="H27" s="33" t="n">
        <f aca="false">G27-G26</f>
        <v>-0.82</v>
      </c>
      <c r="I27" s="33" t="n">
        <v>35</v>
      </c>
      <c r="J27" s="33" t="n">
        <f aca="false">I27-I26</f>
        <v>-11</v>
      </c>
    </row>
    <row r="28" customFormat="false" ht="13.8" hidden="false" customHeight="false" outlineLevel="0" collapsed="false">
      <c r="A28" s="33" t="n">
        <v>27</v>
      </c>
      <c r="B28" s="32" t="n">
        <v>45318</v>
      </c>
      <c r="C28" s="33" t="n">
        <v>14297</v>
      </c>
      <c r="D28" s="33" t="n">
        <f aca="false">C28-C27</f>
        <v>11350</v>
      </c>
      <c r="E28" s="33" t="n">
        <v>623.8</v>
      </c>
      <c r="F28" s="33" t="n">
        <f aca="false">E28-E27</f>
        <v>484.8</v>
      </c>
      <c r="G28" s="33" t="n">
        <v>10.01</v>
      </c>
      <c r="H28" s="33" t="n">
        <f aca="false">G28-G27</f>
        <v>7.95</v>
      </c>
      <c r="I28" s="33" t="n">
        <v>146</v>
      </c>
      <c r="J28" s="33" t="n">
        <f aca="false">I28-I27</f>
        <v>111</v>
      </c>
    </row>
    <row r="29" customFormat="false" ht="13.8" hidden="false" customHeight="false" outlineLevel="0" collapsed="false">
      <c r="A29" s="1" t="n">
        <v>28</v>
      </c>
      <c r="B29" s="32" t="n">
        <v>45319</v>
      </c>
      <c r="C29" s="33" t="n">
        <v>4041</v>
      </c>
      <c r="D29" s="33" t="n">
        <f aca="false">C29-C28</f>
        <v>-10256</v>
      </c>
      <c r="E29" s="33" t="n">
        <v>181.2</v>
      </c>
      <c r="F29" s="33" t="n">
        <f aca="false">E29-E28</f>
        <v>-442.6</v>
      </c>
      <c r="G29" s="33" t="n">
        <v>2.83</v>
      </c>
      <c r="H29" s="33" t="n">
        <f aca="false">G29-G28</f>
        <v>-7.18</v>
      </c>
      <c r="I29" s="33" t="n">
        <v>44</v>
      </c>
      <c r="J29" s="33" t="n">
        <f aca="false">I29-I28</f>
        <v>-102</v>
      </c>
    </row>
    <row r="30" customFormat="false" ht="13.8" hidden="false" customHeight="false" outlineLevel="0" collapsed="false">
      <c r="A30" s="33" t="n">
        <v>29</v>
      </c>
      <c r="B30" s="32" t="n">
        <v>45320</v>
      </c>
      <c r="C30" s="33" t="n">
        <v>9209</v>
      </c>
      <c r="D30" s="33" t="n">
        <f aca="false">C30-C29</f>
        <v>5168</v>
      </c>
      <c r="E30" s="33" t="n">
        <v>406.6</v>
      </c>
      <c r="F30" s="33" t="n">
        <f aca="false">E30-E29</f>
        <v>225.4</v>
      </c>
      <c r="G30" s="33" t="n">
        <v>6.45</v>
      </c>
      <c r="H30" s="33" t="n">
        <f aca="false">G30-G29</f>
        <v>3.62</v>
      </c>
      <c r="I30" s="33" t="n">
        <v>96</v>
      </c>
      <c r="J30" s="33" t="n">
        <f aca="false">I30-I29</f>
        <v>52</v>
      </c>
    </row>
    <row r="31" customFormat="false" ht="13.8" hidden="false" customHeight="false" outlineLevel="0" collapsed="false">
      <c r="A31" s="1" t="n">
        <v>30</v>
      </c>
      <c r="B31" s="32" t="n">
        <v>45321</v>
      </c>
      <c r="C31" s="33" t="n">
        <v>14592</v>
      </c>
      <c r="D31" s="33" t="n">
        <f aca="false">C31-C30</f>
        <v>5383</v>
      </c>
      <c r="E31" s="33" t="n">
        <v>622.5</v>
      </c>
      <c r="F31" s="33" t="n">
        <f aca="false">E31-E30</f>
        <v>215.9</v>
      </c>
      <c r="G31" s="33" t="n">
        <v>10.21</v>
      </c>
      <c r="H31" s="33" t="n">
        <f aca="false">G31-G30</f>
        <v>3.76</v>
      </c>
      <c r="I31" s="33" t="n">
        <v>140</v>
      </c>
      <c r="J31" s="33" t="n">
        <f aca="false">I31-I30</f>
        <v>44</v>
      </c>
    </row>
    <row r="32" customFormat="false" ht="13.8" hidden="false" customHeight="false" outlineLevel="0" collapsed="false">
      <c r="A32" s="33" t="n">
        <v>31</v>
      </c>
      <c r="B32" s="32" t="n">
        <v>45322</v>
      </c>
      <c r="C32" s="33" t="n">
        <v>11770</v>
      </c>
      <c r="D32" s="33" t="n">
        <f aca="false">C32-C31</f>
        <v>-2822</v>
      </c>
      <c r="E32" s="33" t="n">
        <v>498.5</v>
      </c>
      <c r="F32" s="33" t="n">
        <f aca="false">E32-E31</f>
        <v>-124</v>
      </c>
      <c r="G32" s="33" t="n">
        <v>8.24</v>
      </c>
      <c r="H32" s="33" t="n">
        <f aca="false">G32-G31</f>
        <v>-1.97</v>
      </c>
      <c r="I32" s="33" t="n">
        <v>111</v>
      </c>
      <c r="J32" s="33" t="n">
        <f aca="false">I32-I31</f>
        <v>-29</v>
      </c>
    </row>
    <row r="33" customFormat="false" ht="13.8" hidden="false" customHeight="false" outlineLevel="0" collapsed="false">
      <c r="A33" s="1" t="n">
        <v>32</v>
      </c>
      <c r="B33" s="32" t="n">
        <v>45323</v>
      </c>
      <c r="C33" s="33" t="n">
        <v>10201</v>
      </c>
      <c r="D33" s="33" t="n">
        <f aca="false">C33-C32</f>
        <v>-1569</v>
      </c>
      <c r="E33" s="33" t="n">
        <v>448.1</v>
      </c>
      <c r="F33" s="33" t="n">
        <f aca="false">E33-E32</f>
        <v>-50.4</v>
      </c>
      <c r="G33" s="33" t="n">
        <v>7.14</v>
      </c>
      <c r="H33" s="33" t="n">
        <f aca="false">G33-G32</f>
        <v>-1.1</v>
      </c>
      <c r="I33" s="33" t="n">
        <v>106</v>
      </c>
      <c r="J33" s="33" t="n">
        <f aca="false">I33-I32</f>
        <v>-5</v>
      </c>
      <c r="L33" s="34" t="s">
        <v>2</v>
      </c>
      <c r="M33" s="34" t="s">
        <v>179</v>
      </c>
      <c r="N33" s="34" t="s">
        <v>175</v>
      </c>
      <c r="O33" s="34" t="s">
        <v>177</v>
      </c>
    </row>
    <row r="34" customFormat="false" ht="13.8" hidden="false" customHeight="false" outlineLevel="0" collapsed="false">
      <c r="A34" s="33" t="n">
        <v>33</v>
      </c>
      <c r="B34" s="32" t="n">
        <v>45324</v>
      </c>
      <c r="C34" s="33" t="n">
        <v>3121</v>
      </c>
      <c r="D34" s="33" t="n">
        <f aca="false">C34-C33</f>
        <v>-7080</v>
      </c>
      <c r="E34" s="33" t="n">
        <v>142.9</v>
      </c>
      <c r="F34" s="33" t="n">
        <f aca="false">E34-E33</f>
        <v>-305.2</v>
      </c>
      <c r="G34" s="33" t="n">
        <v>2.18</v>
      </c>
      <c r="H34" s="33" t="n">
        <f aca="false">G34-G33</f>
        <v>-4.96</v>
      </c>
      <c r="I34" s="33" t="n">
        <v>35</v>
      </c>
      <c r="J34" s="33" t="n">
        <f aca="false">I34-I33</f>
        <v>-71</v>
      </c>
      <c r="K34" s="1" t="s">
        <v>8</v>
      </c>
      <c r="L34" s="1" t="n">
        <f aca="false">AVERAGE($C$33:$C$61)</f>
        <v>11499.6551724138</v>
      </c>
      <c r="M34" s="1" t="n">
        <f aca="false">AVERAGE($E$33:$E$61)</f>
        <v>497.796551724138</v>
      </c>
      <c r="N34" s="1" t="n">
        <f aca="false">AVERAGE($G$33:$G$61)</f>
        <v>8.04862068965517</v>
      </c>
      <c r="O34" s="1" t="n">
        <f aca="false">AVERAGE($I$33:$I$61)</f>
        <v>113.655172413793</v>
      </c>
    </row>
    <row r="35" customFormat="false" ht="13.8" hidden="false" customHeight="false" outlineLevel="0" collapsed="false">
      <c r="A35" s="1" t="n">
        <v>34</v>
      </c>
      <c r="B35" s="32" t="n">
        <v>45325</v>
      </c>
      <c r="C35" s="33" t="n">
        <v>13359</v>
      </c>
      <c r="D35" s="33" t="n">
        <f aca="false">C35-C34</f>
        <v>10238</v>
      </c>
      <c r="E35" s="33" t="n">
        <v>571.2</v>
      </c>
      <c r="F35" s="33" t="n">
        <f aca="false">E35-E34</f>
        <v>428.3</v>
      </c>
      <c r="G35" s="33" t="n">
        <v>9.35</v>
      </c>
      <c r="H35" s="33" t="n">
        <f aca="false">G35-G34</f>
        <v>7.17</v>
      </c>
      <c r="I35" s="33" t="n">
        <v>128</v>
      </c>
      <c r="J35" s="33" t="n">
        <f aca="false">I35-I34</f>
        <v>93</v>
      </c>
      <c r="K35" s="1" t="s">
        <v>10</v>
      </c>
      <c r="L35" s="1" t="n">
        <f aca="false">SQRT(VAR($C$33:$C$61)/COUNT($C$33:$C$61))</f>
        <v>1122.79314940219</v>
      </c>
      <c r="M35" s="1" t="n">
        <f aca="false">SQRT(VAR($E$33:$E$61)/COUNT($E$33:$E$61))</f>
        <v>48.2160001658073</v>
      </c>
      <c r="N35" s="1" t="n">
        <f aca="false">SQRT(VAR($G$33:$G$61)/COUNT($G$33:$G$61))</f>
        <v>0.786024593201585</v>
      </c>
      <c r="O35" s="1" t="n">
        <f aca="false">SQRT(VAR($I$33:$I$61)/COUNT($I$33:$I$61))</f>
        <v>10.9853547673574</v>
      </c>
    </row>
    <row r="36" customFormat="false" ht="13.8" hidden="false" customHeight="false" outlineLevel="0" collapsed="false">
      <c r="A36" s="33" t="n">
        <v>35</v>
      </c>
      <c r="B36" s="32" t="n">
        <v>45326</v>
      </c>
      <c r="C36" s="33" t="n">
        <v>14848</v>
      </c>
      <c r="D36" s="33" t="n">
        <f aca="false">C36-C35</f>
        <v>1489</v>
      </c>
      <c r="E36" s="33" t="n">
        <v>639.1</v>
      </c>
      <c r="F36" s="33" t="n">
        <f aca="false">E36-E35</f>
        <v>67.9</v>
      </c>
      <c r="G36" s="33" t="n">
        <v>10.39</v>
      </c>
      <c r="H36" s="33" t="n">
        <f aca="false">G36-G35</f>
        <v>1.04</v>
      </c>
      <c r="I36" s="33" t="n">
        <v>145</v>
      </c>
      <c r="J36" s="33" t="n">
        <f aca="false">I36-I35</f>
        <v>17</v>
      </c>
      <c r="K36" s="1" t="s">
        <v>14</v>
      </c>
      <c r="L36" s="1" t="e">
        <f aca="false">MODE($C$33:$C$61)</f>
        <v>#VALUE!</v>
      </c>
      <c r="M36" s="1" t="e">
        <f aca="false">MODE($E$33:$E$61)</f>
        <v>#VALUE!</v>
      </c>
      <c r="N36" s="1" t="e">
        <f aca="false">MODE($G$33:$G$61)</f>
        <v>#VALUE!</v>
      </c>
      <c r="O36" s="1" t="n">
        <f aca="false">MODE($I$33:$I$61)</f>
        <v>53</v>
      </c>
    </row>
    <row r="37" customFormat="false" ht="13.8" hidden="false" customHeight="false" outlineLevel="0" collapsed="false">
      <c r="A37" s="1" t="n">
        <v>36</v>
      </c>
      <c r="B37" s="32" t="n">
        <v>45327</v>
      </c>
      <c r="C37" s="33" t="n">
        <v>8749</v>
      </c>
      <c r="D37" s="33" t="n">
        <f aca="false">C37-C36</f>
        <v>-6099</v>
      </c>
      <c r="E37" s="33" t="n">
        <v>388.2</v>
      </c>
      <c r="F37" s="33" t="n">
        <f aca="false">E37-E36</f>
        <v>-250.9</v>
      </c>
      <c r="G37" s="33" t="n">
        <v>6.12</v>
      </c>
      <c r="H37" s="33" t="n">
        <f aca="false">G37-G36</f>
        <v>-4.27</v>
      </c>
      <c r="I37" s="33" t="n">
        <v>92</v>
      </c>
      <c r="J37" s="33" t="n">
        <f aca="false">I37-I36</f>
        <v>-53</v>
      </c>
      <c r="K37" s="1" t="s">
        <v>12</v>
      </c>
      <c r="L37" s="1" t="n">
        <f aca="false">MEDIAN($C$33:$C$61)</f>
        <v>10763</v>
      </c>
      <c r="M37" s="1" t="n">
        <f aca="false">MEDIAN($E$33:$E$61)</f>
        <v>490.5</v>
      </c>
      <c r="N37" s="1" t="n">
        <f aca="false">MEDIAN($G$33:$G$61)</f>
        <v>7.53</v>
      </c>
      <c r="O37" s="1" t="n">
        <f aca="false">MEDIAN($I$33:$I$61)</f>
        <v>108</v>
      </c>
    </row>
    <row r="38" customFormat="false" ht="13.8" hidden="false" customHeight="false" outlineLevel="0" collapsed="false">
      <c r="A38" s="33" t="n">
        <v>37</v>
      </c>
      <c r="B38" s="32" t="n">
        <v>45328</v>
      </c>
      <c r="C38" s="33" t="n">
        <v>11444</v>
      </c>
      <c r="D38" s="33" t="n">
        <f aca="false">C38-C37</f>
        <v>2695</v>
      </c>
      <c r="E38" s="33" t="n">
        <v>490.5</v>
      </c>
      <c r="F38" s="33" t="n">
        <f aca="false">E38-E37</f>
        <v>102.3</v>
      </c>
      <c r="G38" s="33" t="n">
        <v>8.01</v>
      </c>
      <c r="H38" s="33" t="n">
        <f aca="false">G38-G37</f>
        <v>1.89</v>
      </c>
      <c r="I38" s="33" t="n">
        <v>111</v>
      </c>
      <c r="J38" s="33" t="n">
        <f aca="false">I38-I37</f>
        <v>19</v>
      </c>
      <c r="K38" s="1" t="s">
        <v>195</v>
      </c>
      <c r="L38" s="1" t="n">
        <f aca="false">QUARTILE($C$33:$C$61, 1)</f>
        <v>6541</v>
      </c>
      <c r="M38" s="1" t="n">
        <f aca="false">QUARTILE($E$33:$E$61, 1)</f>
        <v>283.4</v>
      </c>
      <c r="N38" s="1" t="n">
        <f aca="false">QUARTILE($G$33:$G$61, 1)</f>
        <v>4.58</v>
      </c>
      <c r="O38" s="1" t="n">
        <f aca="false">QUARTILE($I$33:$I$61, 1)</f>
        <v>65</v>
      </c>
    </row>
    <row r="39" customFormat="false" ht="13.8" hidden="false" customHeight="false" outlineLevel="0" collapsed="false">
      <c r="A39" s="1" t="n">
        <v>38</v>
      </c>
      <c r="B39" s="32" t="n">
        <v>45329</v>
      </c>
      <c r="C39" s="33" t="n">
        <v>19327</v>
      </c>
      <c r="D39" s="33" t="n">
        <f aca="false">C39-C38</f>
        <v>7883</v>
      </c>
      <c r="E39" s="33" t="n">
        <v>822</v>
      </c>
      <c r="F39" s="33" t="n">
        <f aca="false">E39-E38</f>
        <v>331.5</v>
      </c>
      <c r="G39" s="33" t="n">
        <v>13.53</v>
      </c>
      <c r="H39" s="33" t="n">
        <f aca="false">G39-G38</f>
        <v>5.52</v>
      </c>
      <c r="I39" s="33" t="n">
        <v>184</v>
      </c>
      <c r="J39" s="33" t="n">
        <f aca="false">I39-I38</f>
        <v>73</v>
      </c>
      <c r="K39" s="1" t="s">
        <v>181</v>
      </c>
      <c r="L39" s="1" t="n">
        <f aca="false">QUARTILE($C$33:$C$61, 3)</f>
        <v>14848</v>
      </c>
      <c r="M39" s="1" t="n">
        <f aca="false">QUARTILE($E$33:$E$61, 3)</f>
        <v>631</v>
      </c>
      <c r="N39" s="1" t="n">
        <f aca="false">QUARTILE($G$33:$G$61, 3)</f>
        <v>10.39</v>
      </c>
      <c r="O39" s="1" t="n">
        <f aca="false">QUARTILE($I$33:$I$61, 3)</f>
        <v>140</v>
      </c>
    </row>
    <row r="40" customFormat="false" ht="13.8" hidden="false" customHeight="false" outlineLevel="0" collapsed="false">
      <c r="A40" s="33" t="n">
        <v>39</v>
      </c>
      <c r="B40" s="32" t="n">
        <v>45330</v>
      </c>
      <c r="C40" s="33" t="n">
        <v>16297</v>
      </c>
      <c r="D40" s="33" t="n">
        <f aca="false">C40-C39</f>
        <v>-3030</v>
      </c>
      <c r="E40" s="33" t="n">
        <v>704.3</v>
      </c>
      <c r="F40" s="33" t="n">
        <f aca="false">E40-E39</f>
        <v>-117.7</v>
      </c>
      <c r="G40" s="33" t="n">
        <v>11.41</v>
      </c>
      <c r="H40" s="33" t="n">
        <f aca="false">G40-G39</f>
        <v>-2.12</v>
      </c>
      <c r="I40" s="33" t="n">
        <v>160</v>
      </c>
      <c r="J40" s="33" t="n">
        <f aca="false">I40-I39</f>
        <v>-24</v>
      </c>
      <c r="K40" s="1" t="s">
        <v>182</v>
      </c>
      <c r="L40" s="1" t="n">
        <f aca="false">VAR($C$33:$C$61)</f>
        <v>36559269.2339902</v>
      </c>
      <c r="M40" s="1" t="n">
        <f aca="false">VAR($E$33:$E$61)</f>
        <v>67418.6974876847</v>
      </c>
      <c r="N40" s="1" t="n">
        <f aca="false">VAR($G$33:$G$61)</f>
        <v>17.9172051724138</v>
      </c>
      <c r="O40" s="1" t="n">
        <f aca="false">VAR($I$33:$I$61)</f>
        <v>3499.66256157635</v>
      </c>
    </row>
    <row r="41" customFormat="false" ht="13.8" hidden="false" customHeight="false" outlineLevel="0" collapsed="false">
      <c r="A41" s="1" t="n">
        <v>40</v>
      </c>
      <c r="B41" s="32" t="n">
        <v>45331</v>
      </c>
      <c r="C41" s="33" t="n">
        <v>3956</v>
      </c>
      <c r="D41" s="33" t="n">
        <f aca="false">C41-C40</f>
        <v>-12341</v>
      </c>
      <c r="E41" s="33" t="n">
        <v>186.7</v>
      </c>
      <c r="F41" s="33" t="n">
        <f aca="false">E41-E40</f>
        <v>-517.6</v>
      </c>
      <c r="G41" s="33" t="n">
        <v>2.77</v>
      </c>
      <c r="H41" s="33" t="n">
        <f aca="false">G41-G40</f>
        <v>-8.64</v>
      </c>
      <c r="I41" s="33" t="n">
        <v>47</v>
      </c>
      <c r="J41" s="33" t="n">
        <f aca="false">I41-I40</f>
        <v>-113</v>
      </c>
      <c r="K41" s="1" t="s">
        <v>16</v>
      </c>
      <c r="L41" s="1" t="n">
        <f aca="false">STDEV($C$33:$C$61)</f>
        <v>6046.42615385239</v>
      </c>
      <c r="M41" s="1" t="n">
        <f aca="false">STDEV($E$33:$E$61)</f>
        <v>259.651107233697</v>
      </c>
      <c r="N41" s="1" t="n">
        <f aca="false">STDEV($G$33:$G$61)</f>
        <v>4.23287197685139</v>
      </c>
      <c r="O41" s="1" t="n">
        <f aca="false">STDEV($I$33:$I$61)</f>
        <v>59.1579458870603</v>
      </c>
    </row>
    <row r="42" customFormat="false" ht="13.8" hidden="false" customHeight="false" outlineLevel="0" collapsed="false">
      <c r="A42" s="33" t="n">
        <v>41</v>
      </c>
      <c r="B42" s="32" t="n">
        <v>45332</v>
      </c>
      <c r="C42" s="33" t="n">
        <v>21204</v>
      </c>
      <c r="D42" s="33" t="n">
        <f aca="false">C42-C41</f>
        <v>17248</v>
      </c>
      <c r="E42" s="33" t="n">
        <v>903.8</v>
      </c>
      <c r="F42" s="33" t="n">
        <f aca="false">E42-E41</f>
        <v>717.1</v>
      </c>
      <c r="G42" s="33" t="n">
        <v>14.84</v>
      </c>
      <c r="H42" s="33" t="n">
        <f aca="false">G42-G41</f>
        <v>12.07</v>
      </c>
      <c r="I42" s="33" t="n">
        <v>203</v>
      </c>
      <c r="J42" s="33" t="n">
        <f aca="false">I42-I41</f>
        <v>156</v>
      </c>
      <c r="K42" s="1" t="s">
        <v>20</v>
      </c>
      <c r="L42" s="1" t="n">
        <f aca="false">KURT($C$33:$C$61)</f>
        <v>2.16693478261852</v>
      </c>
      <c r="M42" s="1" t="n">
        <f aca="false">KURT($E$33:$E$61)</f>
        <v>2.68547993368922</v>
      </c>
      <c r="N42" s="1" t="n">
        <f aca="false">KURT($G$33:$G$61)</f>
        <v>2.16879136707068</v>
      </c>
      <c r="O42" s="1" t="n">
        <f aca="false">KURT($I$33:$I$61)</f>
        <v>3.59516508343679</v>
      </c>
    </row>
    <row r="43" customFormat="false" ht="13.8" hidden="false" customHeight="false" outlineLevel="0" collapsed="false">
      <c r="A43" s="1" t="n">
        <v>42</v>
      </c>
      <c r="B43" s="32" t="n">
        <v>45333</v>
      </c>
      <c r="C43" s="33" t="n">
        <v>11674</v>
      </c>
      <c r="D43" s="33" t="n">
        <f aca="false">C43-C42</f>
        <v>-9530</v>
      </c>
      <c r="E43" s="33" t="n">
        <v>493.8</v>
      </c>
      <c r="F43" s="33" t="n">
        <f aca="false">E43-E42</f>
        <v>-410</v>
      </c>
      <c r="G43" s="33" t="n">
        <v>8.17</v>
      </c>
      <c r="H43" s="33" t="n">
        <f aca="false">G43-G42</f>
        <v>-6.67</v>
      </c>
      <c r="I43" s="33" t="n">
        <v>108</v>
      </c>
      <c r="J43" s="33" t="n">
        <f aca="false">I43-I42</f>
        <v>-95</v>
      </c>
      <c r="K43" s="1" t="s">
        <v>22</v>
      </c>
      <c r="L43" s="1" t="n">
        <f aca="false">SKEW($C$33:$C$61)</f>
        <v>1.09836824841941</v>
      </c>
      <c r="M43" s="1" t="n">
        <f aca="false">SKEW($E$33:$E$61)</f>
        <v>1.21335527843324</v>
      </c>
      <c r="N43" s="1" t="n">
        <f aca="false">SKEW($G$33:$G$61)</f>
        <v>1.09877669628727</v>
      </c>
      <c r="O43" s="1" t="n">
        <f aca="false">SKEW($I$33:$I$61)</f>
        <v>1.42112411919262</v>
      </c>
    </row>
    <row r="44" customFormat="false" ht="13.8" hidden="false" customHeight="false" outlineLevel="0" collapsed="false">
      <c r="A44" s="33" t="n">
        <v>43</v>
      </c>
      <c r="B44" s="32" t="n">
        <v>45334</v>
      </c>
      <c r="C44" s="33" t="n">
        <v>13036</v>
      </c>
      <c r="D44" s="33" t="n">
        <f aca="false">C44-C43</f>
        <v>1362</v>
      </c>
      <c r="E44" s="33" t="n">
        <v>561.4</v>
      </c>
      <c r="F44" s="33" t="n">
        <f aca="false">E44-E43</f>
        <v>67.6</v>
      </c>
      <c r="G44" s="33" t="n">
        <v>9.13</v>
      </c>
      <c r="H44" s="33" t="n">
        <f aca="false">G44-G43</f>
        <v>0.960000000000001</v>
      </c>
      <c r="I44" s="33" t="n">
        <v>127</v>
      </c>
      <c r="J44" s="33" t="n">
        <f aca="false">I44-I43</f>
        <v>19</v>
      </c>
      <c r="K44" s="1" t="s">
        <v>24</v>
      </c>
      <c r="L44" s="1" t="n">
        <f aca="false">MAX($C$33:$C$61)-MIN($C$33:$C$61)</f>
        <v>27491</v>
      </c>
      <c r="M44" s="1" t="n">
        <f aca="false">MAX($E$33:$E$61)-MIN($E$33:$E$61)</f>
        <v>1202.5</v>
      </c>
      <c r="N44" s="1" t="n">
        <f aca="false">MAX($G$33:$G$61)-MIN($G$33:$G$61)</f>
        <v>19.25</v>
      </c>
      <c r="O44" s="1" t="n">
        <f aca="false">MAX($I$33:$I$61)-MIN($I$33:$I$61)</f>
        <v>281</v>
      </c>
    </row>
    <row r="45" customFormat="false" ht="13.8" hidden="false" customHeight="false" outlineLevel="0" collapsed="false">
      <c r="A45" s="1" t="n">
        <v>44</v>
      </c>
      <c r="B45" s="32" t="n">
        <v>45335</v>
      </c>
      <c r="C45" s="33" t="n">
        <v>15019</v>
      </c>
      <c r="D45" s="33" t="n">
        <f aca="false">C45-C44</f>
        <v>1983</v>
      </c>
      <c r="E45" s="33" t="n">
        <v>631</v>
      </c>
      <c r="F45" s="33" t="n">
        <f aca="false">E45-E44</f>
        <v>69.6</v>
      </c>
      <c r="G45" s="33" t="n">
        <v>10.51</v>
      </c>
      <c r="H45" s="33" t="n">
        <f aca="false">G45-G44</f>
        <v>1.38</v>
      </c>
      <c r="I45" s="33" t="n">
        <v>137</v>
      </c>
      <c r="J45" s="33" t="n">
        <f aca="false">I45-I44</f>
        <v>10</v>
      </c>
      <c r="K45" s="1" t="s">
        <v>26</v>
      </c>
      <c r="L45" s="1" t="n">
        <f aca="false">MIN($C$33:$C$61)</f>
        <v>3121</v>
      </c>
      <c r="M45" s="1" t="n">
        <f aca="false">MIN($E$33:$E$61)</f>
        <v>142.9</v>
      </c>
      <c r="N45" s="1" t="n">
        <f aca="false">MIN($G$33:$G$61)</f>
        <v>2.18</v>
      </c>
      <c r="O45" s="1" t="n">
        <f aca="false">MIN($I$33:$I$61)</f>
        <v>35</v>
      </c>
    </row>
    <row r="46" customFormat="false" ht="13.8" hidden="false" customHeight="false" outlineLevel="0" collapsed="false">
      <c r="A46" s="33" t="n">
        <v>45</v>
      </c>
      <c r="B46" s="32" t="n">
        <v>45336</v>
      </c>
      <c r="C46" s="33" t="n">
        <v>8549</v>
      </c>
      <c r="D46" s="33" t="n">
        <f aca="false">C46-C45</f>
        <v>-6470</v>
      </c>
      <c r="E46" s="33" t="n">
        <v>366.6</v>
      </c>
      <c r="F46" s="33" t="n">
        <f aca="false">E46-E45</f>
        <v>-264.4</v>
      </c>
      <c r="G46" s="33" t="n">
        <v>5.98</v>
      </c>
      <c r="H46" s="33" t="n">
        <f aca="false">G46-G45</f>
        <v>-4.53</v>
      </c>
      <c r="I46" s="33" t="n">
        <v>83</v>
      </c>
      <c r="J46" s="33" t="n">
        <f aca="false">I46-I45</f>
        <v>-54</v>
      </c>
      <c r="K46" s="1" t="s">
        <v>28</v>
      </c>
      <c r="L46" s="1" t="n">
        <f aca="false">MAX($C$33:$C$61)</f>
        <v>30612</v>
      </c>
      <c r="M46" s="1" t="n">
        <f aca="false">MAX($E$33:$E$61)</f>
        <v>1345.4</v>
      </c>
      <c r="N46" s="1" t="n">
        <f aca="false">MAX($G$33:$G$61)</f>
        <v>21.43</v>
      </c>
      <c r="O46" s="1" t="n">
        <f aca="false">MAX($I$33:$I$61)</f>
        <v>316</v>
      </c>
    </row>
    <row r="47" customFormat="false" ht="13.8" hidden="false" customHeight="false" outlineLevel="0" collapsed="false">
      <c r="A47" s="1" t="n">
        <v>46</v>
      </c>
      <c r="B47" s="32" t="n">
        <v>45337</v>
      </c>
      <c r="C47" s="33" t="n">
        <v>11964</v>
      </c>
      <c r="D47" s="33" t="n">
        <f aca="false">C47-C46</f>
        <v>3415</v>
      </c>
      <c r="E47" s="33" t="n">
        <v>506.1</v>
      </c>
      <c r="F47" s="33" t="n">
        <f aca="false">E47-E46</f>
        <v>139.5</v>
      </c>
      <c r="G47" s="33" t="n">
        <v>8.37</v>
      </c>
      <c r="H47" s="33" t="n">
        <f aca="false">G47-G46</f>
        <v>2.39</v>
      </c>
      <c r="I47" s="33" t="n">
        <v>112</v>
      </c>
      <c r="J47" s="33" t="n">
        <f aca="false">I47-I46</f>
        <v>29</v>
      </c>
      <c r="K47" s="1" t="s">
        <v>30</v>
      </c>
      <c r="L47" s="1" t="n">
        <f aca="false">SUM($C$33:$C$61)</f>
        <v>333490</v>
      </c>
      <c r="M47" s="1" t="n">
        <f aca="false">SUM($E$33:$E$61)</f>
        <v>14436.1</v>
      </c>
      <c r="N47" s="1" t="n">
        <f aca="false">SUM($G$33:$G$61)</f>
        <v>233.41</v>
      </c>
      <c r="O47" s="1" t="n">
        <f aca="false">SUM($I$33:$I$61)</f>
        <v>3296</v>
      </c>
    </row>
    <row r="48" customFormat="false" ht="13.8" hidden="false" customHeight="false" outlineLevel="0" collapsed="false">
      <c r="A48" s="33" t="n">
        <v>47</v>
      </c>
      <c r="B48" s="32" t="n">
        <v>45338</v>
      </c>
      <c r="C48" s="33" t="n">
        <v>5322</v>
      </c>
      <c r="D48" s="33" t="n">
        <f aca="false">C48-C47</f>
        <v>-6642</v>
      </c>
      <c r="E48" s="33" t="n">
        <v>230.2</v>
      </c>
      <c r="F48" s="33" t="n">
        <f aca="false">E48-E47</f>
        <v>-275.9</v>
      </c>
      <c r="G48" s="33" t="n">
        <v>3.73</v>
      </c>
      <c r="H48" s="33" t="n">
        <f aca="false">G48-G47</f>
        <v>-4.64</v>
      </c>
      <c r="I48" s="33" t="n">
        <v>53</v>
      </c>
      <c r="J48" s="33" t="n">
        <f aca="false">I48-I47</f>
        <v>-59</v>
      </c>
      <c r="K48" s="1" t="s">
        <v>32</v>
      </c>
      <c r="L48" s="1" t="n">
        <f aca="false">COUNT($C$33:$C$61)</f>
        <v>29</v>
      </c>
      <c r="M48" s="1" t="n">
        <f aca="false">COUNT($E$33:$E$61)</f>
        <v>29</v>
      </c>
      <c r="N48" s="1" t="n">
        <f aca="false">COUNT($G$33:$G$61)</f>
        <v>29</v>
      </c>
      <c r="O48" s="1" t="n">
        <f aca="false">COUNT($I$33:$I$61)</f>
        <v>29</v>
      </c>
    </row>
    <row r="49" customFormat="false" ht="13.8" hidden="false" customHeight="false" outlineLevel="0" collapsed="false">
      <c r="A49" s="1" t="n">
        <v>48</v>
      </c>
      <c r="B49" s="32" t="n">
        <v>45339</v>
      </c>
      <c r="C49" s="33" t="n">
        <v>16961</v>
      </c>
      <c r="D49" s="33" t="n">
        <f aca="false">C49-C48</f>
        <v>11639</v>
      </c>
      <c r="E49" s="33" t="n">
        <v>711.4</v>
      </c>
      <c r="F49" s="33" t="n">
        <f aca="false">E49-E48</f>
        <v>481.2</v>
      </c>
      <c r="G49" s="33" t="n">
        <v>11.87</v>
      </c>
      <c r="H49" s="33" t="n">
        <f aca="false">G49-G48</f>
        <v>8.14</v>
      </c>
      <c r="I49" s="33" t="n">
        <v>154</v>
      </c>
      <c r="J49" s="33" t="n">
        <f aca="false">I49-I48</f>
        <v>101</v>
      </c>
    </row>
    <row r="50" customFormat="false" ht="13.8" hidden="false" customHeight="false" outlineLevel="0" collapsed="false">
      <c r="A50" s="33" t="n">
        <v>49</v>
      </c>
      <c r="B50" s="32" t="n">
        <v>45340</v>
      </c>
      <c r="C50" s="33" t="n">
        <v>7575</v>
      </c>
      <c r="D50" s="33" t="n">
        <f aca="false">C50-C49</f>
        <v>-9386</v>
      </c>
      <c r="E50" s="33" t="n">
        <v>324.4</v>
      </c>
      <c r="F50" s="33" t="n">
        <f aca="false">E50-E49</f>
        <v>-387</v>
      </c>
      <c r="G50" s="33" t="n">
        <v>5.3</v>
      </c>
      <c r="H50" s="33" t="n">
        <f aca="false">G50-G49</f>
        <v>-6.57</v>
      </c>
      <c r="I50" s="33" t="n">
        <v>73</v>
      </c>
      <c r="J50" s="33" t="n">
        <f aca="false">I50-I49</f>
        <v>-81</v>
      </c>
    </row>
    <row r="51" customFormat="false" ht="13.8" hidden="false" customHeight="false" outlineLevel="0" collapsed="false">
      <c r="A51" s="1" t="n">
        <v>50</v>
      </c>
      <c r="B51" s="32" t="n">
        <v>45341</v>
      </c>
      <c r="C51" s="33" t="n">
        <v>6383</v>
      </c>
      <c r="D51" s="33" t="n">
        <f aca="false">C51-C50</f>
        <v>-1192</v>
      </c>
      <c r="E51" s="33" t="n">
        <v>277.9</v>
      </c>
      <c r="F51" s="33" t="n">
        <f aca="false">E51-E50</f>
        <v>-46.5</v>
      </c>
      <c r="G51" s="33" t="n">
        <v>4.47</v>
      </c>
      <c r="H51" s="33" t="n">
        <f aca="false">G51-G50</f>
        <v>-0.83</v>
      </c>
      <c r="I51" s="33" t="n">
        <v>64</v>
      </c>
      <c r="J51" s="33" t="n">
        <f aca="false">I51-I50</f>
        <v>-9</v>
      </c>
    </row>
    <row r="52" customFormat="false" ht="13.8" hidden="false" customHeight="false" outlineLevel="0" collapsed="false">
      <c r="A52" s="33" t="n">
        <v>51</v>
      </c>
      <c r="B52" s="32" t="n">
        <v>45342</v>
      </c>
      <c r="C52" s="33" t="n">
        <v>10643</v>
      </c>
      <c r="D52" s="33" t="n">
        <f aca="false">C52-C51</f>
        <v>4260</v>
      </c>
      <c r="E52" s="33" t="n">
        <v>459.7</v>
      </c>
      <c r="F52" s="33" t="n">
        <f aca="false">E52-E51</f>
        <v>181.8</v>
      </c>
      <c r="G52" s="33" t="n">
        <v>7.45</v>
      </c>
      <c r="H52" s="33" t="n">
        <f aca="false">G52-G51</f>
        <v>2.98</v>
      </c>
      <c r="I52" s="33" t="n">
        <v>106</v>
      </c>
      <c r="J52" s="33" t="n">
        <f aca="false">I52-I51</f>
        <v>42</v>
      </c>
    </row>
    <row r="53" customFormat="false" ht="13.8" hidden="false" customHeight="false" outlineLevel="0" collapsed="false">
      <c r="A53" s="1" t="n">
        <v>52</v>
      </c>
      <c r="B53" s="32" t="n">
        <v>45343</v>
      </c>
      <c r="C53" s="33" t="n">
        <v>4816</v>
      </c>
      <c r="D53" s="33" t="n">
        <f aca="false">C53-C52</f>
        <v>-5827</v>
      </c>
      <c r="E53" s="33" t="n">
        <v>217.8</v>
      </c>
      <c r="F53" s="33" t="n">
        <f aca="false">E53-E52</f>
        <v>-241.9</v>
      </c>
      <c r="G53" s="33" t="n">
        <v>3.37</v>
      </c>
      <c r="H53" s="33" t="n">
        <f aca="false">G53-G52</f>
        <v>-4.08</v>
      </c>
      <c r="I53" s="33" t="n">
        <v>53</v>
      </c>
      <c r="J53" s="33" t="n">
        <f aca="false">I53-I52</f>
        <v>-53</v>
      </c>
    </row>
    <row r="54" customFormat="false" ht="13.8" hidden="false" customHeight="false" outlineLevel="0" collapsed="false">
      <c r="A54" s="33" t="n">
        <v>53</v>
      </c>
      <c r="B54" s="32" t="n">
        <v>45344</v>
      </c>
      <c r="C54" s="33" t="n">
        <v>3463</v>
      </c>
      <c r="D54" s="33" t="n">
        <f aca="false">C54-C53</f>
        <v>-1353</v>
      </c>
      <c r="E54" s="33" t="n">
        <v>159.8</v>
      </c>
      <c r="F54" s="33" t="n">
        <f aca="false">E54-E53</f>
        <v>-58</v>
      </c>
      <c r="G54" s="33" t="n">
        <v>2.42</v>
      </c>
      <c r="H54" s="33" t="n">
        <f aca="false">G54-G53</f>
        <v>-0.95</v>
      </c>
      <c r="I54" s="33" t="n">
        <v>40</v>
      </c>
      <c r="J54" s="33" t="n">
        <f aca="false">I54-I53</f>
        <v>-13</v>
      </c>
    </row>
    <row r="55" customFormat="false" ht="13.8" hidden="false" customHeight="false" outlineLevel="0" collapsed="false">
      <c r="A55" s="1" t="n">
        <v>54</v>
      </c>
      <c r="B55" s="32" t="n">
        <v>45345</v>
      </c>
      <c r="C55" s="33" t="n">
        <v>6475</v>
      </c>
      <c r="D55" s="33" t="n">
        <f aca="false">C55-C54</f>
        <v>3012</v>
      </c>
      <c r="E55" s="33" t="n">
        <v>278.2</v>
      </c>
      <c r="F55" s="33" t="n">
        <f aca="false">E55-E54</f>
        <v>118.4</v>
      </c>
      <c r="G55" s="33" t="n">
        <v>4.53</v>
      </c>
      <c r="H55" s="33" t="n">
        <f aca="false">G55-G54</f>
        <v>2.11</v>
      </c>
      <c r="I55" s="33" t="n">
        <v>63</v>
      </c>
      <c r="J55" s="33" t="n">
        <f aca="false">I55-I54</f>
        <v>23</v>
      </c>
    </row>
    <row r="56" customFormat="false" ht="13.8" hidden="false" customHeight="false" outlineLevel="0" collapsed="false">
      <c r="A56" s="33" t="n">
        <v>55</v>
      </c>
      <c r="B56" s="32" t="n">
        <v>45346</v>
      </c>
      <c r="C56" s="33" t="n">
        <v>10763</v>
      </c>
      <c r="D56" s="33" t="n">
        <f aca="false">C56-C55</f>
        <v>4288</v>
      </c>
      <c r="E56" s="33" t="n">
        <v>510.2</v>
      </c>
      <c r="F56" s="33" t="n">
        <f aca="false">E56-E55</f>
        <v>232</v>
      </c>
      <c r="G56" s="33" t="n">
        <v>7.53</v>
      </c>
      <c r="H56" s="33" t="n">
        <f aca="false">G56-G55</f>
        <v>3</v>
      </c>
      <c r="I56" s="33" t="n">
        <v>121</v>
      </c>
      <c r="J56" s="33" t="n">
        <f aca="false">I56-I55</f>
        <v>58</v>
      </c>
    </row>
    <row r="57" customFormat="false" ht="13.8" hidden="false" customHeight="false" outlineLevel="0" collapsed="false">
      <c r="A57" s="1" t="n">
        <v>56</v>
      </c>
      <c r="B57" s="32" t="n">
        <v>45347</v>
      </c>
      <c r="C57" s="33" t="n">
        <v>30612</v>
      </c>
      <c r="D57" s="33" t="n">
        <f aca="false">C57-C56</f>
        <v>19849</v>
      </c>
      <c r="E57" s="33" t="n">
        <v>1345.4</v>
      </c>
      <c r="F57" s="33" t="n">
        <f aca="false">E57-E56</f>
        <v>835.2</v>
      </c>
      <c r="G57" s="33" t="n">
        <v>21.43</v>
      </c>
      <c r="H57" s="33" t="n">
        <f aca="false">G57-G56</f>
        <v>13.9</v>
      </c>
      <c r="I57" s="33" t="n">
        <v>316</v>
      </c>
      <c r="J57" s="33" t="n">
        <f aca="false">I57-I56</f>
        <v>195</v>
      </c>
    </row>
    <row r="58" customFormat="false" ht="13.8" hidden="false" customHeight="false" outlineLevel="0" collapsed="false">
      <c r="A58" s="33" t="n">
        <v>57</v>
      </c>
      <c r="B58" s="32" t="n">
        <v>45348</v>
      </c>
      <c r="C58" s="33" t="n">
        <v>6541</v>
      </c>
      <c r="D58" s="33" t="n">
        <f aca="false">C58-C57</f>
        <v>-24071</v>
      </c>
      <c r="E58" s="33" t="n">
        <v>283.4</v>
      </c>
      <c r="F58" s="33" t="n">
        <f aca="false">E58-E57</f>
        <v>-1062</v>
      </c>
      <c r="G58" s="33" t="n">
        <v>4.58</v>
      </c>
      <c r="H58" s="33" t="n">
        <f aca="false">G58-G57</f>
        <v>-16.85</v>
      </c>
      <c r="I58" s="33" t="n">
        <v>65</v>
      </c>
      <c r="J58" s="33" t="n">
        <f aca="false">I58-I57</f>
        <v>-251</v>
      </c>
    </row>
    <row r="59" customFormat="false" ht="13.8" hidden="false" customHeight="false" outlineLevel="0" collapsed="false">
      <c r="A59" s="1" t="n">
        <v>58</v>
      </c>
      <c r="B59" s="32" t="n">
        <v>45349</v>
      </c>
      <c r="C59" s="33" t="n">
        <v>16626</v>
      </c>
      <c r="D59" s="33" t="n">
        <f aca="false">C59-C58</f>
        <v>10085</v>
      </c>
      <c r="E59" s="33" t="n">
        <v>730.8</v>
      </c>
      <c r="F59" s="33" t="n">
        <f aca="false">E59-E58</f>
        <v>447.4</v>
      </c>
      <c r="G59" s="33" t="n">
        <v>11.64</v>
      </c>
      <c r="H59" s="33" t="n">
        <f aca="false">G59-G58</f>
        <v>7.06</v>
      </c>
      <c r="I59" s="33" t="n">
        <v>172</v>
      </c>
      <c r="J59" s="33" t="n">
        <f aca="false">I59-I58</f>
        <v>107</v>
      </c>
    </row>
    <row r="60" customFormat="false" ht="13.8" hidden="false" customHeight="false" outlineLevel="0" collapsed="false">
      <c r="A60" s="33" t="n">
        <v>59</v>
      </c>
      <c r="B60" s="32" t="n">
        <v>45350</v>
      </c>
      <c r="C60" s="33" t="n">
        <v>10313</v>
      </c>
      <c r="D60" s="33" t="n">
        <f aca="false">C60-C59</f>
        <v>-6313</v>
      </c>
      <c r="E60" s="33" t="n">
        <v>438.8</v>
      </c>
      <c r="F60" s="33" t="n">
        <f aca="false">E60-E59</f>
        <v>-292</v>
      </c>
      <c r="G60" s="33" t="n">
        <v>7.22</v>
      </c>
      <c r="H60" s="33" t="n">
        <f aca="false">G60-G59</f>
        <v>-4.42</v>
      </c>
      <c r="I60" s="33" t="n">
        <v>98</v>
      </c>
      <c r="J60" s="33" t="n">
        <f aca="false">I60-I59</f>
        <v>-74</v>
      </c>
    </row>
    <row r="61" customFormat="false" ht="13.8" hidden="false" customHeight="false" outlineLevel="0" collapsed="false">
      <c r="A61" s="1" t="n">
        <v>60</v>
      </c>
      <c r="B61" s="32" t="n">
        <v>45351</v>
      </c>
      <c r="C61" s="33" t="n">
        <v>14249</v>
      </c>
      <c r="D61" s="33" t="n">
        <f aca="false">C61-C60</f>
        <v>3936</v>
      </c>
      <c r="E61" s="33" t="n">
        <v>612.4</v>
      </c>
      <c r="F61" s="33" t="n">
        <f aca="false">E61-E60</f>
        <v>173.6</v>
      </c>
      <c r="G61" s="33" t="n">
        <v>9.97</v>
      </c>
      <c r="H61" s="33" t="n">
        <f aca="false">G61-G60</f>
        <v>2.75</v>
      </c>
      <c r="I61" s="33" t="n">
        <v>140</v>
      </c>
      <c r="J61" s="33" t="n">
        <f aca="false">I61-I60</f>
        <v>42</v>
      </c>
    </row>
    <row r="62" customFormat="false" ht="13.8" hidden="false" customHeight="false" outlineLevel="0" collapsed="false">
      <c r="A62" s="33" t="n">
        <v>61</v>
      </c>
      <c r="B62" s="32" t="n">
        <v>45352</v>
      </c>
      <c r="C62" s="33" t="n">
        <v>3318</v>
      </c>
      <c r="D62" s="33" t="n">
        <f aca="false">C62-C61</f>
        <v>-10931</v>
      </c>
      <c r="E62" s="33" t="n">
        <v>150.2</v>
      </c>
      <c r="F62" s="33" t="n">
        <f aca="false">E62-E61</f>
        <v>-462.2</v>
      </c>
      <c r="G62" s="33" t="n">
        <v>2.32</v>
      </c>
      <c r="H62" s="33" t="n">
        <f aca="false">G62-G61</f>
        <v>-7.65</v>
      </c>
      <c r="I62" s="33" t="n">
        <v>36</v>
      </c>
      <c r="J62" s="33" t="n">
        <f aca="false">I62-I61</f>
        <v>-104</v>
      </c>
      <c r="L62" s="34" t="s">
        <v>2</v>
      </c>
      <c r="M62" s="34" t="s">
        <v>179</v>
      </c>
      <c r="N62" s="34" t="s">
        <v>175</v>
      </c>
      <c r="O62" s="34" t="s">
        <v>177</v>
      </c>
    </row>
    <row r="63" customFormat="false" ht="13.8" hidden="false" customHeight="false" outlineLevel="0" collapsed="false">
      <c r="A63" s="1" t="n">
        <v>62</v>
      </c>
      <c r="B63" s="32" t="n">
        <v>45353</v>
      </c>
      <c r="C63" s="33" t="n">
        <v>1358</v>
      </c>
      <c r="D63" s="33" t="n">
        <f aca="false">C63-C62</f>
        <v>-1960</v>
      </c>
      <c r="E63" s="33" t="n">
        <v>62.6</v>
      </c>
      <c r="F63" s="33" t="n">
        <f aca="false">E63-E62</f>
        <v>-87.6</v>
      </c>
      <c r="G63" s="33" t="n">
        <v>0.95</v>
      </c>
      <c r="H63" s="33" t="n">
        <f aca="false">G63-G62</f>
        <v>-1.37</v>
      </c>
      <c r="I63" s="33" t="n">
        <v>15</v>
      </c>
      <c r="J63" s="33" t="n">
        <f aca="false">I63-I62</f>
        <v>-21</v>
      </c>
      <c r="K63" s="1" t="s">
        <v>8</v>
      </c>
      <c r="L63" s="1" t="n">
        <f aca="false">AVERAGE($C$62:$C$92)</f>
        <v>11090.7419354839</v>
      </c>
      <c r="M63" s="1" t="n">
        <f aca="false">AVERAGE($E$62:$E$92)</f>
        <v>477.609677419355</v>
      </c>
      <c r="N63" s="1" t="n">
        <f aca="false">AVERAGE($G$62:$G$92)</f>
        <v>7.76451612903226</v>
      </c>
      <c r="O63" s="1" t="n">
        <f aca="false">AVERAGE($I$62:$I$92)</f>
        <v>108.612903225806</v>
      </c>
    </row>
    <row r="64" customFormat="false" ht="13.8" hidden="false" customHeight="false" outlineLevel="0" collapsed="false">
      <c r="A64" s="33" t="n">
        <v>63</v>
      </c>
      <c r="B64" s="32" t="n">
        <v>45354</v>
      </c>
      <c r="C64" s="33" t="n">
        <v>18513</v>
      </c>
      <c r="D64" s="33" t="n">
        <f aca="false">C64-C63</f>
        <v>17155</v>
      </c>
      <c r="E64" s="33" t="n">
        <v>813.5</v>
      </c>
      <c r="F64" s="33" t="n">
        <f aca="false">E64-E63</f>
        <v>750.9</v>
      </c>
      <c r="G64" s="33" t="n">
        <v>12.96</v>
      </c>
      <c r="H64" s="33" t="n">
        <f aca="false">G64-G63</f>
        <v>12.01</v>
      </c>
      <c r="I64" s="33" t="n">
        <v>192</v>
      </c>
      <c r="J64" s="33" t="n">
        <f aca="false">I64-I63</f>
        <v>177</v>
      </c>
      <c r="K64" s="1" t="s">
        <v>10</v>
      </c>
      <c r="L64" s="1" t="n">
        <f aca="false">SQRT(VAR($C$62:$C$92)/COUNT($C$62:$C$92))</f>
        <v>1446.50640232722</v>
      </c>
      <c r="M64" s="1" t="n">
        <f aca="false">SQRT(VAR($E$62:$E$92)/COUNT($E$62:$E$92))</f>
        <v>61.7291564847529</v>
      </c>
      <c r="N64" s="1" t="n">
        <f aca="false">SQRT(VAR($G$62:$G$92)/COUNT($G$62:$G$92))</f>
        <v>1.01239488648162</v>
      </c>
      <c r="O64" s="1" t="n">
        <f aca="false">SQRT(VAR($I$62:$I$92)/COUNT($I$62:$I$92))</f>
        <v>13.9497313666935</v>
      </c>
    </row>
    <row r="65" customFormat="false" ht="13.8" hidden="false" customHeight="false" outlineLevel="0" collapsed="false">
      <c r="A65" s="1" t="n">
        <v>64</v>
      </c>
      <c r="B65" s="32" t="n">
        <v>45355</v>
      </c>
      <c r="C65" s="33" t="n">
        <v>17319</v>
      </c>
      <c r="D65" s="33" t="n">
        <f aca="false">C65-C64</f>
        <v>-1194</v>
      </c>
      <c r="E65" s="33" t="n">
        <v>754.9</v>
      </c>
      <c r="F65" s="33" t="n">
        <f aca="false">E65-E64</f>
        <v>-58.6</v>
      </c>
      <c r="G65" s="33" t="n">
        <v>12.12</v>
      </c>
      <c r="H65" s="33" t="n">
        <f aca="false">G65-G64</f>
        <v>-0.840000000000002</v>
      </c>
      <c r="I65" s="33" t="n">
        <v>177</v>
      </c>
      <c r="J65" s="33" t="n">
        <f aca="false">I65-I64</f>
        <v>-15</v>
      </c>
      <c r="K65" s="1" t="s">
        <v>14</v>
      </c>
      <c r="L65" s="1" t="e">
        <f aca="false">MODE($C$62:$C$92)</f>
        <v>#VALUE!</v>
      </c>
      <c r="M65" s="1" t="e">
        <f aca="false">MODE($E$62:$E$92)</f>
        <v>#VALUE!</v>
      </c>
      <c r="N65" s="1" t="n">
        <f aca="false">MODE($G$62:$G$92)</f>
        <v>12.12</v>
      </c>
      <c r="O65" s="1" t="n">
        <f aca="false">MODE($I$62:$I$92)</f>
        <v>15</v>
      </c>
    </row>
    <row r="66" customFormat="false" ht="13.8" hidden="false" customHeight="false" outlineLevel="0" collapsed="false">
      <c r="A66" s="33" t="n">
        <v>65</v>
      </c>
      <c r="B66" s="32" t="n">
        <v>45356</v>
      </c>
      <c r="C66" s="33" t="n">
        <v>3112</v>
      </c>
      <c r="D66" s="33" t="n">
        <f aca="false">C66-C65</f>
        <v>-14207</v>
      </c>
      <c r="E66" s="33" t="n">
        <v>142.1</v>
      </c>
      <c r="F66" s="33" t="n">
        <f aca="false">E66-E65</f>
        <v>-612.8</v>
      </c>
      <c r="G66" s="33" t="n">
        <v>2.18</v>
      </c>
      <c r="H66" s="33" t="n">
        <f aca="false">G66-G65</f>
        <v>-9.94</v>
      </c>
      <c r="I66" s="33" t="n">
        <v>35</v>
      </c>
      <c r="J66" s="33" t="n">
        <f aca="false">I66-I65</f>
        <v>-142</v>
      </c>
      <c r="K66" s="1" t="s">
        <v>12</v>
      </c>
      <c r="L66" s="1" t="n">
        <f aca="false">MEDIAN($C$62:$C$92)</f>
        <v>9331</v>
      </c>
      <c r="M66" s="1" t="n">
        <f aca="false">MEDIAN($E$62:$E$92)</f>
        <v>405.2</v>
      </c>
      <c r="N66" s="1" t="n">
        <f aca="false">MEDIAN($G$62:$G$92)</f>
        <v>6.53</v>
      </c>
      <c r="O66" s="1" t="n">
        <f aca="false">MEDIAN($I$62:$I$92)</f>
        <v>93</v>
      </c>
    </row>
    <row r="67" customFormat="false" ht="13.8" hidden="false" customHeight="false" outlineLevel="0" collapsed="false">
      <c r="A67" s="1" t="n">
        <v>66</v>
      </c>
      <c r="B67" s="32" t="n">
        <v>45357</v>
      </c>
      <c r="C67" s="33" t="n">
        <v>8152</v>
      </c>
      <c r="D67" s="33" t="n">
        <f aca="false">C67-C66</f>
        <v>5040</v>
      </c>
      <c r="E67" s="33" t="n">
        <v>356.1</v>
      </c>
      <c r="F67" s="33" t="n">
        <f aca="false">E67-E66</f>
        <v>214</v>
      </c>
      <c r="G67" s="33" t="n">
        <v>5.71</v>
      </c>
      <c r="H67" s="33" t="n">
        <f aca="false">G67-G66</f>
        <v>3.53</v>
      </c>
      <c r="I67" s="33" t="n">
        <v>82</v>
      </c>
      <c r="J67" s="33" t="n">
        <f aca="false">I67-I66</f>
        <v>47</v>
      </c>
      <c r="K67" s="1" t="s">
        <v>195</v>
      </c>
      <c r="L67" s="1" t="n">
        <f aca="false">QUARTILE($C$62:$C$92, 1)</f>
        <v>4965.5</v>
      </c>
      <c r="M67" s="1" t="n">
        <f aca="false">QUARTILE($E$62:$E$92, 1)</f>
        <v>220.2</v>
      </c>
      <c r="N67" s="1" t="n">
        <f aca="false">QUARTILE($G$62:$G$92, 1)</f>
        <v>3.475</v>
      </c>
      <c r="O67" s="1" t="n">
        <f aca="false">QUARTILE($I$62:$I$92, 1)</f>
        <v>52.5</v>
      </c>
    </row>
    <row r="68" customFormat="false" ht="13.8" hidden="false" customHeight="false" outlineLevel="0" collapsed="false">
      <c r="A68" s="33" t="n">
        <v>67</v>
      </c>
      <c r="B68" s="32" t="n">
        <v>45358</v>
      </c>
      <c r="C68" s="33" t="n">
        <v>4754</v>
      </c>
      <c r="D68" s="33" t="n">
        <f aca="false">C68-C67</f>
        <v>-3398</v>
      </c>
      <c r="E68" s="33" t="n">
        <v>209.4</v>
      </c>
      <c r="F68" s="33" t="n">
        <f aca="false">E68-E67</f>
        <v>-146.7</v>
      </c>
      <c r="G68" s="33" t="n">
        <v>3.33</v>
      </c>
      <c r="H68" s="33" t="n">
        <f aca="false">G68-G67</f>
        <v>-2.38</v>
      </c>
      <c r="I68" s="33" t="n">
        <v>49</v>
      </c>
      <c r="J68" s="33" t="n">
        <f aca="false">I68-I67</f>
        <v>-33</v>
      </c>
      <c r="K68" s="1" t="s">
        <v>181</v>
      </c>
      <c r="L68" s="1" t="n">
        <f aca="false">QUARTILE($C$62:$C$92, 3)</f>
        <v>15441.5</v>
      </c>
      <c r="M68" s="1" t="n">
        <f aca="false">QUARTILE($E$62:$E$92, 3)</f>
        <v>650.8</v>
      </c>
      <c r="N68" s="1" t="n">
        <f aca="false">QUARTILE($G$62:$G$92, 3)</f>
        <v>10.81</v>
      </c>
      <c r="O68" s="1" t="n">
        <f aca="false">QUARTILE($I$62:$I$92, 3)</f>
        <v>146</v>
      </c>
    </row>
    <row r="69" customFormat="false" ht="13.8" hidden="false" customHeight="false" outlineLevel="0" collapsed="false">
      <c r="A69" s="1" t="n">
        <v>68</v>
      </c>
      <c r="B69" s="32" t="n">
        <v>45359</v>
      </c>
      <c r="C69" s="33" t="n">
        <v>5104</v>
      </c>
      <c r="D69" s="33" t="n">
        <f aca="false">C69-C68</f>
        <v>350</v>
      </c>
      <c r="E69" s="33" t="n">
        <v>227.8</v>
      </c>
      <c r="F69" s="33" t="n">
        <f aca="false">E69-E68</f>
        <v>18.4</v>
      </c>
      <c r="G69" s="33" t="n">
        <v>3.57</v>
      </c>
      <c r="H69" s="33" t="n">
        <f aca="false">G69-G68</f>
        <v>0.24</v>
      </c>
      <c r="I69" s="33" t="n">
        <v>55</v>
      </c>
      <c r="J69" s="33" t="n">
        <f aca="false">I69-I68</f>
        <v>6</v>
      </c>
      <c r="K69" s="1" t="s">
        <v>182</v>
      </c>
      <c r="L69" s="1" t="n">
        <f aca="false">VAR($C$62:$C$92)</f>
        <v>64863803.9311828</v>
      </c>
      <c r="M69" s="1" t="n">
        <f aca="false">VAR($E$62:$E$92)</f>
        <v>118125.151569892</v>
      </c>
      <c r="N69" s="1" t="n">
        <f aca="false">VAR($G$62:$G$92)</f>
        <v>31.7732455913978</v>
      </c>
      <c r="O69" s="1" t="n">
        <f aca="false">VAR($I$62:$I$92)</f>
        <v>6032.44516129032</v>
      </c>
    </row>
    <row r="70" customFormat="false" ht="13.8" hidden="false" customHeight="false" outlineLevel="0" collapsed="false">
      <c r="A70" s="33" t="n">
        <v>69</v>
      </c>
      <c r="B70" s="32" t="n">
        <v>45360</v>
      </c>
      <c r="C70" s="33" t="n">
        <v>17321</v>
      </c>
      <c r="D70" s="33" t="n">
        <f aca="false">C70-C69</f>
        <v>12217</v>
      </c>
      <c r="E70" s="33" t="n">
        <v>725.2</v>
      </c>
      <c r="F70" s="33" t="n">
        <f aca="false">E70-E69</f>
        <v>497.4</v>
      </c>
      <c r="G70" s="33" t="n">
        <v>12.12</v>
      </c>
      <c r="H70" s="33" t="n">
        <f aca="false">G70-G69</f>
        <v>8.55</v>
      </c>
      <c r="I70" s="33" t="n">
        <v>156</v>
      </c>
      <c r="J70" s="33" t="n">
        <f aca="false">I70-I69</f>
        <v>101</v>
      </c>
      <c r="K70" s="1" t="s">
        <v>16</v>
      </c>
      <c r="L70" s="1" t="n">
        <f aca="false">STDEV($C$62:$C$92)</f>
        <v>8053.80679748297</v>
      </c>
      <c r="M70" s="1" t="n">
        <f aca="false">STDEV($E$62:$E$92)</f>
        <v>343.693397623365</v>
      </c>
      <c r="N70" s="1" t="n">
        <f aca="false">STDEV($G$62:$G$92)</f>
        <v>5.63677617006369</v>
      </c>
      <c r="O70" s="1" t="n">
        <f aca="false">STDEV($I$62:$I$92)</f>
        <v>77.6688171745284</v>
      </c>
    </row>
    <row r="71" customFormat="false" ht="13.8" hidden="false" customHeight="false" outlineLevel="0" collapsed="false">
      <c r="A71" s="1" t="n">
        <v>70</v>
      </c>
      <c r="B71" s="32" t="n">
        <v>45361</v>
      </c>
      <c r="C71" s="33" t="n">
        <v>33862</v>
      </c>
      <c r="D71" s="33" t="n">
        <f aca="false">C71-C70</f>
        <v>16541</v>
      </c>
      <c r="E71" s="33" t="n">
        <v>1457.8</v>
      </c>
      <c r="F71" s="33" t="n">
        <f aca="false">E71-E70</f>
        <v>732.6</v>
      </c>
      <c r="G71" s="33" t="n">
        <v>23.7</v>
      </c>
      <c r="H71" s="33" t="n">
        <f aca="false">G71-G70</f>
        <v>11.58</v>
      </c>
      <c r="I71" s="33" t="n">
        <v>333</v>
      </c>
      <c r="J71" s="33" t="n">
        <f aca="false">I71-I70</f>
        <v>177</v>
      </c>
      <c r="K71" s="1" t="s">
        <v>20</v>
      </c>
      <c r="L71" s="1" t="n">
        <f aca="false">KURT($C$62:$C$92)</f>
        <v>1.81617618056679</v>
      </c>
      <c r="M71" s="1" t="n">
        <f aca="false">KURT($E$62:$E$92)</f>
        <v>1.90348361549548</v>
      </c>
      <c r="N71" s="1" t="n">
        <f aca="false">KURT($G$62:$G$92)</f>
        <v>1.81558321861718</v>
      </c>
      <c r="O71" s="1" t="n">
        <f aca="false">KURT($I$62:$I$92)</f>
        <v>2.07661705715865</v>
      </c>
    </row>
    <row r="72" customFormat="false" ht="13.8" hidden="false" customHeight="false" outlineLevel="0" collapsed="false">
      <c r="A72" s="33" t="n">
        <v>71</v>
      </c>
      <c r="B72" s="32" t="n">
        <v>45362</v>
      </c>
      <c r="C72" s="33" t="n">
        <v>12096</v>
      </c>
      <c r="D72" s="33" t="n">
        <f aca="false">C72-C71</f>
        <v>-21766</v>
      </c>
      <c r="E72" s="33" t="n">
        <v>514.8</v>
      </c>
      <c r="F72" s="33" t="n">
        <f aca="false">E72-E71</f>
        <v>-943</v>
      </c>
      <c r="G72" s="33" t="n">
        <v>8.47</v>
      </c>
      <c r="H72" s="33" t="n">
        <f aca="false">G72-G71</f>
        <v>-15.23</v>
      </c>
      <c r="I72" s="33" t="n">
        <v>115</v>
      </c>
      <c r="J72" s="33" t="n">
        <f aca="false">I72-I71</f>
        <v>-218</v>
      </c>
      <c r="K72" s="1" t="s">
        <v>22</v>
      </c>
      <c r="L72" s="1" t="n">
        <f aca="false">SKEW($C$62:$C$92)</f>
        <v>1.1965429014771</v>
      </c>
      <c r="M72" s="1" t="n">
        <f aca="false">SKEW($E$62:$E$92)</f>
        <v>1.22318032524721</v>
      </c>
      <c r="N72" s="1" t="n">
        <f aca="false">SKEW($G$62:$G$92)</f>
        <v>1.19590367582888</v>
      </c>
      <c r="O72" s="1" t="n">
        <f aca="false">SKEW($I$62:$I$92)</f>
        <v>1.28126519405045</v>
      </c>
    </row>
    <row r="73" customFormat="false" ht="13.8" hidden="false" customHeight="false" outlineLevel="0" collapsed="false">
      <c r="A73" s="1" t="n">
        <v>72</v>
      </c>
      <c r="B73" s="32" t="n">
        <v>45363</v>
      </c>
      <c r="C73" s="33" t="n">
        <v>12505</v>
      </c>
      <c r="D73" s="33" t="n">
        <f aca="false">C73-C72</f>
        <v>409</v>
      </c>
      <c r="E73" s="33" t="n">
        <v>533.7</v>
      </c>
      <c r="F73" s="33" t="n">
        <f aca="false">E73-E72</f>
        <v>18.9000000000001</v>
      </c>
      <c r="G73" s="33" t="n">
        <v>8.75</v>
      </c>
      <c r="H73" s="33" t="n">
        <f aca="false">G73-G72</f>
        <v>0.279999999999999</v>
      </c>
      <c r="I73" s="33" t="n">
        <v>120</v>
      </c>
      <c r="J73" s="33" t="n">
        <f aca="false">I73-I72</f>
        <v>5</v>
      </c>
      <c r="K73" s="1" t="s">
        <v>24</v>
      </c>
      <c r="L73" s="1" t="n">
        <f aca="false">MAX($C$62:$C$92)-MIN($C$62:$C$92)</f>
        <v>32712</v>
      </c>
      <c r="M73" s="1" t="n">
        <f aca="false">MAX($E$62:$E$92)-MIN($E$62:$E$92)</f>
        <v>1405</v>
      </c>
      <c r="N73" s="1" t="n">
        <f aca="false">MAX($G$62:$G$92)-MIN($G$62:$G$92)</f>
        <v>22.89</v>
      </c>
      <c r="O73" s="1" t="n">
        <f aca="false">MAX($I$62:$I$92)-MIN($I$62:$I$92)</f>
        <v>320</v>
      </c>
    </row>
    <row r="74" customFormat="false" ht="13.8" hidden="false" customHeight="false" outlineLevel="0" collapsed="false">
      <c r="A74" s="33" t="n">
        <v>73</v>
      </c>
      <c r="B74" s="32" t="n">
        <v>45364</v>
      </c>
      <c r="C74" s="33" t="n">
        <v>5805</v>
      </c>
      <c r="D74" s="33" t="n">
        <f aca="false">C74-C73</f>
        <v>-6700</v>
      </c>
      <c r="E74" s="33" t="n">
        <v>251.3</v>
      </c>
      <c r="F74" s="33" t="n">
        <f aca="false">E74-E73</f>
        <v>-282.4</v>
      </c>
      <c r="G74" s="33" t="n">
        <v>4.06</v>
      </c>
      <c r="H74" s="33" t="n">
        <f aca="false">G74-G73</f>
        <v>-4.69</v>
      </c>
      <c r="I74" s="33" t="n">
        <v>57</v>
      </c>
      <c r="J74" s="33" t="n">
        <f aca="false">I74-I73</f>
        <v>-63</v>
      </c>
      <c r="K74" s="1" t="s">
        <v>26</v>
      </c>
      <c r="L74" s="1" t="n">
        <f aca="false">MIN($C$62:$C$92)</f>
        <v>1150</v>
      </c>
      <c r="M74" s="1" t="n">
        <f aca="false">MIN($E$62:$E$92)</f>
        <v>52.8</v>
      </c>
      <c r="N74" s="1" t="n">
        <f aca="false">MIN($G$62:$G$92)</f>
        <v>0.81</v>
      </c>
      <c r="O74" s="1" t="n">
        <f aca="false">MIN($I$62:$I$92)</f>
        <v>13</v>
      </c>
    </row>
    <row r="75" customFormat="false" ht="13.8" hidden="false" customHeight="false" outlineLevel="0" collapsed="false">
      <c r="A75" s="1" t="n">
        <v>74</v>
      </c>
      <c r="B75" s="32" t="n">
        <v>45365</v>
      </c>
      <c r="C75" s="33" t="n">
        <v>1290</v>
      </c>
      <c r="D75" s="33" t="n">
        <f aca="false">C75-C74</f>
        <v>-4515</v>
      </c>
      <c r="E75" s="33" t="n">
        <v>59.9</v>
      </c>
      <c r="F75" s="33" t="n">
        <f aca="false">E75-E74</f>
        <v>-191.4</v>
      </c>
      <c r="G75" s="33" t="n">
        <v>0.9</v>
      </c>
      <c r="H75" s="33" t="n">
        <f aca="false">G75-G74</f>
        <v>-3.16</v>
      </c>
      <c r="I75" s="33" t="n">
        <v>15</v>
      </c>
      <c r="J75" s="33" t="n">
        <f aca="false">I75-I74</f>
        <v>-42</v>
      </c>
      <c r="K75" s="1" t="s">
        <v>28</v>
      </c>
      <c r="L75" s="1" t="n">
        <f aca="false">MAX($C$62:$C$92)</f>
        <v>33862</v>
      </c>
      <c r="M75" s="1" t="n">
        <f aca="false">MAX($E$62:$E$92)</f>
        <v>1457.8</v>
      </c>
      <c r="N75" s="1" t="n">
        <f aca="false">MAX($G$62:$G$92)</f>
        <v>23.7</v>
      </c>
      <c r="O75" s="1" t="n">
        <f aca="false">MAX($I$62:$I$92)</f>
        <v>333</v>
      </c>
    </row>
    <row r="76" customFormat="false" ht="13.8" hidden="false" customHeight="false" outlineLevel="0" collapsed="false">
      <c r="A76" s="33" t="n">
        <v>75</v>
      </c>
      <c r="B76" s="32" t="n">
        <v>45366</v>
      </c>
      <c r="C76" s="33" t="n">
        <v>1887</v>
      </c>
      <c r="D76" s="33" t="n">
        <f aca="false">C76-C75</f>
        <v>597</v>
      </c>
      <c r="E76" s="33" t="n">
        <v>86.5</v>
      </c>
      <c r="F76" s="33" t="n">
        <f aca="false">E76-E75</f>
        <v>26.6</v>
      </c>
      <c r="G76" s="33" t="n">
        <v>1.32</v>
      </c>
      <c r="H76" s="33" t="n">
        <f aca="false">G76-G75</f>
        <v>0.42</v>
      </c>
      <c r="I76" s="33" t="n">
        <v>21</v>
      </c>
      <c r="J76" s="33" t="n">
        <f aca="false">I76-I75</f>
        <v>6</v>
      </c>
      <c r="K76" s="1" t="s">
        <v>30</v>
      </c>
      <c r="L76" s="1" t="n">
        <f aca="false">SUM($C$62:$C$92)</f>
        <v>343813</v>
      </c>
      <c r="M76" s="1" t="n">
        <f aca="false">SUM($E$62:$E$92)</f>
        <v>14805.9</v>
      </c>
      <c r="N76" s="1" t="n">
        <f aca="false">SUM($G$62:$G$92)</f>
        <v>240.7</v>
      </c>
      <c r="O76" s="1" t="n">
        <f aca="false">SUM($I$62:$I$92)</f>
        <v>3367</v>
      </c>
    </row>
    <row r="77" customFormat="false" ht="13.8" hidden="false" customHeight="false" outlineLevel="0" collapsed="false">
      <c r="A77" s="1" t="n">
        <v>76</v>
      </c>
      <c r="B77" s="32" t="n">
        <v>45367</v>
      </c>
      <c r="C77" s="33" t="n">
        <v>1150</v>
      </c>
      <c r="D77" s="33" t="n">
        <f aca="false">C77-C76</f>
        <v>-737</v>
      </c>
      <c r="E77" s="33" t="n">
        <v>52.8</v>
      </c>
      <c r="F77" s="33" t="n">
        <f aca="false">E77-E76</f>
        <v>-33.7</v>
      </c>
      <c r="G77" s="33" t="n">
        <v>0.81</v>
      </c>
      <c r="H77" s="33" t="n">
        <f aca="false">G77-G76</f>
        <v>-0.51</v>
      </c>
      <c r="I77" s="33" t="n">
        <v>13</v>
      </c>
      <c r="J77" s="33" t="n">
        <f aca="false">I77-I76</f>
        <v>-8</v>
      </c>
      <c r="K77" s="1" t="s">
        <v>32</v>
      </c>
      <c r="L77" s="1" t="n">
        <f aca="false">COUNT($C$62:$C$92)</f>
        <v>31</v>
      </c>
      <c r="M77" s="1" t="n">
        <f aca="false">COUNT($E$62:$E$92)</f>
        <v>31</v>
      </c>
      <c r="N77" s="1" t="n">
        <f aca="false">COUNT($G$62:$G$92)</f>
        <v>31</v>
      </c>
      <c r="O77" s="1" t="n">
        <f aca="false">COUNT($I$62:$I$92)</f>
        <v>31</v>
      </c>
    </row>
    <row r="78" customFormat="false" ht="13.8" hidden="false" customHeight="false" outlineLevel="0" collapsed="false">
      <c r="A78" s="33" t="n">
        <v>77</v>
      </c>
      <c r="B78" s="32" t="n">
        <v>45368</v>
      </c>
      <c r="C78" s="33" t="n">
        <v>9331</v>
      </c>
      <c r="D78" s="33" t="n">
        <f aca="false">C78-C77</f>
        <v>8181</v>
      </c>
      <c r="E78" s="33" t="n">
        <v>405.2</v>
      </c>
      <c r="F78" s="33" t="n">
        <f aca="false">E78-E77</f>
        <v>352.4</v>
      </c>
      <c r="G78" s="33" t="n">
        <v>6.53</v>
      </c>
      <c r="H78" s="33" t="n">
        <f aca="false">G78-G77</f>
        <v>5.72</v>
      </c>
      <c r="I78" s="33" t="n">
        <v>94</v>
      </c>
      <c r="J78" s="33" t="n">
        <f aca="false">I78-I77</f>
        <v>81</v>
      </c>
    </row>
    <row r="79" customFormat="false" ht="13.8" hidden="false" customHeight="false" outlineLevel="0" collapsed="false">
      <c r="A79" s="1" t="n">
        <v>78</v>
      </c>
      <c r="B79" s="32" t="n">
        <v>45369</v>
      </c>
      <c r="C79" s="33" t="n">
        <v>15097</v>
      </c>
      <c r="D79" s="33" t="n">
        <f aca="false">C79-C78</f>
        <v>5766</v>
      </c>
      <c r="E79" s="33" t="n">
        <v>640.5</v>
      </c>
      <c r="F79" s="33" t="n">
        <f aca="false">E79-E78</f>
        <v>235.3</v>
      </c>
      <c r="G79" s="33" t="n">
        <v>10.57</v>
      </c>
      <c r="H79" s="33" t="n">
        <f aca="false">G79-G78</f>
        <v>4.04</v>
      </c>
      <c r="I79" s="33" t="n">
        <v>142</v>
      </c>
      <c r="J79" s="33" t="n">
        <f aca="false">I79-I78</f>
        <v>48</v>
      </c>
    </row>
    <row r="80" customFormat="false" ht="13.8" hidden="false" customHeight="false" outlineLevel="0" collapsed="false">
      <c r="A80" s="33" t="n">
        <v>79</v>
      </c>
      <c r="B80" s="32" t="n">
        <v>45370</v>
      </c>
      <c r="C80" s="33" t="n">
        <v>12575</v>
      </c>
      <c r="D80" s="33" t="n">
        <f aca="false">C80-C79</f>
        <v>-2522</v>
      </c>
      <c r="E80" s="33" t="n">
        <v>538.2</v>
      </c>
      <c r="F80" s="33" t="n">
        <f aca="false">E80-E79</f>
        <v>-102.3</v>
      </c>
      <c r="G80" s="33" t="n">
        <v>8.8</v>
      </c>
      <c r="H80" s="33" t="n">
        <f aca="false">G80-G79</f>
        <v>-1.77</v>
      </c>
      <c r="I80" s="33" t="n">
        <v>120</v>
      </c>
      <c r="J80" s="33" t="n">
        <f aca="false">I80-I79</f>
        <v>-22</v>
      </c>
    </row>
    <row r="81" customFormat="false" ht="13.8" hidden="false" customHeight="false" outlineLevel="0" collapsed="false">
      <c r="A81" s="1" t="n">
        <v>80</v>
      </c>
      <c r="B81" s="32" t="n">
        <v>45371</v>
      </c>
      <c r="C81" s="33" t="n">
        <v>8653</v>
      </c>
      <c r="D81" s="33" t="n">
        <f aca="false">C81-C80</f>
        <v>-3922</v>
      </c>
      <c r="E81" s="33" t="n">
        <v>374.5</v>
      </c>
      <c r="F81" s="33" t="n">
        <f aca="false">E81-E80</f>
        <v>-163.7</v>
      </c>
      <c r="G81" s="33" t="n">
        <v>6.06</v>
      </c>
      <c r="H81" s="33" t="n">
        <f aca="false">G81-G80</f>
        <v>-2.74</v>
      </c>
      <c r="I81" s="33" t="n">
        <v>86</v>
      </c>
      <c r="J81" s="33" t="n">
        <f aca="false">I81-I80</f>
        <v>-34</v>
      </c>
    </row>
    <row r="82" customFormat="false" ht="13.8" hidden="false" customHeight="false" outlineLevel="0" collapsed="false">
      <c r="A82" s="33" t="n">
        <v>81</v>
      </c>
      <c r="B82" s="32" t="n">
        <v>45372</v>
      </c>
      <c r="C82" s="33" t="n">
        <v>8521</v>
      </c>
      <c r="D82" s="33" t="n">
        <f aca="false">C82-C81</f>
        <v>-132</v>
      </c>
      <c r="E82" s="33" t="n">
        <v>364.8</v>
      </c>
      <c r="F82" s="33" t="n">
        <f aca="false">E82-E81</f>
        <v>-9.69999999999999</v>
      </c>
      <c r="G82" s="33" t="n">
        <v>6.01</v>
      </c>
      <c r="H82" s="33" t="n">
        <f aca="false">G82-G81</f>
        <v>-0.0499999999999998</v>
      </c>
      <c r="I82" s="33" t="n">
        <v>81</v>
      </c>
      <c r="J82" s="33" t="n">
        <f aca="false">I82-I81</f>
        <v>-5</v>
      </c>
    </row>
    <row r="83" customFormat="false" ht="13.8" hidden="false" customHeight="false" outlineLevel="0" collapsed="false">
      <c r="A83" s="1" t="n">
        <v>82</v>
      </c>
      <c r="B83" s="32" t="n">
        <v>45373</v>
      </c>
      <c r="C83" s="33" t="n">
        <v>15786</v>
      </c>
      <c r="D83" s="33" t="n">
        <f aca="false">C83-C82</f>
        <v>7265</v>
      </c>
      <c r="E83" s="33" t="n">
        <v>661.1</v>
      </c>
      <c r="F83" s="33" t="n">
        <f aca="false">E83-E82</f>
        <v>296.3</v>
      </c>
      <c r="G83" s="33" t="n">
        <v>11.05</v>
      </c>
      <c r="H83" s="33" t="n">
        <f aca="false">G83-G82</f>
        <v>5.04</v>
      </c>
      <c r="I83" s="33" t="n">
        <v>142</v>
      </c>
      <c r="J83" s="33" t="n">
        <f aca="false">I83-I82</f>
        <v>61</v>
      </c>
    </row>
    <row r="84" customFormat="false" ht="13.8" hidden="false" customHeight="false" outlineLevel="0" collapsed="false">
      <c r="A84" s="33" t="n">
        <v>83</v>
      </c>
      <c r="B84" s="32" t="n">
        <v>45374</v>
      </c>
      <c r="C84" s="33" t="n">
        <v>15913</v>
      </c>
      <c r="D84" s="33" t="n">
        <f aca="false">C84-C83</f>
        <v>127</v>
      </c>
      <c r="E84" s="33" t="n">
        <v>692.2</v>
      </c>
      <c r="F84" s="33" t="n">
        <f aca="false">E84-E83</f>
        <v>31.1</v>
      </c>
      <c r="G84" s="33" t="n">
        <v>11.14</v>
      </c>
      <c r="H84" s="33" t="n">
        <f aca="false">G84-G83</f>
        <v>0.0899999999999999</v>
      </c>
      <c r="I84" s="33" t="n">
        <v>161</v>
      </c>
      <c r="J84" s="33" t="n">
        <f aca="false">I84-I83</f>
        <v>19</v>
      </c>
    </row>
    <row r="85" customFormat="false" ht="13.8" hidden="false" customHeight="false" outlineLevel="0" collapsed="false">
      <c r="A85" s="1" t="n">
        <v>84</v>
      </c>
      <c r="B85" s="32" t="n">
        <v>45375</v>
      </c>
      <c r="C85" s="33" t="n">
        <v>19484</v>
      </c>
      <c r="D85" s="33" t="n">
        <f aca="false">C85-C84</f>
        <v>3571</v>
      </c>
      <c r="E85" s="33" t="n">
        <v>823.7</v>
      </c>
      <c r="F85" s="33" t="n">
        <f aca="false">E85-E84</f>
        <v>131.5</v>
      </c>
      <c r="G85" s="33" t="n">
        <v>13.64</v>
      </c>
      <c r="H85" s="33" t="n">
        <f aca="false">G85-G84</f>
        <v>2.5</v>
      </c>
      <c r="I85" s="33" t="n">
        <v>181</v>
      </c>
      <c r="J85" s="33" t="n">
        <f aca="false">I85-I84</f>
        <v>20</v>
      </c>
    </row>
    <row r="86" customFormat="false" ht="13.8" hidden="false" customHeight="false" outlineLevel="0" collapsed="false">
      <c r="A86" s="33" t="n">
        <v>85</v>
      </c>
      <c r="B86" s="32" t="n">
        <v>45376</v>
      </c>
      <c r="C86" s="33" t="n">
        <v>4827</v>
      </c>
      <c r="D86" s="33" t="n">
        <f aca="false">C86-C85</f>
        <v>-14657</v>
      </c>
      <c r="E86" s="33" t="n">
        <v>212.6</v>
      </c>
      <c r="F86" s="33" t="n">
        <f aca="false">E86-E85</f>
        <v>-611.1</v>
      </c>
      <c r="G86" s="33" t="n">
        <v>3.38</v>
      </c>
      <c r="H86" s="33" t="n">
        <f aca="false">G86-G85</f>
        <v>-10.26</v>
      </c>
      <c r="I86" s="33" t="n">
        <v>50</v>
      </c>
      <c r="J86" s="33" t="n">
        <f aca="false">I86-I85</f>
        <v>-131</v>
      </c>
    </row>
    <row r="87" customFormat="false" ht="13.8" hidden="false" customHeight="false" outlineLevel="0" collapsed="false">
      <c r="A87" s="1" t="n">
        <v>86</v>
      </c>
      <c r="B87" s="32" t="n">
        <v>45377</v>
      </c>
      <c r="C87" s="33" t="n">
        <v>9609</v>
      </c>
      <c r="D87" s="33" t="n">
        <f aca="false">C87-C86</f>
        <v>4782</v>
      </c>
      <c r="E87" s="33" t="n">
        <v>411.4</v>
      </c>
      <c r="F87" s="33" t="n">
        <f aca="false">E87-E86</f>
        <v>198.8</v>
      </c>
      <c r="G87" s="33" t="n">
        <v>6.73</v>
      </c>
      <c r="H87" s="33" t="n">
        <f aca="false">G87-G86</f>
        <v>3.35</v>
      </c>
      <c r="I87" s="33" t="n">
        <v>93</v>
      </c>
      <c r="J87" s="33" t="n">
        <f aca="false">I87-I86</f>
        <v>43</v>
      </c>
    </row>
    <row r="88" customFormat="false" ht="13.8" hidden="false" customHeight="false" outlineLevel="0" collapsed="false">
      <c r="A88" s="33" t="n">
        <v>87</v>
      </c>
      <c r="B88" s="32" t="n">
        <v>45378</v>
      </c>
      <c r="C88" s="33" t="n">
        <v>8463</v>
      </c>
      <c r="D88" s="33" t="n">
        <f aca="false">C88-C87</f>
        <v>-1146</v>
      </c>
      <c r="E88" s="33" t="n">
        <v>364.2</v>
      </c>
      <c r="F88" s="33" t="n">
        <f aca="false">E88-E87</f>
        <v>-47.2</v>
      </c>
      <c r="G88" s="33" t="n">
        <v>5.92</v>
      </c>
      <c r="H88" s="33" t="n">
        <f aca="false">G88-G87</f>
        <v>-0.810000000000001</v>
      </c>
      <c r="I88" s="33" t="n">
        <v>83</v>
      </c>
      <c r="J88" s="33" t="n">
        <f aca="false">I88-I87</f>
        <v>-10</v>
      </c>
    </row>
    <row r="89" customFormat="false" ht="13.8" hidden="false" customHeight="false" outlineLevel="0" collapsed="false">
      <c r="A89" s="1" t="n">
        <v>88</v>
      </c>
      <c r="B89" s="32" t="n">
        <v>45379</v>
      </c>
      <c r="C89" s="33" t="n">
        <v>13875</v>
      </c>
      <c r="D89" s="33" t="n">
        <f aca="false">C89-C88</f>
        <v>5412</v>
      </c>
      <c r="E89" s="33" t="n">
        <v>583.9</v>
      </c>
      <c r="F89" s="33" t="n">
        <f aca="false">E89-E88</f>
        <v>219.7</v>
      </c>
      <c r="G89" s="33" t="n">
        <v>9.71</v>
      </c>
      <c r="H89" s="33" t="n">
        <f aca="false">G89-G88</f>
        <v>3.79</v>
      </c>
      <c r="I89" s="33" t="n">
        <v>127</v>
      </c>
      <c r="J89" s="33" t="n">
        <f aca="false">I89-I88</f>
        <v>44</v>
      </c>
    </row>
    <row r="90" customFormat="false" ht="13.8" hidden="false" customHeight="false" outlineLevel="0" collapsed="false">
      <c r="A90" s="33" t="n">
        <v>89</v>
      </c>
      <c r="B90" s="32" t="n">
        <v>45380</v>
      </c>
      <c r="C90" s="33" t="n">
        <v>7307</v>
      </c>
      <c r="D90" s="33" t="n">
        <f aca="false">C90-C89</f>
        <v>-6568</v>
      </c>
      <c r="E90" s="33" t="n">
        <v>314.7</v>
      </c>
      <c r="F90" s="33" t="n">
        <f aca="false">E90-E89</f>
        <v>-269.2</v>
      </c>
      <c r="G90" s="33" t="n">
        <v>5.11</v>
      </c>
      <c r="H90" s="33" t="n">
        <f aca="false">G90-G89</f>
        <v>-4.6</v>
      </c>
      <c r="I90" s="33" t="n">
        <v>72</v>
      </c>
      <c r="J90" s="33" t="n">
        <f aca="false">I90-I89</f>
        <v>-55</v>
      </c>
    </row>
    <row r="91" customFormat="false" ht="13.8" hidden="false" customHeight="false" outlineLevel="0" collapsed="false">
      <c r="A91" s="1" t="n">
        <v>90</v>
      </c>
      <c r="B91" s="32" t="n">
        <v>45381</v>
      </c>
      <c r="C91" s="33" t="n">
        <v>14553</v>
      </c>
      <c r="D91" s="33" t="n">
        <f aca="false">C91-C90</f>
        <v>7246</v>
      </c>
      <c r="E91" s="33" t="n">
        <v>638.4</v>
      </c>
      <c r="F91" s="33" t="n">
        <f aca="false">E91-E90</f>
        <v>323.7</v>
      </c>
      <c r="G91" s="33" t="n">
        <v>10.19</v>
      </c>
      <c r="H91" s="33" t="n">
        <f aca="false">G91-G90</f>
        <v>5.08</v>
      </c>
      <c r="I91" s="33" t="n">
        <v>150</v>
      </c>
      <c r="J91" s="33" t="n">
        <f aca="false">I91-I90</f>
        <v>78</v>
      </c>
    </row>
    <row r="92" customFormat="false" ht="13.8" hidden="false" customHeight="false" outlineLevel="0" collapsed="false">
      <c r="A92" s="33" t="n">
        <v>91</v>
      </c>
      <c r="B92" s="32" t="n">
        <v>45382</v>
      </c>
      <c r="C92" s="33" t="n">
        <v>32273</v>
      </c>
      <c r="D92" s="33" t="n">
        <f aca="false">C92-C91</f>
        <v>17720</v>
      </c>
      <c r="E92" s="33" t="n">
        <v>1381.9</v>
      </c>
      <c r="F92" s="33" t="n">
        <f aca="false">E92-E91</f>
        <v>743.5</v>
      </c>
      <c r="G92" s="33" t="n">
        <v>22.59</v>
      </c>
      <c r="H92" s="33" t="n">
        <f aca="false">G92-G91</f>
        <v>12.4</v>
      </c>
      <c r="I92" s="33" t="n">
        <v>314</v>
      </c>
      <c r="J92" s="33" t="n">
        <f aca="false">I92-I91</f>
        <v>164</v>
      </c>
    </row>
    <row r="93" customFormat="false" ht="13.8" hidden="false" customHeight="false" outlineLevel="0" collapsed="false">
      <c r="A93" s="1" t="n">
        <v>92</v>
      </c>
      <c r="B93" s="32" t="n">
        <v>45383</v>
      </c>
      <c r="C93" s="33" t="n">
        <v>19096</v>
      </c>
      <c r="D93" s="33" t="n">
        <f aca="false">C93-C92</f>
        <v>-13177</v>
      </c>
      <c r="E93" s="33" t="n">
        <v>809.7</v>
      </c>
      <c r="F93" s="33" t="n">
        <f aca="false">E93-E92</f>
        <v>-572.2</v>
      </c>
      <c r="G93" s="33" t="n">
        <v>13.37</v>
      </c>
      <c r="H93" s="33" t="n">
        <f aca="false">G93-G92</f>
        <v>-9.22</v>
      </c>
      <c r="I93" s="33" t="n">
        <v>180</v>
      </c>
      <c r="J93" s="33" t="n">
        <f aca="false">I93-I92</f>
        <v>-134</v>
      </c>
      <c r="L93" s="34" t="s">
        <v>2</v>
      </c>
      <c r="M93" s="34" t="s">
        <v>179</v>
      </c>
      <c r="N93" s="34" t="s">
        <v>175</v>
      </c>
      <c r="O93" s="34" t="s">
        <v>177</v>
      </c>
    </row>
    <row r="94" customFormat="false" ht="13.8" hidden="false" customHeight="false" outlineLevel="0" collapsed="false">
      <c r="A94" s="33" t="n">
        <v>93</v>
      </c>
      <c r="B94" s="32" t="n">
        <v>45384</v>
      </c>
      <c r="C94" s="33" t="n">
        <v>20551</v>
      </c>
      <c r="D94" s="33" t="n">
        <f aca="false">C94-C93</f>
        <v>1455</v>
      </c>
      <c r="E94" s="33" t="n">
        <v>860.9</v>
      </c>
      <c r="F94" s="33" t="n">
        <f aca="false">E94-E93</f>
        <v>51.1999999999999</v>
      </c>
      <c r="G94" s="33" t="n">
        <v>14.39</v>
      </c>
      <c r="H94" s="33" t="n">
        <f aca="false">G94-G93</f>
        <v>1.02</v>
      </c>
      <c r="I94" s="33" t="n">
        <v>187</v>
      </c>
      <c r="J94" s="33" t="n">
        <f aca="false">I94-I93</f>
        <v>7</v>
      </c>
      <c r="K94" s="1" t="s">
        <v>8</v>
      </c>
      <c r="L94" s="1" t="n">
        <f aca="false">AVERAGE($C$93:$C$122)</f>
        <v>14704.9333333333</v>
      </c>
      <c r="M94" s="1" t="n">
        <f aca="false">AVERAGE($E$93:$E$122)</f>
        <v>626.366666666667</v>
      </c>
      <c r="N94" s="1" t="n">
        <f aca="false">AVERAGE($G$93:$G$122)</f>
        <v>10.2933333333333</v>
      </c>
      <c r="O94" s="1" t="n">
        <f aca="false">AVERAGE($I$93:$I$122)</f>
        <v>140.5</v>
      </c>
    </row>
    <row r="95" customFormat="false" ht="13.8" hidden="false" customHeight="false" outlineLevel="0" collapsed="false">
      <c r="A95" s="1" t="n">
        <v>94</v>
      </c>
      <c r="B95" s="32" t="n">
        <v>45385</v>
      </c>
      <c r="C95" s="33" t="n">
        <v>19617</v>
      </c>
      <c r="D95" s="33" t="n">
        <f aca="false">C95-C94</f>
        <v>-934</v>
      </c>
      <c r="E95" s="33" t="n">
        <v>824.4</v>
      </c>
      <c r="F95" s="33" t="n">
        <f aca="false">E95-E94</f>
        <v>-36.5</v>
      </c>
      <c r="G95" s="33" t="n">
        <v>13.73</v>
      </c>
      <c r="H95" s="33" t="n">
        <f aca="false">G95-G94</f>
        <v>-0.66</v>
      </c>
      <c r="I95" s="33" t="n">
        <v>179</v>
      </c>
      <c r="J95" s="33" t="n">
        <f aca="false">I95-I94</f>
        <v>-8</v>
      </c>
      <c r="K95" s="1" t="s">
        <v>10</v>
      </c>
      <c r="L95" s="1" t="n">
        <f aca="false">SQRT(VAR($C$93:$C$122)/COUNT($C$93:$C$122))</f>
        <v>983.077875954683</v>
      </c>
      <c r="M95" s="1" t="n">
        <f aca="false">SQRT(VAR($E$93:$E$122)/COUNT($E$93:$E$122))</f>
        <v>42.3929939812856</v>
      </c>
      <c r="N95" s="1" t="n">
        <f aca="false">SQRT(VAR($G$93:$G$122)/COUNT($G$93:$G$122))</f>
        <v>0.688113251393472</v>
      </c>
      <c r="O95" s="1" t="n">
        <f aca="false">SQRT(VAR($I$93:$I$122)/COUNT($I$93:$I$122))</f>
        <v>9.8077789909659</v>
      </c>
    </row>
    <row r="96" customFormat="false" ht="13.8" hidden="false" customHeight="false" outlineLevel="0" collapsed="false">
      <c r="A96" s="33" t="n">
        <v>95</v>
      </c>
      <c r="B96" s="32" t="n">
        <v>45386</v>
      </c>
      <c r="C96" s="33" t="n">
        <v>14829</v>
      </c>
      <c r="D96" s="33" t="n">
        <f aca="false">C96-C95</f>
        <v>-4788</v>
      </c>
      <c r="E96" s="33" t="n">
        <v>629.4</v>
      </c>
      <c r="F96" s="33" t="n">
        <f aca="false">E96-E95</f>
        <v>-195</v>
      </c>
      <c r="G96" s="33" t="n">
        <v>10.38</v>
      </c>
      <c r="H96" s="33" t="n">
        <f aca="false">G96-G95</f>
        <v>-3.35</v>
      </c>
      <c r="I96" s="33" t="n">
        <v>139</v>
      </c>
      <c r="J96" s="33" t="n">
        <f aca="false">I96-I95</f>
        <v>-40</v>
      </c>
      <c r="K96" s="1" t="s">
        <v>14</v>
      </c>
      <c r="L96" s="1" t="e">
        <f aca="false">MODE($C$93:$C$122)</f>
        <v>#VALUE!</v>
      </c>
      <c r="M96" s="1" t="e">
        <f aca="false">MODE($E$93:$E$122)</f>
        <v>#VALUE!</v>
      </c>
      <c r="N96" s="1" t="e">
        <f aca="false">MODE($G$93:$G$122)</f>
        <v>#VALUE!</v>
      </c>
      <c r="O96" s="1" t="n">
        <f aca="false">MODE($I$93:$I$122)</f>
        <v>116</v>
      </c>
    </row>
    <row r="97" customFormat="false" ht="13.8" hidden="false" customHeight="false" outlineLevel="0" collapsed="false">
      <c r="A97" s="1" t="n">
        <v>96</v>
      </c>
      <c r="B97" s="32" t="n">
        <v>45387</v>
      </c>
      <c r="C97" s="33" t="n">
        <v>15819</v>
      </c>
      <c r="D97" s="33" t="n">
        <f aca="false">C97-C96</f>
        <v>990</v>
      </c>
      <c r="E97" s="33" t="n">
        <v>671.6</v>
      </c>
      <c r="F97" s="33" t="n">
        <f aca="false">E97-E96</f>
        <v>42.2</v>
      </c>
      <c r="G97" s="33" t="n">
        <v>11.07</v>
      </c>
      <c r="H97" s="33" t="n">
        <f aca="false">G97-G96</f>
        <v>0.69</v>
      </c>
      <c r="I97" s="33" t="n">
        <v>148</v>
      </c>
      <c r="J97" s="33" t="n">
        <f aca="false">I97-I96</f>
        <v>9</v>
      </c>
      <c r="K97" s="1" t="s">
        <v>12</v>
      </c>
      <c r="L97" s="1" t="n">
        <f aca="false">MEDIAN($C$93:$C$122)</f>
        <v>15023.5</v>
      </c>
      <c r="M97" s="1" t="n">
        <f aca="false">MEDIAN($E$93:$E$122)</f>
        <v>634.85</v>
      </c>
      <c r="N97" s="1" t="n">
        <f aca="false">MEDIAN($G$93:$G$122)</f>
        <v>10.515</v>
      </c>
      <c r="O97" s="1" t="n">
        <f aca="false">MEDIAN($I$93:$I$122)</f>
        <v>139.5</v>
      </c>
    </row>
    <row r="98" customFormat="false" ht="13.8" hidden="false" customHeight="false" outlineLevel="0" collapsed="false">
      <c r="A98" s="33" t="n">
        <v>97</v>
      </c>
      <c r="B98" s="32" t="n">
        <v>45388</v>
      </c>
      <c r="C98" s="33" t="n">
        <v>23191</v>
      </c>
      <c r="D98" s="33" t="n">
        <f aca="false">C98-C97</f>
        <v>7372</v>
      </c>
      <c r="E98" s="33" t="n">
        <v>1009.4</v>
      </c>
      <c r="F98" s="33" t="n">
        <f aca="false">E98-E97</f>
        <v>337.8</v>
      </c>
      <c r="G98" s="33" t="n">
        <v>16.23</v>
      </c>
      <c r="H98" s="33" t="n">
        <f aca="false">G98-G97</f>
        <v>5.16</v>
      </c>
      <c r="I98" s="33" t="n">
        <v>236</v>
      </c>
      <c r="J98" s="33" t="n">
        <f aca="false">I98-I97</f>
        <v>88</v>
      </c>
      <c r="K98" s="1" t="s">
        <v>195</v>
      </c>
      <c r="L98" s="1" t="n">
        <f aca="false">QUARTILE($C$93:$C$122, 1)</f>
        <v>11760</v>
      </c>
      <c r="M98" s="1" t="n">
        <f aca="false">QUARTILE($E$93:$E$122, 1)</f>
        <v>499.475</v>
      </c>
      <c r="N98" s="1" t="n">
        <f aca="false">QUARTILE($G$93:$G$122, 1)</f>
        <v>8.23</v>
      </c>
      <c r="O98" s="1" t="n">
        <f aca="false">QUARTILE($I$93:$I$122, 1)</f>
        <v>111.5</v>
      </c>
    </row>
    <row r="99" customFormat="false" ht="13.8" hidden="false" customHeight="false" outlineLevel="0" collapsed="false">
      <c r="A99" s="1" t="n">
        <v>98</v>
      </c>
      <c r="B99" s="32" t="n">
        <v>45389</v>
      </c>
      <c r="C99" s="33" t="n">
        <v>27814</v>
      </c>
      <c r="D99" s="33" t="n">
        <f aca="false">C99-C98</f>
        <v>4623</v>
      </c>
      <c r="E99" s="33" t="n">
        <v>1202.1</v>
      </c>
      <c r="F99" s="33" t="n">
        <f aca="false">E99-E98</f>
        <v>192.7</v>
      </c>
      <c r="G99" s="33" t="n">
        <v>19.47</v>
      </c>
      <c r="H99" s="33" t="n">
        <f aca="false">G99-G98</f>
        <v>3.24</v>
      </c>
      <c r="I99" s="33" t="n">
        <v>276</v>
      </c>
      <c r="J99" s="33" t="n">
        <f aca="false">I99-I98</f>
        <v>40</v>
      </c>
      <c r="K99" s="1" t="s">
        <v>181</v>
      </c>
      <c r="L99" s="1" t="n">
        <f aca="false">QUARTILE($C$93:$C$122, 3)</f>
        <v>18338</v>
      </c>
      <c r="M99" s="1" t="n">
        <f aca="false">QUARTILE($E$93:$E$122, 3)</f>
        <v>773.975</v>
      </c>
      <c r="N99" s="1" t="n">
        <f aca="false">QUARTILE($G$93:$G$122, 3)</f>
        <v>12.835</v>
      </c>
      <c r="O99" s="1" t="n">
        <f aca="false">QUARTILE($I$93:$I$122, 3)</f>
        <v>174.75</v>
      </c>
    </row>
    <row r="100" customFormat="false" ht="13.8" hidden="false" customHeight="false" outlineLevel="0" collapsed="false">
      <c r="A100" s="33" t="n">
        <v>99</v>
      </c>
      <c r="B100" s="32" t="n">
        <v>45390</v>
      </c>
      <c r="C100" s="33" t="n">
        <v>16899</v>
      </c>
      <c r="D100" s="33" t="n">
        <f aca="false">C100-C99</f>
        <v>-10915</v>
      </c>
      <c r="E100" s="33" t="n">
        <v>712.2</v>
      </c>
      <c r="F100" s="33" t="n">
        <f aca="false">E100-E99</f>
        <v>-489.9</v>
      </c>
      <c r="G100" s="33" t="n">
        <v>11.83</v>
      </c>
      <c r="H100" s="33" t="n">
        <f aca="false">G100-G99</f>
        <v>-7.64</v>
      </c>
      <c r="I100" s="33" t="n">
        <v>176</v>
      </c>
      <c r="J100" s="33" t="n">
        <f aca="false">I100-I99</f>
        <v>-100</v>
      </c>
      <c r="K100" s="1" t="s">
        <v>182</v>
      </c>
      <c r="L100" s="1" t="n">
        <f aca="false">VAR($C$93:$C$122)</f>
        <v>28993263.3057471</v>
      </c>
      <c r="M100" s="1" t="n">
        <f aca="false">VAR($E$93:$E$122)</f>
        <v>53914.9781609195</v>
      </c>
      <c r="N100" s="1" t="n">
        <f aca="false">VAR($G$93:$G$122)</f>
        <v>14.2049954022989</v>
      </c>
      <c r="O100" s="1" t="n">
        <f aca="false">VAR($I$93:$I$122)</f>
        <v>2885.77586206897</v>
      </c>
    </row>
    <row r="101" customFormat="false" ht="13.8" hidden="false" customHeight="false" outlineLevel="0" collapsed="false">
      <c r="A101" s="1" t="n">
        <v>100</v>
      </c>
      <c r="B101" s="32" t="n">
        <v>45391</v>
      </c>
      <c r="C101" s="33" t="n">
        <v>11589</v>
      </c>
      <c r="D101" s="33" t="n">
        <f aca="false">C101-C100</f>
        <v>-5310</v>
      </c>
      <c r="E101" s="33" t="n">
        <v>493.4</v>
      </c>
      <c r="F101" s="33" t="n">
        <f aca="false">E101-E100</f>
        <v>-218.8</v>
      </c>
      <c r="G101" s="33" t="n">
        <v>8.11</v>
      </c>
      <c r="H101" s="33" t="n">
        <f aca="false">G101-G100</f>
        <v>-3.72</v>
      </c>
      <c r="I101" s="33" t="n">
        <v>111</v>
      </c>
      <c r="J101" s="33" t="n">
        <f aca="false">I101-I100</f>
        <v>-65</v>
      </c>
      <c r="K101" s="1" t="s">
        <v>16</v>
      </c>
      <c r="L101" s="1" t="n">
        <f aca="false">STDEV($C$93:$C$122)</f>
        <v>5384.53928444645</v>
      </c>
      <c r="M101" s="1" t="n">
        <f aca="false">STDEV($E$93:$E$122)</f>
        <v>232.195990837309</v>
      </c>
      <c r="N101" s="1" t="n">
        <f aca="false">STDEV($G$93:$G$122)</f>
        <v>3.76895149906428</v>
      </c>
      <c r="O101" s="1" t="n">
        <f aca="false">STDEV($I$93:$I$122)</f>
        <v>53.7194179237728</v>
      </c>
    </row>
    <row r="102" customFormat="false" ht="13.8" hidden="false" customHeight="false" outlineLevel="0" collapsed="false">
      <c r="A102" s="33" t="n">
        <v>101</v>
      </c>
      <c r="B102" s="32" t="n">
        <v>45392</v>
      </c>
      <c r="C102" s="33" t="n">
        <v>12404</v>
      </c>
      <c r="D102" s="33" t="n">
        <f aca="false">C102-C101</f>
        <v>815</v>
      </c>
      <c r="E102" s="33" t="n">
        <v>524.6</v>
      </c>
      <c r="F102" s="33" t="n">
        <f aca="false">E102-E101</f>
        <v>31.2</v>
      </c>
      <c r="G102" s="33" t="n">
        <v>8.68</v>
      </c>
      <c r="H102" s="33" t="n">
        <f aca="false">G102-G101</f>
        <v>0.57</v>
      </c>
      <c r="I102" s="33" t="n">
        <v>116</v>
      </c>
      <c r="J102" s="33" t="n">
        <f aca="false">I102-I101</f>
        <v>5</v>
      </c>
      <c r="K102" s="1" t="s">
        <v>20</v>
      </c>
      <c r="L102" s="1" t="n">
        <f aca="false">KURT($C$93:$C$122)</f>
        <v>-0.106058042808328</v>
      </c>
      <c r="M102" s="1" t="n">
        <f aca="false">KURT($E$93:$E$122)</f>
        <v>0.00898649509300853</v>
      </c>
      <c r="N102" s="1" t="n">
        <f aca="false">KURT($G$93:$G$122)</f>
        <v>-0.105471521198964</v>
      </c>
      <c r="O102" s="1" t="n">
        <f aca="false">KURT($I$93:$I$122)</f>
        <v>0.194932957541494</v>
      </c>
    </row>
    <row r="103" customFormat="false" ht="13.8" hidden="false" customHeight="false" outlineLevel="0" collapsed="false">
      <c r="A103" s="1" t="n">
        <v>102</v>
      </c>
      <c r="B103" s="32" t="n">
        <v>45393</v>
      </c>
      <c r="C103" s="33" t="n">
        <v>8956</v>
      </c>
      <c r="D103" s="33" t="n">
        <f aca="false">C103-C102</f>
        <v>-3448</v>
      </c>
      <c r="E103" s="33" t="n">
        <v>385.1</v>
      </c>
      <c r="F103" s="33" t="n">
        <f aca="false">E103-E102</f>
        <v>-139.5</v>
      </c>
      <c r="G103" s="33" t="n">
        <v>6.27</v>
      </c>
      <c r="H103" s="33" t="n">
        <f aca="false">G103-G102</f>
        <v>-2.41</v>
      </c>
      <c r="I103" s="33" t="n">
        <v>88</v>
      </c>
      <c r="J103" s="33" t="n">
        <f aca="false">I103-I102</f>
        <v>-28</v>
      </c>
      <c r="K103" s="1" t="s">
        <v>22</v>
      </c>
      <c r="L103" s="1" t="n">
        <f aca="false">SKEW($C$93:$C$122)</f>
        <v>0.127720844835076</v>
      </c>
      <c r="M103" s="1" t="n">
        <f aca="false">SKEW($E$93:$E$122)</f>
        <v>0.209954636828296</v>
      </c>
      <c r="N103" s="1" t="n">
        <f aca="false">SKEW($G$93:$G$122)</f>
        <v>0.127867027868955</v>
      </c>
      <c r="O103" s="1" t="n">
        <f aca="false">SKEW($I$93:$I$122)</f>
        <v>0.361399852123302</v>
      </c>
    </row>
    <row r="104" customFormat="false" ht="13.8" hidden="false" customHeight="false" outlineLevel="0" collapsed="false">
      <c r="A104" s="33" t="n">
        <v>103</v>
      </c>
      <c r="B104" s="32" t="n">
        <v>45394</v>
      </c>
      <c r="C104" s="33" t="n">
        <v>7409</v>
      </c>
      <c r="D104" s="33" t="n">
        <f aca="false">C104-C103</f>
        <v>-1547</v>
      </c>
      <c r="E104" s="33" t="n">
        <v>315.2</v>
      </c>
      <c r="F104" s="33" t="n">
        <f aca="false">E104-E103</f>
        <v>-69.9</v>
      </c>
      <c r="G104" s="33" t="n">
        <v>5.19</v>
      </c>
      <c r="H104" s="33" t="n">
        <f aca="false">G104-G103</f>
        <v>-1.08</v>
      </c>
      <c r="I104" s="33" t="n">
        <v>70</v>
      </c>
      <c r="J104" s="33" t="n">
        <f aca="false">I104-I103</f>
        <v>-18</v>
      </c>
      <c r="K104" s="1" t="s">
        <v>24</v>
      </c>
      <c r="L104" s="1" t="n">
        <f aca="false">MAX($C$93:$C$122)-MIN($C$93:$C$122)</f>
        <v>22740</v>
      </c>
      <c r="M104" s="1" t="n">
        <f aca="false">MAX($E$93:$E$122)-MIN($E$93:$E$122)</f>
        <v>987.5</v>
      </c>
      <c r="N104" s="1" t="n">
        <f aca="false">MAX($G$93:$G$122)-MIN($G$93:$G$122)</f>
        <v>15.92</v>
      </c>
      <c r="O104" s="1" t="n">
        <f aca="false">MAX($I$93:$I$122)-MIN($I$93:$I$122)</f>
        <v>229</v>
      </c>
    </row>
    <row r="105" customFormat="false" ht="13.8" hidden="false" customHeight="false" outlineLevel="0" collapsed="false">
      <c r="A105" s="1" t="n">
        <v>104</v>
      </c>
      <c r="B105" s="32" t="n">
        <v>45395</v>
      </c>
      <c r="C105" s="33" t="n">
        <v>17891</v>
      </c>
      <c r="D105" s="33" t="n">
        <f aca="false">C105-C104</f>
        <v>10482</v>
      </c>
      <c r="E105" s="33" t="n">
        <v>750.2</v>
      </c>
      <c r="F105" s="33" t="n">
        <f aca="false">E105-E104</f>
        <v>435</v>
      </c>
      <c r="G105" s="33" t="n">
        <v>12.52</v>
      </c>
      <c r="H105" s="33" t="n">
        <f aca="false">G105-G104</f>
        <v>7.33</v>
      </c>
      <c r="I105" s="33" t="n">
        <v>162</v>
      </c>
      <c r="J105" s="33" t="n">
        <f aca="false">I105-I104</f>
        <v>92</v>
      </c>
      <c r="K105" s="1" t="s">
        <v>26</v>
      </c>
      <c r="L105" s="1" t="n">
        <f aca="false">MIN($C$93:$C$122)</f>
        <v>5074</v>
      </c>
      <c r="M105" s="1" t="n">
        <f aca="false">MIN($E$93:$E$122)</f>
        <v>214.6</v>
      </c>
      <c r="N105" s="1" t="n">
        <f aca="false">MIN($G$93:$G$122)</f>
        <v>3.55</v>
      </c>
      <c r="O105" s="1" t="n">
        <f aca="false">MIN($I$93:$I$122)</f>
        <v>47</v>
      </c>
    </row>
    <row r="106" customFormat="false" ht="13.8" hidden="false" customHeight="false" outlineLevel="0" collapsed="false">
      <c r="A106" s="33" t="n">
        <v>105</v>
      </c>
      <c r="B106" s="32" t="n">
        <v>45396</v>
      </c>
      <c r="C106" s="33" t="n">
        <v>12342</v>
      </c>
      <c r="D106" s="33" t="n">
        <f aca="false">C106-C105</f>
        <v>-5549</v>
      </c>
      <c r="E106" s="33" t="n">
        <v>523.9</v>
      </c>
      <c r="F106" s="33" t="n">
        <f aca="false">E106-E105</f>
        <v>-226.3</v>
      </c>
      <c r="G106" s="33" t="n">
        <v>8.64</v>
      </c>
      <c r="H106" s="33" t="n">
        <f aca="false">G106-G105</f>
        <v>-3.88</v>
      </c>
      <c r="I106" s="33" t="n">
        <v>116</v>
      </c>
      <c r="J106" s="33" t="n">
        <f aca="false">I106-I105</f>
        <v>-46</v>
      </c>
      <c r="K106" s="1" t="s">
        <v>28</v>
      </c>
      <c r="L106" s="1" t="n">
        <f aca="false">MAX($C$93:$C$122)</f>
        <v>27814</v>
      </c>
      <c r="M106" s="1" t="n">
        <f aca="false">MAX($E$93:$E$122)</f>
        <v>1202.1</v>
      </c>
      <c r="N106" s="1" t="n">
        <f aca="false">MAX($G$93:$G$122)</f>
        <v>19.47</v>
      </c>
      <c r="O106" s="1" t="n">
        <f aca="false">MAX($I$93:$I$122)</f>
        <v>276</v>
      </c>
    </row>
    <row r="107" customFormat="false" ht="13.8" hidden="false" customHeight="false" outlineLevel="0" collapsed="false">
      <c r="A107" s="1" t="n">
        <v>106</v>
      </c>
      <c r="B107" s="32" t="n">
        <v>45397</v>
      </c>
      <c r="C107" s="33" t="n">
        <v>18487</v>
      </c>
      <c r="D107" s="33" t="n">
        <f aca="false">C107-C106</f>
        <v>6145</v>
      </c>
      <c r="E107" s="33" t="n">
        <v>781.9</v>
      </c>
      <c r="F107" s="33" t="n">
        <f aca="false">E107-E106</f>
        <v>258</v>
      </c>
      <c r="G107" s="33" t="n">
        <v>12.94</v>
      </c>
      <c r="H107" s="33" t="n">
        <f aca="false">G107-G106</f>
        <v>4.3</v>
      </c>
      <c r="I107" s="33" t="n">
        <v>171</v>
      </c>
      <c r="J107" s="33" t="n">
        <f aca="false">I107-I106</f>
        <v>55</v>
      </c>
      <c r="K107" s="1" t="s">
        <v>30</v>
      </c>
      <c r="L107" s="1" t="n">
        <f aca="false">SUM($C$93:$C$122)</f>
        <v>441148</v>
      </c>
      <c r="M107" s="1" t="n">
        <f aca="false">SUM($E$93:$E$122)</f>
        <v>18791</v>
      </c>
      <c r="N107" s="1" t="n">
        <f aca="false">SUM($G$93:$G$122)</f>
        <v>308.8</v>
      </c>
      <c r="O107" s="1" t="n">
        <f aca="false">SUM($I$93:$I$122)</f>
        <v>4215</v>
      </c>
    </row>
    <row r="108" customFormat="false" ht="13.8" hidden="false" customHeight="false" outlineLevel="0" collapsed="false">
      <c r="A108" s="33" t="n">
        <v>107</v>
      </c>
      <c r="B108" s="32" t="n">
        <v>45398</v>
      </c>
      <c r="C108" s="33" t="n">
        <v>13526</v>
      </c>
      <c r="D108" s="33" t="n">
        <f aca="false">C108-C107</f>
        <v>-4961</v>
      </c>
      <c r="E108" s="33" t="n">
        <v>574.8</v>
      </c>
      <c r="F108" s="33" t="n">
        <f aca="false">E108-E107</f>
        <v>-207.1</v>
      </c>
      <c r="G108" s="33" t="n">
        <v>9.47</v>
      </c>
      <c r="H108" s="33" t="n">
        <f aca="false">G108-G107</f>
        <v>-3.47</v>
      </c>
      <c r="I108" s="33" t="n">
        <v>129</v>
      </c>
      <c r="J108" s="33" t="n">
        <f aca="false">I108-I107</f>
        <v>-42</v>
      </c>
      <c r="K108" s="1" t="s">
        <v>32</v>
      </c>
      <c r="L108" s="1" t="n">
        <f aca="false">COUNT($C$93:$C$122)</f>
        <v>30</v>
      </c>
      <c r="M108" s="1" t="n">
        <f aca="false">COUNT($E$93:$E$122)</f>
        <v>30</v>
      </c>
      <c r="N108" s="1" t="n">
        <f aca="false">COUNT($G$93:$G$122)</f>
        <v>30</v>
      </c>
      <c r="O108" s="1" t="n">
        <f aca="false">COUNT($I$93:$I$122)</f>
        <v>30</v>
      </c>
    </row>
    <row r="109" customFormat="false" ht="13.8" hidden="false" customHeight="false" outlineLevel="0" collapsed="false">
      <c r="A109" s="1" t="n">
        <v>108</v>
      </c>
      <c r="B109" s="32" t="n">
        <v>45399</v>
      </c>
      <c r="C109" s="33" t="n">
        <v>10765</v>
      </c>
      <c r="D109" s="33" t="n">
        <f aca="false">C109-C108</f>
        <v>-2761</v>
      </c>
      <c r="E109" s="33" t="n">
        <v>453.2</v>
      </c>
      <c r="F109" s="33" t="n">
        <f aca="false">E109-E108</f>
        <v>-121.6</v>
      </c>
      <c r="G109" s="33" t="n">
        <v>7.54</v>
      </c>
      <c r="H109" s="33" t="n">
        <f aca="false">G109-G108</f>
        <v>-1.93</v>
      </c>
      <c r="I109" s="33" t="n">
        <v>99</v>
      </c>
      <c r="J109" s="33" t="n">
        <f aca="false">I109-I108</f>
        <v>-30</v>
      </c>
    </row>
    <row r="110" customFormat="false" ht="13.8" hidden="false" customHeight="false" outlineLevel="0" collapsed="false">
      <c r="A110" s="33" t="n">
        <v>109</v>
      </c>
      <c r="B110" s="32" t="n">
        <v>45400</v>
      </c>
      <c r="C110" s="33" t="n">
        <v>7144</v>
      </c>
      <c r="D110" s="33" t="n">
        <f aca="false">C110-C109</f>
        <v>-3621</v>
      </c>
      <c r="E110" s="33" t="n">
        <v>304.8</v>
      </c>
      <c r="F110" s="33" t="n">
        <f aca="false">E110-E109</f>
        <v>-148.4</v>
      </c>
      <c r="G110" s="33" t="n">
        <v>5</v>
      </c>
      <c r="H110" s="33" t="n">
        <f aca="false">G110-G109</f>
        <v>-2.54</v>
      </c>
      <c r="I110" s="33" t="n">
        <v>68</v>
      </c>
      <c r="J110" s="33" t="n">
        <f aca="false">I110-I109</f>
        <v>-31</v>
      </c>
    </row>
    <row r="111" customFormat="false" ht="13.8" hidden="false" customHeight="false" outlineLevel="0" collapsed="false">
      <c r="A111" s="1" t="n">
        <v>110</v>
      </c>
      <c r="B111" s="32" t="n">
        <v>45401</v>
      </c>
      <c r="C111" s="33" t="n">
        <v>12273</v>
      </c>
      <c r="D111" s="33" t="n">
        <f aca="false">C111-C110</f>
        <v>5129</v>
      </c>
      <c r="E111" s="33" t="n">
        <v>517.7</v>
      </c>
      <c r="F111" s="33" t="n">
        <f aca="false">E111-E110</f>
        <v>212.9</v>
      </c>
      <c r="G111" s="33" t="n">
        <v>8.59</v>
      </c>
      <c r="H111" s="33" t="n">
        <f aca="false">G111-G110</f>
        <v>3.59</v>
      </c>
      <c r="I111" s="33" t="n">
        <v>113</v>
      </c>
      <c r="J111" s="33" t="n">
        <f aca="false">I111-I110</f>
        <v>45</v>
      </c>
    </row>
    <row r="112" customFormat="false" ht="13.8" hidden="false" customHeight="false" outlineLevel="0" collapsed="false">
      <c r="A112" s="33" t="n">
        <v>111</v>
      </c>
      <c r="B112" s="32" t="n">
        <v>45402</v>
      </c>
      <c r="C112" s="33" t="n">
        <v>7066</v>
      </c>
      <c r="D112" s="33" t="n">
        <f aca="false">C112-C111</f>
        <v>-5207</v>
      </c>
      <c r="E112" s="33" t="n">
        <v>304.6</v>
      </c>
      <c r="F112" s="33" t="n">
        <f aca="false">E112-E111</f>
        <v>-213.1</v>
      </c>
      <c r="G112" s="33" t="n">
        <v>4.95</v>
      </c>
      <c r="H112" s="33" t="n">
        <f aca="false">G112-G111</f>
        <v>-3.64</v>
      </c>
      <c r="I112" s="33" t="n">
        <v>69</v>
      </c>
      <c r="J112" s="33" t="n">
        <f aca="false">I112-I111</f>
        <v>-44</v>
      </c>
    </row>
    <row r="113" customFormat="false" ht="13.8" hidden="false" customHeight="false" outlineLevel="0" collapsed="false">
      <c r="A113" s="1" t="n">
        <v>112</v>
      </c>
      <c r="B113" s="32" t="n">
        <v>45403</v>
      </c>
      <c r="C113" s="33" t="n">
        <v>12639</v>
      </c>
      <c r="D113" s="33" t="n">
        <f aca="false">C113-C112</f>
        <v>5573</v>
      </c>
      <c r="E113" s="33" t="n">
        <v>540.8</v>
      </c>
      <c r="F113" s="33" t="n">
        <f aca="false">E113-E112</f>
        <v>236.2</v>
      </c>
      <c r="G113" s="33" t="n">
        <v>8.85</v>
      </c>
      <c r="H113" s="33" t="n">
        <f aca="false">G113-G112</f>
        <v>3.9</v>
      </c>
      <c r="I113" s="33" t="n">
        <v>122</v>
      </c>
      <c r="J113" s="33" t="n">
        <f aca="false">I113-I112</f>
        <v>53</v>
      </c>
    </row>
    <row r="114" customFormat="false" ht="13.8" hidden="false" customHeight="false" outlineLevel="0" collapsed="false">
      <c r="A114" s="33" t="n">
        <v>113</v>
      </c>
      <c r="B114" s="32" t="n">
        <v>45404</v>
      </c>
      <c r="C114" s="33" t="n">
        <v>19710</v>
      </c>
      <c r="D114" s="33" t="n">
        <f aca="false">C114-C113</f>
        <v>7071</v>
      </c>
      <c r="E114" s="33" t="n">
        <v>827.9</v>
      </c>
      <c r="F114" s="33" t="n">
        <f aca="false">E114-E113</f>
        <v>287.1</v>
      </c>
      <c r="G114" s="33" t="n">
        <v>13.8</v>
      </c>
      <c r="H114" s="33" t="n">
        <f aca="false">G114-G113</f>
        <v>4.95</v>
      </c>
      <c r="I114" s="33" t="n">
        <v>180</v>
      </c>
      <c r="J114" s="33" t="n">
        <f aca="false">I114-I113</f>
        <v>58</v>
      </c>
    </row>
    <row r="115" customFormat="false" ht="13.8" hidden="false" customHeight="false" outlineLevel="0" collapsed="false">
      <c r="A115" s="1" t="n">
        <v>114</v>
      </c>
      <c r="B115" s="32" t="n">
        <v>45405</v>
      </c>
      <c r="C115" s="33" t="n">
        <v>17562</v>
      </c>
      <c r="D115" s="33" t="n">
        <f aca="false">C115-C114</f>
        <v>-2148</v>
      </c>
      <c r="E115" s="33" t="n">
        <v>745.2</v>
      </c>
      <c r="F115" s="33" t="n">
        <f aca="false">E115-E114</f>
        <v>-82.6999999999999</v>
      </c>
      <c r="G115" s="33" t="n">
        <v>12.29</v>
      </c>
      <c r="H115" s="33" t="n">
        <f aca="false">G115-G114</f>
        <v>-1.51</v>
      </c>
      <c r="I115" s="33" t="n">
        <v>166</v>
      </c>
      <c r="J115" s="33" t="n">
        <f aca="false">I115-I114</f>
        <v>-14</v>
      </c>
    </row>
    <row r="116" customFormat="false" ht="13.8" hidden="false" customHeight="false" outlineLevel="0" collapsed="false">
      <c r="A116" s="33" t="n">
        <v>115</v>
      </c>
      <c r="B116" s="32" t="n">
        <v>45406</v>
      </c>
      <c r="C116" s="33" t="n">
        <v>16602</v>
      </c>
      <c r="D116" s="33" t="n">
        <f aca="false">C116-C115</f>
        <v>-960</v>
      </c>
      <c r="E116" s="33" t="n">
        <v>703.9</v>
      </c>
      <c r="F116" s="33" t="n">
        <f aca="false">E116-E115</f>
        <v>-41.3000000000001</v>
      </c>
      <c r="G116" s="33" t="n">
        <v>11.62</v>
      </c>
      <c r="H116" s="33" t="n">
        <f aca="false">G116-G115</f>
        <v>-0.67</v>
      </c>
      <c r="I116" s="33" t="n">
        <v>156</v>
      </c>
      <c r="J116" s="33" t="n">
        <f aca="false">I116-I115</f>
        <v>-10</v>
      </c>
    </row>
    <row r="117" customFormat="false" ht="13.8" hidden="false" customHeight="false" outlineLevel="0" collapsed="false">
      <c r="A117" s="1" t="n">
        <v>116</v>
      </c>
      <c r="B117" s="32" t="n">
        <v>45407</v>
      </c>
      <c r="C117" s="33" t="n">
        <v>13718</v>
      </c>
      <c r="D117" s="33" t="n">
        <f aca="false">C117-C116</f>
        <v>-2884</v>
      </c>
      <c r="E117" s="33" t="n">
        <v>584.7</v>
      </c>
      <c r="F117" s="33" t="n">
        <f aca="false">E117-E116</f>
        <v>-119.2</v>
      </c>
      <c r="G117" s="33" t="n">
        <v>9.6</v>
      </c>
      <c r="H117" s="33" t="n">
        <f aca="false">G117-G116</f>
        <v>-2.02</v>
      </c>
      <c r="I117" s="33" t="n">
        <v>130</v>
      </c>
      <c r="J117" s="33" t="n">
        <f aca="false">I117-I116</f>
        <v>-26</v>
      </c>
    </row>
    <row r="118" customFormat="false" ht="13.8" hidden="false" customHeight="false" outlineLevel="0" collapsed="false">
      <c r="A118" s="33" t="n">
        <v>117</v>
      </c>
      <c r="B118" s="32" t="n">
        <v>45408</v>
      </c>
      <c r="C118" s="33" t="n">
        <v>5074</v>
      </c>
      <c r="D118" s="33" t="n">
        <f aca="false">C118-C117</f>
        <v>-8644</v>
      </c>
      <c r="E118" s="33" t="n">
        <v>214.6</v>
      </c>
      <c r="F118" s="33" t="n">
        <f aca="false">E118-E117</f>
        <v>-370.1</v>
      </c>
      <c r="G118" s="33" t="n">
        <v>3.55</v>
      </c>
      <c r="H118" s="33" t="n">
        <f aca="false">G118-G117</f>
        <v>-6.05</v>
      </c>
      <c r="I118" s="33" t="n">
        <v>47</v>
      </c>
      <c r="J118" s="33" t="n">
        <f aca="false">I118-I117</f>
        <v>-83</v>
      </c>
    </row>
    <row r="119" customFormat="false" ht="13.8" hidden="false" customHeight="false" outlineLevel="0" collapsed="false">
      <c r="A119" s="1" t="n">
        <v>118</v>
      </c>
      <c r="B119" s="32" t="n">
        <v>45409</v>
      </c>
      <c r="C119" s="33" t="n">
        <v>15218</v>
      </c>
      <c r="D119" s="33" t="n">
        <f aca="false">C119-C118</f>
        <v>10144</v>
      </c>
      <c r="E119" s="33" t="n">
        <v>640.3</v>
      </c>
      <c r="F119" s="33" t="n">
        <f aca="false">E119-E118</f>
        <v>425.7</v>
      </c>
      <c r="G119" s="33" t="n">
        <v>10.65</v>
      </c>
      <c r="H119" s="33" t="n">
        <f aca="false">G119-G118</f>
        <v>7.1</v>
      </c>
      <c r="I119" s="33" t="n">
        <v>140</v>
      </c>
      <c r="J119" s="33" t="n">
        <f aca="false">I119-I118</f>
        <v>93</v>
      </c>
    </row>
    <row r="120" customFormat="false" ht="13.8" hidden="false" customHeight="false" outlineLevel="0" collapsed="false">
      <c r="A120" s="33" t="n">
        <v>119</v>
      </c>
      <c r="B120" s="32" t="n">
        <v>45410</v>
      </c>
      <c r="C120" s="33" t="n">
        <v>20057</v>
      </c>
      <c r="D120" s="33" t="n">
        <f aca="false">C120-C119</f>
        <v>4839</v>
      </c>
      <c r="E120" s="33" t="n">
        <v>908</v>
      </c>
      <c r="F120" s="33" t="n">
        <f aca="false">E120-E119</f>
        <v>267.7</v>
      </c>
      <c r="G120" s="33" t="n">
        <v>14.04</v>
      </c>
      <c r="H120" s="33" t="n">
        <f aca="false">G120-G119</f>
        <v>3.39</v>
      </c>
      <c r="I120" s="33" t="n">
        <v>222</v>
      </c>
      <c r="J120" s="33" t="n">
        <f aca="false">I120-I119</f>
        <v>82</v>
      </c>
    </row>
    <row r="121" customFormat="false" ht="13.8" hidden="false" customHeight="false" outlineLevel="0" collapsed="false">
      <c r="A121" s="1" t="n">
        <v>120</v>
      </c>
      <c r="B121" s="32" t="n">
        <v>45411</v>
      </c>
      <c r="C121" s="33" t="n">
        <v>16868</v>
      </c>
      <c r="D121" s="33" t="n">
        <f aca="false">C121-C120</f>
        <v>-3189</v>
      </c>
      <c r="E121" s="33" t="n">
        <v>719.1</v>
      </c>
      <c r="F121" s="33" t="n">
        <f aca="false">E121-E120</f>
        <v>-188.9</v>
      </c>
      <c r="G121" s="33" t="n">
        <v>11.81</v>
      </c>
      <c r="H121" s="33" t="n">
        <f aca="false">G121-G120</f>
        <v>-2.23</v>
      </c>
      <c r="I121" s="33" t="n">
        <v>161</v>
      </c>
      <c r="J121" s="33" t="n">
        <f aca="false">I121-I120</f>
        <v>-61</v>
      </c>
    </row>
    <row r="122" customFormat="false" ht="13.8" hidden="false" customHeight="false" outlineLevel="0" collapsed="false">
      <c r="A122" s="33" t="n">
        <v>121</v>
      </c>
      <c r="B122" s="32" t="n">
        <v>45412</v>
      </c>
      <c r="C122" s="33" t="n">
        <v>6032</v>
      </c>
      <c r="D122" s="33" t="n">
        <f aca="false">C122-C121</f>
        <v>-10836</v>
      </c>
      <c r="E122" s="33" t="n">
        <v>257.4</v>
      </c>
      <c r="F122" s="33" t="n">
        <f aca="false">E122-E121</f>
        <v>-461.7</v>
      </c>
      <c r="G122" s="33" t="n">
        <v>4.22</v>
      </c>
      <c r="H122" s="33" t="n">
        <f aca="false">G122-G121</f>
        <v>-7.59</v>
      </c>
      <c r="I122" s="33" t="n">
        <v>58</v>
      </c>
      <c r="J122" s="33" t="n">
        <f aca="false">I122-I121</f>
        <v>-103</v>
      </c>
    </row>
    <row r="123" customFormat="false" ht="13.8" hidden="false" customHeight="false" outlineLevel="0" collapsed="false">
      <c r="A123" s="1" t="n">
        <v>122</v>
      </c>
      <c r="B123" s="32" t="n">
        <v>45413</v>
      </c>
      <c r="C123" s="33" t="n">
        <v>11526</v>
      </c>
      <c r="D123" s="33" t="n">
        <f aca="false">C123-C122</f>
        <v>5494</v>
      </c>
      <c r="E123" s="33" t="n">
        <v>499.9</v>
      </c>
      <c r="F123" s="33" t="n">
        <f aca="false">E123-E122</f>
        <v>242.5</v>
      </c>
      <c r="G123" s="33" t="n">
        <v>8.07</v>
      </c>
      <c r="H123" s="33" t="n">
        <f aca="false">G123-G122</f>
        <v>3.85</v>
      </c>
      <c r="I123" s="33" t="n">
        <v>116</v>
      </c>
      <c r="J123" s="33" t="n">
        <f aca="false">I123-I122</f>
        <v>58</v>
      </c>
      <c r="L123" s="34" t="s">
        <v>2</v>
      </c>
      <c r="M123" s="34" t="s">
        <v>179</v>
      </c>
      <c r="N123" s="34" t="s">
        <v>175</v>
      </c>
      <c r="O123" s="34" t="s">
        <v>177</v>
      </c>
    </row>
    <row r="124" customFormat="false" ht="13.8" hidden="false" customHeight="false" outlineLevel="0" collapsed="false">
      <c r="A124" s="33" t="n">
        <v>123</v>
      </c>
      <c r="B124" s="32" t="n">
        <v>45414</v>
      </c>
      <c r="C124" s="33" t="n">
        <v>20571</v>
      </c>
      <c r="D124" s="33" t="n">
        <f aca="false">C124-C123</f>
        <v>9045</v>
      </c>
      <c r="E124" s="33" t="n">
        <v>887.3</v>
      </c>
      <c r="F124" s="33" t="n">
        <f aca="false">E124-E123</f>
        <v>387.4</v>
      </c>
      <c r="G124" s="33" t="n">
        <v>14.4</v>
      </c>
      <c r="H124" s="33" t="n">
        <f aca="false">G124-G123</f>
        <v>6.33</v>
      </c>
      <c r="I124" s="33" t="n">
        <v>205</v>
      </c>
      <c r="J124" s="33" t="n">
        <f aca="false">I124-I123</f>
        <v>89</v>
      </c>
      <c r="K124" s="2" t="s">
        <v>8</v>
      </c>
      <c r="L124" s="2" t="n">
        <f aca="false">AVERAGE($C$123:$C$153)</f>
        <v>11372.3870967742</v>
      </c>
      <c r="M124" s="2" t="n">
        <f aca="false">AVERAGE($E$123:$E$153)</f>
        <v>486.870967741936</v>
      </c>
      <c r="N124" s="2" t="n">
        <f aca="false">AVERAGE($G$123:$G$153)</f>
        <v>7.95741935483871</v>
      </c>
      <c r="O124" s="2" t="n">
        <f aca="false">AVERAGE($I$123:$I$153)</f>
        <v>109.677419354839</v>
      </c>
    </row>
    <row r="125" customFormat="false" ht="13.8" hidden="false" customHeight="false" outlineLevel="0" collapsed="false">
      <c r="A125" s="1" t="n">
        <v>124</v>
      </c>
      <c r="B125" s="32" t="n">
        <v>45415</v>
      </c>
      <c r="C125" s="33" t="n">
        <v>980</v>
      </c>
      <c r="D125" s="33" t="n">
        <f aca="false">C125-C124</f>
        <v>-19591</v>
      </c>
      <c r="E125" s="33" t="n">
        <v>44.6</v>
      </c>
      <c r="F125" s="33" t="n">
        <f aca="false">E125-E124</f>
        <v>-842.7</v>
      </c>
      <c r="G125" s="33" t="n">
        <v>0.69</v>
      </c>
      <c r="H125" s="33" t="n">
        <f aca="false">G125-G124</f>
        <v>-13.71</v>
      </c>
      <c r="I125" s="33" t="n">
        <v>11</v>
      </c>
      <c r="J125" s="33" t="n">
        <f aca="false">I125-I124</f>
        <v>-194</v>
      </c>
      <c r="K125" s="2" t="s">
        <v>10</v>
      </c>
      <c r="L125" s="2" t="n">
        <f aca="false">SQRT(VAR($C$123:$C$153)/COUNT($C$123:$C$153))</f>
        <v>1107.85332156472</v>
      </c>
      <c r="M125" s="2" t="n">
        <f aca="false">SQRT(VAR($E$123:$E$153)/COUNT($E$123:$E$153))</f>
        <v>46.9842753822445</v>
      </c>
      <c r="N125" s="2" t="n">
        <f aca="false">SQRT(VAR($G$123:$G$153)/COUNT($G$123:$G$153))</f>
        <v>0.775556819426892</v>
      </c>
      <c r="O125" s="2" t="n">
        <f aca="false">SQRT(VAR($I$123:$I$153)/COUNT($I$123:$I$153))</f>
        <v>10.5120910513861</v>
      </c>
    </row>
    <row r="126" customFormat="false" ht="13.8" hidden="false" customHeight="false" outlineLevel="0" collapsed="false">
      <c r="A126" s="33" t="n">
        <v>125</v>
      </c>
      <c r="B126" s="32" t="n">
        <v>45416</v>
      </c>
      <c r="C126" s="33" t="n">
        <v>1531</v>
      </c>
      <c r="D126" s="33" t="n">
        <f aca="false">C126-C125</f>
        <v>551</v>
      </c>
      <c r="E126" s="33" t="n">
        <v>71.8</v>
      </c>
      <c r="F126" s="33" t="n">
        <f aca="false">E126-E125</f>
        <v>27.2</v>
      </c>
      <c r="G126" s="33" t="n">
        <v>1.07</v>
      </c>
      <c r="H126" s="33" t="n">
        <f aca="false">G126-G125</f>
        <v>0.38</v>
      </c>
      <c r="I126" s="33" t="n">
        <v>18</v>
      </c>
      <c r="J126" s="33" t="n">
        <f aca="false">I126-I125</f>
        <v>7</v>
      </c>
      <c r="K126" s="2" t="s">
        <v>14</v>
      </c>
      <c r="L126" s="2" t="e">
        <f aca="false">MODE($C$123:$C$153)</f>
        <v>#VALUE!</v>
      </c>
      <c r="M126" s="2" t="e">
        <f aca="false">MODE($E$123:$E$153)</f>
        <v>#VALUE!</v>
      </c>
      <c r="N126" s="2" t="e">
        <f aca="false">MODE($G$123:$G$153)</f>
        <v>#VALUE!</v>
      </c>
      <c r="O126" s="2" t="n">
        <f aca="false">MODE($I$123:$I$153)</f>
        <v>71</v>
      </c>
    </row>
    <row r="127" customFormat="false" ht="13.8" hidden="false" customHeight="false" outlineLevel="0" collapsed="false">
      <c r="A127" s="1" t="n">
        <v>126</v>
      </c>
      <c r="B127" s="32" t="n">
        <v>45417</v>
      </c>
      <c r="C127" s="33" t="n">
        <v>13791</v>
      </c>
      <c r="D127" s="33" t="n">
        <f aca="false">C127-C126</f>
        <v>12260</v>
      </c>
      <c r="E127" s="33" t="n">
        <v>575.1</v>
      </c>
      <c r="F127" s="33" t="n">
        <f aca="false">E127-E126</f>
        <v>503.3</v>
      </c>
      <c r="G127" s="33" t="n">
        <v>9.65</v>
      </c>
      <c r="H127" s="33" t="n">
        <f aca="false">G127-G126</f>
        <v>8.58</v>
      </c>
      <c r="I127" s="33" t="n">
        <v>123</v>
      </c>
      <c r="J127" s="33" t="n">
        <f aca="false">I127-I126</f>
        <v>105</v>
      </c>
      <c r="K127" s="2" t="s">
        <v>12</v>
      </c>
      <c r="L127" s="2" t="n">
        <f aca="false">MEDIAN($C$123:$C$153)</f>
        <v>11526</v>
      </c>
      <c r="M127" s="2" t="n">
        <f aca="false">MEDIAN($E$123:$E$153)</f>
        <v>491.8</v>
      </c>
      <c r="N127" s="2" t="n">
        <f aca="false">MEDIAN($G$123:$G$153)</f>
        <v>8.07</v>
      </c>
      <c r="O127" s="2" t="n">
        <f aca="false">MEDIAN($I$123:$I$153)</f>
        <v>109</v>
      </c>
    </row>
    <row r="128" customFormat="false" ht="13.8" hidden="false" customHeight="false" outlineLevel="0" collapsed="false">
      <c r="A128" s="33" t="n">
        <v>127</v>
      </c>
      <c r="B128" s="32" t="n">
        <v>45418</v>
      </c>
      <c r="C128" s="33" t="n">
        <v>10668</v>
      </c>
      <c r="D128" s="33" t="n">
        <f aca="false">C128-C127</f>
        <v>-3123</v>
      </c>
      <c r="E128" s="33" t="n">
        <v>459.1</v>
      </c>
      <c r="F128" s="33" t="n">
        <f aca="false">E128-E127</f>
        <v>-116</v>
      </c>
      <c r="G128" s="33" t="n">
        <v>7.47</v>
      </c>
      <c r="H128" s="33" t="n">
        <f aca="false">G128-G127</f>
        <v>-2.18</v>
      </c>
      <c r="I128" s="33" t="n">
        <v>103</v>
      </c>
      <c r="J128" s="33" t="n">
        <f aca="false">I128-I127</f>
        <v>-20</v>
      </c>
      <c r="K128" s="2" t="s">
        <v>195</v>
      </c>
      <c r="L128" s="2" t="n">
        <f aca="false">QUARTILE($C$123:$C$153, 1)</f>
        <v>7665</v>
      </c>
      <c r="M128" s="2" t="n">
        <f aca="false">QUARTILE($E$123:$E$153, 1)</f>
        <v>334.2</v>
      </c>
      <c r="N128" s="2" t="n">
        <f aca="false">QUARTILE($G$123:$G$153, 1)</f>
        <v>5.365</v>
      </c>
      <c r="O128" s="2" t="n">
        <f aca="false">QUARTILE($I$123:$I$153, 1)</f>
        <v>78</v>
      </c>
    </row>
    <row r="129" customFormat="false" ht="13.8" hidden="false" customHeight="false" outlineLevel="0" collapsed="false">
      <c r="A129" s="1" t="n">
        <v>128</v>
      </c>
      <c r="B129" s="32" t="n">
        <v>45419</v>
      </c>
      <c r="C129" s="33" t="n">
        <v>8166</v>
      </c>
      <c r="D129" s="33" t="n">
        <f aca="false">C129-C128</f>
        <v>-2502</v>
      </c>
      <c r="E129" s="33" t="n">
        <v>350.6</v>
      </c>
      <c r="F129" s="33" t="n">
        <f aca="false">E129-E128</f>
        <v>-108.5</v>
      </c>
      <c r="G129" s="33" t="n">
        <v>5.72</v>
      </c>
      <c r="H129" s="33" t="n">
        <f aca="false">G129-G128</f>
        <v>-1.75</v>
      </c>
      <c r="I129" s="33" t="n">
        <v>80</v>
      </c>
      <c r="J129" s="33" t="n">
        <f aca="false">I129-I128</f>
        <v>-23</v>
      </c>
      <c r="K129" s="2" t="s">
        <v>181</v>
      </c>
      <c r="L129" s="2" t="n">
        <f aca="false">QUARTILE($C$123:$C$153, 3)</f>
        <v>14296</v>
      </c>
      <c r="M129" s="2" t="n">
        <f aca="false">QUARTILE($E$123:$E$153, 3)</f>
        <v>610.8</v>
      </c>
      <c r="N129" s="2" t="n">
        <f aca="false">QUARTILE($G$123:$G$153, 3)</f>
        <v>10.005</v>
      </c>
      <c r="O129" s="2" t="n">
        <f aca="false">QUARTILE($I$123:$I$153, 3)</f>
        <v>136.5</v>
      </c>
    </row>
    <row r="130" customFormat="false" ht="13.8" hidden="false" customHeight="false" outlineLevel="0" collapsed="false">
      <c r="A130" s="33" t="n">
        <v>129</v>
      </c>
      <c r="B130" s="32" t="n">
        <v>45420</v>
      </c>
      <c r="C130" s="33" t="n">
        <v>12884</v>
      </c>
      <c r="D130" s="33" t="n">
        <f aca="false">C130-C129</f>
        <v>4718</v>
      </c>
      <c r="E130" s="33" t="n">
        <v>548.4</v>
      </c>
      <c r="F130" s="33" t="n">
        <f aca="false">E130-E129</f>
        <v>197.8</v>
      </c>
      <c r="G130" s="33" t="n">
        <v>9.02</v>
      </c>
      <c r="H130" s="33" t="n">
        <f aca="false">G130-G129</f>
        <v>3.3</v>
      </c>
      <c r="I130" s="33" t="n">
        <v>122</v>
      </c>
      <c r="J130" s="33" t="n">
        <f aca="false">I130-I129</f>
        <v>42</v>
      </c>
      <c r="K130" s="2" t="s">
        <v>182</v>
      </c>
      <c r="L130" s="2" t="n">
        <f aca="false">VAR($C$123:$C$153)</f>
        <v>38047508.4451613</v>
      </c>
      <c r="M130" s="2" t="n">
        <f aca="false">VAR($E$123:$E$153)</f>
        <v>68433.1861290323</v>
      </c>
      <c r="N130" s="2" t="n">
        <f aca="false">VAR($G$123:$G$153)</f>
        <v>18.6461397849462</v>
      </c>
      <c r="O130" s="2" t="n">
        <f aca="false">VAR($I$123:$I$153)</f>
        <v>3425.62580645161</v>
      </c>
    </row>
    <row r="131" customFormat="false" ht="13.8" hidden="false" customHeight="false" outlineLevel="0" collapsed="false">
      <c r="A131" s="1" t="n">
        <v>130</v>
      </c>
      <c r="B131" s="32" t="n">
        <v>45421</v>
      </c>
      <c r="C131" s="33" t="n">
        <v>7209</v>
      </c>
      <c r="D131" s="33" t="n">
        <f aca="false">C131-C130</f>
        <v>-5675</v>
      </c>
      <c r="E131" s="33" t="n">
        <v>312.8</v>
      </c>
      <c r="F131" s="33" t="n">
        <f aca="false">E131-E130</f>
        <v>-235.6</v>
      </c>
      <c r="G131" s="33" t="n">
        <v>5.05</v>
      </c>
      <c r="H131" s="33" t="n">
        <f aca="false">G131-G130</f>
        <v>-3.97</v>
      </c>
      <c r="I131" s="33" t="n">
        <v>71</v>
      </c>
      <c r="J131" s="33" t="n">
        <f aca="false">I131-I130</f>
        <v>-51</v>
      </c>
      <c r="K131" s="2" t="s">
        <v>16</v>
      </c>
      <c r="L131" s="2" t="n">
        <f aca="false">STDEV($C$123:$C$153)</f>
        <v>6168.2662430509</v>
      </c>
      <c r="M131" s="2" t="n">
        <f aca="false">STDEV($E$123:$E$153)</f>
        <v>261.597374086653</v>
      </c>
      <c r="N131" s="2" t="n">
        <f aca="false">STDEV($G$123:$G$153)</f>
        <v>4.31811762055485</v>
      </c>
      <c r="O131" s="2" t="n">
        <f aca="false">STDEV($I$123:$I$153)</f>
        <v>58.5288459347322</v>
      </c>
    </row>
    <row r="132" customFormat="false" ht="13.8" hidden="false" customHeight="false" outlineLevel="0" collapsed="false">
      <c r="A132" s="33" t="n">
        <v>131</v>
      </c>
      <c r="B132" s="32" t="n">
        <v>45422</v>
      </c>
      <c r="C132" s="33" t="n">
        <v>2226</v>
      </c>
      <c r="D132" s="33" t="n">
        <f aca="false">C132-C131</f>
        <v>-4983</v>
      </c>
      <c r="E132" s="33" t="n">
        <v>101.4</v>
      </c>
      <c r="F132" s="33" t="n">
        <f aca="false">E132-E131</f>
        <v>-211.4</v>
      </c>
      <c r="G132" s="33" t="n">
        <v>1.56</v>
      </c>
      <c r="H132" s="33" t="n">
        <f aca="false">G132-G131</f>
        <v>-3.49</v>
      </c>
      <c r="I132" s="33" t="n">
        <v>25</v>
      </c>
      <c r="J132" s="33" t="n">
        <f aca="false">I132-I131</f>
        <v>-46</v>
      </c>
      <c r="K132" s="2" t="s">
        <v>20</v>
      </c>
      <c r="L132" s="2" t="n">
        <f aca="false">KURT($C$123:$C$153)</f>
        <v>1.37686835644957</v>
      </c>
      <c r="M132" s="2" t="n">
        <f aca="false">KURT($E$123:$E$153)</f>
        <v>1.54141572886762</v>
      </c>
      <c r="N132" s="2" t="n">
        <f aca="false">KURT($G$123:$G$153)</f>
        <v>1.37584834552982</v>
      </c>
      <c r="O132" s="2" t="n">
        <f aca="false">KURT($I$123:$I$153)</f>
        <v>1.82921545853491</v>
      </c>
    </row>
    <row r="133" customFormat="false" ht="13.8" hidden="false" customHeight="false" outlineLevel="0" collapsed="false">
      <c r="A133" s="1" t="n">
        <v>132</v>
      </c>
      <c r="B133" s="32" t="n">
        <v>45423</v>
      </c>
      <c r="C133" s="33" t="n">
        <v>14057</v>
      </c>
      <c r="D133" s="33" t="n">
        <f aca="false">C133-C132</f>
        <v>11831</v>
      </c>
      <c r="E133" s="33" t="n">
        <v>594.6</v>
      </c>
      <c r="F133" s="33" t="n">
        <f aca="false">E133-E132</f>
        <v>493.2</v>
      </c>
      <c r="G133" s="33" t="n">
        <v>9.84</v>
      </c>
      <c r="H133" s="33" t="n">
        <f aca="false">G133-G132</f>
        <v>8.28</v>
      </c>
      <c r="I133" s="33" t="n">
        <v>131</v>
      </c>
      <c r="J133" s="33" t="n">
        <f aca="false">I133-I132</f>
        <v>106</v>
      </c>
      <c r="K133" s="2" t="s">
        <v>22</v>
      </c>
      <c r="L133" s="2" t="n">
        <f aca="false">SKEW($C$123:$C$153)</f>
        <v>0.58263878120359</v>
      </c>
      <c r="M133" s="2" t="n">
        <f aca="false">SKEW($E$123:$E$153)</f>
        <v>0.625073915859052</v>
      </c>
      <c r="N133" s="2" t="n">
        <f aca="false">SKEW($G$123:$G$153)</f>
        <v>0.584738489960202</v>
      </c>
      <c r="O133" s="2" t="n">
        <f aca="false">SKEW($I$123:$I$153)</f>
        <v>0.7182350906806</v>
      </c>
    </row>
    <row r="134" customFormat="false" ht="13.8" hidden="false" customHeight="false" outlineLevel="0" collapsed="false">
      <c r="A134" s="33" t="n">
        <v>133</v>
      </c>
      <c r="B134" s="32" t="n">
        <v>45424</v>
      </c>
      <c r="C134" s="33" t="n">
        <v>7673</v>
      </c>
      <c r="D134" s="33" t="n">
        <f aca="false">C134-C133</f>
        <v>-6384</v>
      </c>
      <c r="E134" s="33" t="n">
        <v>336.1</v>
      </c>
      <c r="F134" s="33" t="n">
        <f aca="false">E134-E133</f>
        <v>-258.5</v>
      </c>
      <c r="G134" s="33" t="n">
        <v>5.37</v>
      </c>
      <c r="H134" s="33" t="n">
        <f aca="false">G134-G133</f>
        <v>-4.47</v>
      </c>
      <c r="I134" s="33" t="n">
        <v>79</v>
      </c>
      <c r="J134" s="33" t="n">
        <f aca="false">I134-I133</f>
        <v>-52</v>
      </c>
      <c r="K134" s="2" t="s">
        <v>24</v>
      </c>
      <c r="L134" s="2" t="n">
        <f aca="false">MAX($C$123:$C$153)-MIN($C$123:$C$153)</f>
        <v>28650</v>
      </c>
      <c r="M134" s="2" t="n">
        <f aca="false">MAX($E$123:$E$153)-MIN($E$123:$E$153)</f>
        <v>1227</v>
      </c>
      <c r="N134" s="2" t="n">
        <f aca="false">MAX($G$123:$G$153)-MIN($G$123:$G$153)</f>
        <v>20.05</v>
      </c>
      <c r="O134" s="2" t="n">
        <f aca="false">MAX($I$123:$I$153)-MIN($I$123:$I$153)</f>
        <v>278</v>
      </c>
    </row>
    <row r="135" customFormat="false" ht="13.8" hidden="false" customHeight="false" outlineLevel="0" collapsed="false">
      <c r="A135" s="1" t="n">
        <v>134</v>
      </c>
      <c r="B135" s="32" t="n">
        <v>45425</v>
      </c>
      <c r="C135" s="33" t="n">
        <v>14535</v>
      </c>
      <c r="D135" s="33" t="n">
        <f aca="false">C135-C134</f>
        <v>6862</v>
      </c>
      <c r="E135" s="33" t="n">
        <v>627</v>
      </c>
      <c r="F135" s="33" t="n">
        <f aca="false">E135-E134</f>
        <v>290.9</v>
      </c>
      <c r="G135" s="33" t="n">
        <v>10.17</v>
      </c>
      <c r="H135" s="33" t="n">
        <f aca="false">G135-G134</f>
        <v>4.8</v>
      </c>
      <c r="I135" s="33" t="n">
        <v>142</v>
      </c>
      <c r="J135" s="33" t="n">
        <f aca="false">I135-I134</f>
        <v>63</v>
      </c>
      <c r="K135" s="2" t="s">
        <v>26</v>
      </c>
      <c r="L135" s="2" t="n">
        <f aca="false">MIN($C$123:$C$153)</f>
        <v>980</v>
      </c>
      <c r="M135" s="2" t="n">
        <f aca="false">MIN($E$123:$E$153)</f>
        <v>44.6</v>
      </c>
      <c r="N135" s="2" t="n">
        <f aca="false">MIN($G$123:$G$153)</f>
        <v>0.69</v>
      </c>
      <c r="O135" s="2" t="n">
        <f aca="false">MIN($I$123:$I$153)</f>
        <v>11</v>
      </c>
    </row>
    <row r="136" customFormat="false" ht="13.8" hidden="false" customHeight="false" outlineLevel="0" collapsed="false">
      <c r="A136" s="33" t="n">
        <v>135</v>
      </c>
      <c r="B136" s="32" t="n">
        <v>45426</v>
      </c>
      <c r="C136" s="33" t="n">
        <v>8304</v>
      </c>
      <c r="D136" s="33" t="n">
        <f aca="false">C136-C135</f>
        <v>-6231</v>
      </c>
      <c r="E136" s="33" t="n">
        <v>358.4</v>
      </c>
      <c r="F136" s="33" t="n">
        <f aca="false">E136-E135</f>
        <v>-268.6</v>
      </c>
      <c r="G136" s="33" t="n">
        <v>5.81</v>
      </c>
      <c r="H136" s="33" t="n">
        <f aca="false">G136-G135</f>
        <v>-4.36</v>
      </c>
      <c r="I136" s="33" t="n">
        <v>82</v>
      </c>
      <c r="J136" s="33" t="n">
        <f aca="false">I136-I135</f>
        <v>-60</v>
      </c>
      <c r="K136" s="2" t="s">
        <v>28</v>
      </c>
      <c r="L136" s="2" t="n">
        <f aca="false">MAX($C$123:$C$153)</f>
        <v>29630</v>
      </c>
      <c r="M136" s="2" t="n">
        <f aca="false">MAX($E$123:$E$153)</f>
        <v>1271.6</v>
      </c>
      <c r="N136" s="2" t="n">
        <f aca="false">MAX($G$123:$G$153)</f>
        <v>20.74</v>
      </c>
      <c r="O136" s="2" t="n">
        <f aca="false">MAX($I$123:$I$153)</f>
        <v>289</v>
      </c>
    </row>
    <row r="137" customFormat="false" ht="13.8" hidden="false" customHeight="false" outlineLevel="0" collapsed="false">
      <c r="A137" s="1" t="n">
        <v>136</v>
      </c>
      <c r="B137" s="32" t="n">
        <v>45427</v>
      </c>
      <c r="C137" s="33" t="n">
        <v>11696</v>
      </c>
      <c r="D137" s="33" t="n">
        <f aca="false">C137-C136</f>
        <v>3392</v>
      </c>
      <c r="E137" s="33" t="n">
        <v>494.7</v>
      </c>
      <c r="F137" s="33" t="n">
        <f aca="false">E137-E136</f>
        <v>136.3</v>
      </c>
      <c r="G137" s="33" t="n">
        <v>8.19</v>
      </c>
      <c r="H137" s="33" t="n">
        <f aca="false">G137-G136</f>
        <v>2.38</v>
      </c>
      <c r="I137" s="33" t="n">
        <v>109</v>
      </c>
      <c r="J137" s="33" t="n">
        <f aca="false">I137-I136</f>
        <v>27</v>
      </c>
      <c r="K137" s="2" t="s">
        <v>30</v>
      </c>
      <c r="L137" s="2" t="n">
        <f aca="false">SUM($C$123:$C$153)</f>
        <v>352544</v>
      </c>
      <c r="M137" s="2" t="n">
        <f aca="false">SUM($E$123:$E$153)</f>
        <v>15093</v>
      </c>
      <c r="N137" s="2" t="n">
        <f aca="false">SUM($G$123:$G$153)</f>
        <v>246.68</v>
      </c>
      <c r="O137" s="2" t="n">
        <f aca="false">SUM($I$123:$I$153)</f>
        <v>3400</v>
      </c>
    </row>
    <row r="138" customFormat="false" ht="13.8" hidden="false" customHeight="false" outlineLevel="0" collapsed="false">
      <c r="A138" s="33" t="n">
        <v>137</v>
      </c>
      <c r="B138" s="32" t="n">
        <v>45428</v>
      </c>
      <c r="C138" s="33" t="n">
        <v>12332</v>
      </c>
      <c r="D138" s="33" t="n">
        <f aca="false">C138-C137</f>
        <v>636</v>
      </c>
      <c r="E138" s="33" t="n">
        <v>518.1</v>
      </c>
      <c r="F138" s="33" t="n">
        <f aca="false">E138-E137</f>
        <v>23.4</v>
      </c>
      <c r="G138" s="33" t="n">
        <v>8.63</v>
      </c>
      <c r="H138" s="33" t="n">
        <f aca="false">G138-G137</f>
        <v>0.440000000000001</v>
      </c>
      <c r="I138" s="33" t="n">
        <v>112</v>
      </c>
      <c r="J138" s="33" t="n">
        <f aca="false">I138-I137</f>
        <v>3</v>
      </c>
      <c r="K138" s="2" t="s">
        <v>32</v>
      </c>
      <c r="L138" s="2" t="n">
        <f aca="false">COUNT($C$123:$C$153)</f>
        <v>31</v>
      </c>
      <c r="M138" s="2" t="n">
        <f aca="false">COUNT($E$123:$E$153)</f>
        <v>31</v>
      </c>
      <c r="N138" s="2" t="n">
        <f aca="false">COUNT($G$123:$G$153)</f>
        <v>31</v>
      </c>
      <c r="O138" s="2" t="n">
        <f aca="false">COUNT($I$123:$I$153)</f>
        <v>31</v>
      </c>
    </row>
    <row r="139" customFormat="false" ht="13.8" hidden="false" customHeight="false" outlineLevel="0" collapsed="false">
      <c r="A139" s="1" t="n">
        <v>138</v>
      </c>
      <c r="B139" s="32" t="n">
        <v>45429</v>
      </c>
      <c r="C139" s="33" t="n">
        <v>10741</v>
      </c>
      <c r="D139" s="33" t="n">
        <f aca="false">C139-C138</f>
        <v>-1591</v>
      </c>
      <c r="E139" s="33" t="n">
        <v>473.1</v>
      </c>
      <c r="F139" s="33" t="n">
        <f aca="false">E139-E138</f>
        <v>-45</v>
      </c>
      <c r="G139" s="33" t="n">
        <v>7.52</v>
      </c>
      <c r="H139" s="33" t="n">
        <f aca="false">G139-G138</f>
        <v>-1.11</v>
      </c>
      <c r="I139" s="33" t="n">
        <v>112</v>
      </c>
      <c r="J139" s="33" t="n">
        <f aca="false">I139-I138</f>
        <v>0</v>
      </c>
    </row>
    <row r="140" customFormat="false" ht="13.8" hidden="false" customHeight="false" outlineLevel="0" collapsed="false">
      <c r="A140" s="33" t="n">
        <v>139</v>
      </c>
      <c r="B140" s="32" t="n">
        <v>45430</v>
      </c>
      <c r="C140" s="33" t="n">
        <v>12736</v>
      </c>
      <c r="D140" s="33" t="n">
        <f aca="false">C140-C139</f>
        <v>1995</v>
      </c>
      <c r="E140" s="33" t="n">
        <v>555.2</v>
      </c>
      <c r="F140" s="33" t="n">
        <f aca="false">E140-E139</f>
        <v>82.1</v>
      </c>
      <c r="G140" s="33" t="n">
        <v>8.92</v>
      </c>
      <c r="H140" s="33" t="n">
        <f aca="false">G140-G139</f>
        <v>1.4</v>
      </c>
      <c r="I140" s="33" t="n">
        <v>130</v>
      </c>
      <c r="J140" s="33" t="n">
        <f aca="false">I140-I139</f>
        <v>18</v>
      </c>
    </row>
    <row r="141" customFormat="false" ht="13.8" hidden="false" customHeight="false" outlineLevel="0" collapsed="false">
      <c r="A141" s="1" t="n">
        <v>140</v>
      </c>
      <c r="B141" s="32" t="n">
        <v>45431</v>
      </c>
      <c r="C141" s="33" t="n">
        <v>1343</v>
      </c>
      <c r="D141" s="33" t="n">
        <f aca="false">C141-C140</f>
        <v>-11393</v>
      </c>
      <c r="E141" s="33" t="n">
        <v>61.9</v>
      </c>
      <c r="F141" s="33" t="n">
        <f aca="false">E141-E140</f>
        <v>-493.3</v>
      </c>
      <c r="G141" s="33" t="n">
        <v>0.94</v>
      </c>
      <c r="H141" s="33" t="n">
        <f aca="false">G141-G140</f>
        <v>-7.98</v>
      </c>
      <c r="I141" s="33" t="n">
        <v>15</v>
      </c>
      <c r="J141" s="33" t="n">
        <f aca="false">I141-I140</f>
        <v>-115</v>
      </c>
    </row>
    <row r="142" customFormat="false" ht="13.8" hidden="false" customHeight="false" outlineLevel="0" collapsed="false">
      <c r="A142" s="33" t="n">
        <v>141</v>
      </c>
      <c r="B142" s="32" t="n">
        <v>45432</v>
      </c>
      <c r="C142" s="33" t="n">
        <v>16175</v>
      </c>
      <c r="D142" s="33" t="n">
        <f aca="false">C142-C141</f>
        <v>14832</v>
      </c>
      <c r="E142" s="33" t="n">
        <v>687</v>
      </c>
      <c r="F142" s="33" t="n">
        <f aca="false">E142-E141</f>
        <v>625.1</v>
      </c>
      <c r="G142" s="33" t="n">
        <v>11.32</v>
      </c>
      <c r="H142" s="33" t="n">
        <f aca="false">G142-G141</f>
        <v>10.38</v>
      </c>
      <c r="I142" s="33" t="n">
        <v>153</v>
      </c>
      <c r="J142" s="33" t="n">
        <f aca="false">I142-I141</f>
        <v>138</v>
      </c>
    </row>
    <row r="143" customFormat="false" ht="13.8" hidden="false" customHeight="false" outlineLevel="0" collapsed="false">
      <c r="A143" s="1" t="n">
        <v>142</v>
      </c>
      <c r="B143" s="32" t="n">
        <v>45433</v>
      </c>
      <c r="C143" s="33" t="n">
        <v>18417</v>
      </c>
      <c r="D143" s="33" t="n">
        <f aca="false">C143-C142</f>
        <v>2242</v>
      </c>
      <c r="E143" s="33" t="n">
        <v>772</v>
      </c>
      <c r="F143" s="33" t="n">
        <f aca="false">E143-E142</f>
        <v>85</v>
      </c>
      <c r="G143" s="33" t="n">
        <v>12.89</v>
      </c>
      <c r="H143" s="33" t="n">
        <f aca="false">G143-G142</f>
        <v>1.57</v>
      </c>
      <c r="I143" s="33" t="n">
        <v>167</v>
      </c>
      <c r="J143" s="33" t="n">
        <f aca="false">I143-I142</f>
        <v>14</v>
      </c>
    </row>
    <row r="144" customFormat="false" ht="13.8" hidden="false" customHeight="false" outlineLevel="0" collapsed="false">
      <c r="A144" s="33" t="n">
        <v>143</v>
      </c>
      <c r="B144" s="32" t="n">
        <v>45434</v>
      </c>
      <c r="C144" s="33" t="n">
        <v>9763</v>
      </c>
      <c r="D144" s="33" t="n">
        <f aca="false">C144-C143</f>
        <v>-8654</v>
      </c>
      <c r="E144" s="33" t="n">
        <v>412.9</v>
      </c>
      <c r="F144" s="33" t="n">
        <f aca="false">E144-E143</f>
        <v>-359.1</v>
      </c>
      <c r="G144" s="33" t="n">
        <v>6.73</v>
      </c>
      <c r="H144" s="33" t="n">
        <f aca="false">G144-G143</f>
        <v>-6.16</v>
      </c>
      <c r="I144" s="33" t="n">
        <v>91</v>
      </c>
      <c r="J144" s="33" t="n">
        <f aca="false">I144-I143</f>
        <v>-76</v>
      </c>
    </row>
    <row r="145" customFormat="false" ht="13.8" hidden="false" customHeight="false" outlineLevel="0" collapsed="false">
      <c r="A145" s="1" t="n">
        <v>144</v>
      </c>
      <c r="B145" s="32" t="n">
        <v>45435</v>
      </c>
      <c r="C145" s="33" t="n">
        <v>19082</v>
      </c>
      <c r="D145" s="33" t="n">
        <f aca="false">C145-C144</f>
        <v>9319</v>
      </c>
      <c r="E145" s="33" t="n">
        <v>809.3</v>
      </c>
      <c r="F145" s="33" t="n">
        <f aca="false">E145-E144</f>
        <v>396.4</v>
      </c>
      <c r="G145" s="33" t="n">
        <v>13.36</v>
      </c>
      <c r="H145" s="33" t="n">
        <f aca="false">G145-G144</f>
        <v>6.63</v>
      </c>
      <c r="I145" s="33" t="n">
        <v>181</v>
      </c>
      <c r="J145" s="33" t="n">
        <f aca="false">I145-I144</f>
        <v>90</v>
      </c>
    </row>
    <row r="146" customFormat="false" ht="13.8" hidden="false" customHeight="false" outlineLevel="0" collapsed="false">
      <c r="A146" s="33" t="n">
        <v>145</v>
      </c>
      <c r="B146" s="32" t="n">
        <v>45436</v>
      </c>
      <c r="C146" s="33" t="n">
        <v>7225</v>
      </c>
      <c r="D146" s="33" t="n">
        <f aca="false">C146-C145</f>
        <v>-11857</v>
      </c>
      <c r="E146" s="33" t="n">
        <v>311.1</v>
      </c>
      <c r="F146" s="33" t="n">
        <f aca="false">E146-E145</f>
        <v>-498.2</v>
      </c>
      <c r="G146" s="33" t="n">
        <v>5.06</v>
      </c>
      <c r="H146" s="33" t="n">
        <f aca="false">G146-G145</f>
        <v>-8.3</v>
      </c>
      <c r="I146" s="33" t="n">
        <v>71</v>
      </c>
      <c r="J146" s="33" t="n">
        <f aca="false">I146-I145</f>
        <v>-110</v>
      </c>
    </row>
    <row r="147" customFormat="false" ht="13.8" hidden="false" customHeight="false" outlineLevel="0" collapsed="false">
      <c r="A147" s="1" t="n">
        <v>146</v>
      </c>
      <c r="B147" s="32" t="n">
        <v>45437</v>
      </c>
      <c r="C147" s="33" t="n">
        <v>29630</v>
      </c>
      <c r="D147" s="33" t="n">
        <f aca="false">C147-C146</f>
        <v>22405</v>
      </c>
      <c r="E147" s="33" t="n">
        <v>1271.6</v>
      </c>
      <c r="F147" s="33" t="n">
        <f aca="false">E147-E146</f>
        <v>960.5</v>
      </c>
      <c r="G147" s="33" t="n">
        <v>20.74</v>
      </c>
      <c r="H147" s="33" t="n">
        <f aca="false">G147-G146</f>
        <v>15.68</v>
      </c>
      <c r="I147" s="33" t="n">
        <v>289</v>
      </c>
      <c r="J147" s="33" t="n">
        <f aca="false">I147-I146</f>
        <v>218</v>
      </c>
    </row>
    <row r="148" customFormat="false" ht="13.8" hidden="false" customHeight="false" outlineLevel="0" collapsed="false">
      <c r="A148" s="33" t="n">
        <v>147</v>
      </c>
      <c r="B148" s="32" t="n">
        <v>45438</v>
      </c>
      <c r="C148" s="33" t="n">
        <v>7657</v>
      </c>
      <c r="D148" s="33" t="n">
        <f aca="false">C148-C147</f>
        <v>-21973</v>
      </c>
      <c r="E148" s="33" t="n">
        <v>332.3</v>
      </c>
      <c r="F148" s="33" t="n">
        <f aca="false">E148-E147</f>
        <v>-939.3</v>
      </c>
      <c r="G148" s="33" t="n">
        <v>5.36</v>
      </c>
      <c r="H148" s="33" t="n">
        <f aca="false">G148-G147</f>
        <v>-15.38</v>
      </c>
      <c r="I148" s="33" t="n">
        <v>77</v>
      </c>
      <c r="J148" s="33" t="n">
        <f aca="false">I148-I147</f>
        <v>-212</v>
      </c>
    </row>
    <row r="149" customFormat="false" ht="13.8" hidden="false" customHeight="false" outlineLevel="0" collapsed="false">
      <c r="A149" s="1" t="n">
        <v>148</v>
      </c>
      <c r="B149" s="32" t="n">
        <v>45439</v>
      </c>
      <c r="C149" s="33" t="n">
        <v>10959</v>
      </c>
      <c r="D149" s="33" t="n">
        <f aca="false">C149-C148</f>
        <v>3302</v>
      </c>
      <c r="E149" s="33" t="n">
        <v>464.4</v>
      </c>
      <c r="F149" s="33" t="n">
        <f aca="false">E149-E148</f>
        <v>132.1</v>
      </c>
      <c r="G149" s="33" t="n">
        <v>7.67</v>
      </c>
      <c r="H149" s="33" t="n">
        <f aca="false">G149-G148</f>
        <v>2.31</v>
      </c>
      <c r="I149" s="33" t="n">
        <v>102</v>
      </c>
      <c r="J149" s="33" t="n">
        <f aca="false">I149-I148</f>
        <v>25</v>
      </c>
    </row>
    <row r="150" customFormat="false" ht="13.8" hidden="false" customHeight="false" outlineLevel="0" collapsed="false">
      <c r="A150" s="33" t="n">
        <v>149</v>
      </c>
      <c r="B150" s="32" t="n">
        <v>45440</v>
      </c>
      <c r="C150" s="33" t="n">
        <v>17571</v>
      </c>
      <c r="D150" s="33" t="n">
        <f aca="false">C150-C149</f>
        <v>6612</v>
      </c>
      <c r="E150" s="33" t="n">
        <v>751.6</v>
      </c>
      <c r="F150" s="33" t="n">
        <f aca="false">E150-E149</f>
        <v>287.2</v>
      </c>
      <c r="G150" s="33" t="n">
        <v>12.3</v>
      </c>
      <c r="H150" s="33" t="n">
        <f aca="false">G150-G149</f>
        <v>4.63</v>
      </c>
      <c r="I150" s="33" t="n">
        <v>170</v>
      </c>
      <c r="J150" s="33" t="n">
        <f aca="false">I150-I149</f>
        <v>68</v>
      </c>
    </row>
    <row r="151" customFormat="false" ht="13.8" hidden="false" customHeight="false" outlineLevel="0" collapsed="false">
      <c r="A151" s="1" t="n">
        <v>150</v>
      </c>
      <c r="B151" s="32" t="n">
        <v>45441</v>
      </c>
      <c r="C151" s="33" t="n">
        <v>15707</v>
      </c>
      <c r="D151" s="33" t="n">
        <f aca="false">C151-C150</f>
        <v>-1864</v>
      </c>
      <c r="E151" s="33" t="n">
        <v>664.8</v>
      </c>
      <c r="F151" s="33" t="n">
        <f aca="false">E151-E150</f>
        <v>-86.8000000000001</v>
      </c>
      <c r="G151" s="33" t="n">
        <v>10.99</v>
      </c>
      <c r="H151" s="33" t="n">
        <f aca="false">G151-G150</f>
        <v>-1.31</v>
      </c>
      <c r="I151" s="33" t="n">
        <v>147</v>
      </c>
      <c r="J151" s="33" t="n">
        <f aca="false">I151-I150</f>
        <v>-23</v>
      </c>
    </row>
    <row r="152" customFormat="false" ht="13.8" hidden="false" customHeight="false" outlineLevel="0" collapsed="false">
      <c r="A152" s="33" t="n">
        <v>151</v>
      </c>
      <c r="B152" s="32" t="n">
        <v>45442</v>
      </c>
      <c r="C152" s="33" t="n">
        <v>5774</v>
      </c>
      <c r="D152" s="33" t="n">
        <f aca="false">C152-C151</f>
        <v>-9933</v>
      </c>
      <c r="E152" s="33" t="n">
        <v>254.1</v>
      </c>
      <c r="F152" s="33" t="n">
        <f aca="false">E152-E151</f>
        <v>-410.7</v>
      </c>
      <c r="G152" s="33" t="n">
        <v>4.04</v>
      </c>
      <c r="H152" s="33" t="n">
        <f aca="false">G152-G151</f>
        <v>-6.95</v>
      </c>
      <c r="I152" s="33" t="n">
        <v>59</v>
      </c>
      <c r="J152" s="33" t="n">
        <f aca="false">I152-I151</f>
        <v>-88</v>
      </c>
    </row>
    <row r="153" customFormat="false" ht="13.8" hidden="false" customHeight="false" outlineLevel="0" collapsed="false">
      <c r="A153" s="1" t="n">
        <v>152</v>
      </c>
      <c r="B153" s="32" t="n">
        <v>45443</v>
      </c>
      <c r="C153" s="33" t="n">
        <v>11615</v>
      </c>
      <c r="D153" s="33" t="n">
        <f aca="false">C153-C152</f>
        <v>5841</v>
      </c>
      <c r="E153" s="33" t="n">
        <v>491.8</v>
      </c>
      <c r="F153" s="33" t="n">
        <f aca="false">E153-E152</f>
        <v>237.7</v>
      </c>
      <c r="G153" s="33" t="n">
        <v>8.13</v>
      </c>
      <c r="H153" s="33" t="n">
        <f aca="false">G153-G152</f>
        <v>4.09</v>
      </c>
      <c r="I153" s="33" t="n">
        <v>107</v>
      </c>
      <c r="J153" s="33" t="n">
        <f aca="false">I153-I152</f>
        <v>48</v>
      </c>
    </row>
    <row r="154" customFormat="false" ht="13.8" hidden="false" customHeight="false" outlineLevel="0" collapsed="false">
      <c r="A154" s="33" t="n">
        <v>153</v>
      </c>
      <c r="B154" s="32" t="n">
        <v>45444</v>
      </c>
      <c r="C154" s="33" t="n">
        <v>11746</v>
      </c>
      <c r="D154" s="33" t="n">
        <f aca="false">C154-C153</f>
        <v>131</v>
      </c>
      <c r="E154" s="33" t="n">
        <v>502.3</v>
      </c>
      <c r="F154" s="33" t="n">
        <f aca="false">E154-E153</f>
        <v>10.5</v>
      </c>
      <c r="G154" s="33" t="n">
        <v>8.22</v>
      </c>
      <c r="H154" s="33" t="n">
        <f aca="false">G154-G153</f>
        <v>0.0899999999999999</v>
      </c>
      <c r="I154" s="33" t="n">
        <v>113</v>
      </c>
      <c r="J154" s="33" t="n">
        <f aca="false">I154-I153</f>
        <v>6</v>
      </c>
      <c r="L154" s="34" t="s">
        <v>2</v>
      </c>
      <c r="M154" s="34" t="s">
        <v>179</v>
      </c>
      <c r="N154" s="34" t="s">
        <v>175</v>
      </c>
      <c r="O154" s="34" t="s">
        <v>177</v>
      </c>
    </row>
    <row r="155" customFormat="false" ht="13.8" hidden="false" customHeight="false" outlineLevel="0" collapsed="false">
      <c r="A155" s="1" t="n">
        <v>154</v>
      </c>
      <c r="B155" s="32" t="n">
        <v>45445</v>
      </c>
      <c r="C155" s="33" t="n">
        <v>15212</v>
      </c>
      <c r="D155" s="33" t="n">
        <f aca="false">C155-C154</f>
        <v>3466</v>
      </c>
      <c r="E155" s="33" t="n">
        <v>636.8</v>
      </c>
      <c r="F155" s="33" t="n">
        <f aca="false">E155-E154</f>
        <v>134.5</v>
      </c>
      <c r="G155" s="33" t="n">
        <v>10.65</v>
      </c>
      <c r="H155" s="33" t="n">
        <f aca="false">G155-G154</f>
        <v>2.43</v>
      </c>
      <c r="I155" s="33" t="n">
        <v>137</v>
      </c>
      <c r="J155" s="33" t="n">
        <f aca="false">I155-I154</f>
        <v>24</v>
      </c>
      <c r="K155" s="2" t="s">
        <v>8</v>
      </c>
      <c r="L155" s="2" t="n">
        <f aca="false">AVERAGE($C$154:$C$183)</f>
        <v>13306.8</v>
      </c>
      <c r="M155" s="2" t="n">
        <f aca="false">AVERAGE($E$154:$E$183)</f>
        <v>566.006666666667</v>
      </c>
      <c r="N155" s="2" t="n">
        <f aca="false">AVERAGE($G$154:$G$183)</f>
        <v>9.31533333333333</v>
      </c>
      <c r="O155" s="2" t="n">
        <f aca="false">AVERAGE($I$154:$I$183)</f>
        <v>126</v>
      </c>
    </row>
    <row r="156" customFormat="false" ht="13.8" hidden="false" customHeight="false" outlineLevel="0" collapsed="false">
      <c r="A156" s="33" t="n">
        <v>155</v>
      </c>
      <c r="B156" s="32" t="n">
        <v>45446</v>
      </c>
      <c r="C156" s="33" t="n">
        <v>7194</v>
      </c>
      <c r="D156" s="33" t="n">
        <f aca="false">C156-C155</f>
        <v>-8018</v>
      </c>
      <c r="E156" s="33" t="n">
        <v>311.4</v>
      </c>
      <c r="F156" s="33" t="n">
        <f aca="false">E156-E155</f>
        <v>-325.4</v>
      </c>
      <c r="G156" s="33" t="n">
        <v>5.04</v>
      </c>
      <c r="H156" s="33" t="n">
        <f aca="false">G156-G155</f>
        <v>-5.61</v>
      </c>
      <c r="I156" s="33" t="n">
        <v>71</v>
      </c>
      <c r="J156" s="33" t="n">
        <f aca="false">I156-I155</f>
        <v>-66</v>
      </c>
      <c r="K156" s="2" t="s">
        <v>10</v>
      </c>
      <c r="L156" s="2" t="n">
        <f aca="false">SQRT(VAR($C$154:$C$183)/COUNT($C$154:$C$183))</f>
        <v>703.703556316446</v>
      </c>
      <c r="M156" s="2" t="n">
        <f aca="false">SQRT(VAR($E$154:$E$183)/COUNT($E$154:$E$183))</f>
        <v>29.6003754765457</v>
      </c>
      <c r="N156" s="2" t="n">
        <f aca="false">SQRT(VAR($G$154:$G$183)/COUNT($G$154:$G$183))</f>
        <v>0.492437926150201</v>
      </c>
      <c r="O156" s="2" t="n">
        <f aca="false">SQRT(VAR($I$154:$I$183)/COUNT($I$154:$I$183))</f>
        <v>6.51364615303108</v>
      </c>
    </row>
    <row r="157" customFormat="false" ht="13.8" hidden="false" customHeight="false" outlineLevel="0" collapsed="false">
      <c r="A157" s="1" t="n">
        <v>156</v>
      </c>
      <c r="B157" s="32" t="n">
        <v>45447</v>
      </c>
      <c r="C157" s="33" t="n">
        <v>12537</v>
      </c>
      <c r="D157" s="33" t="n">
        <f aca="false">C157-C156</f>
        <v>5343</v>
      </c>
      <c r="E157" s="33" t="n">
        <v>534.7</v>
      </c>
      <c r="F157" s="33" t="n">
        <f aca="false">E157-E156</f>
        <v>223.3</v>
      </c>
      <c r="G157" s="33" t="n">
        <v>8.78</v>
      </c>
      <c r="H157" s="33" t="n">
        <f aca="false">G157-G156</f>
        <v>3.74</v>
      </c>
      <c r="I157" s="33" t="n">
        <v>120</v>
      </c>
      <c r="J157" s="33" t="n">
        <f aca="false">I157-I156</f>
        <v>49</v>
      </c>
      <c r="K157" s="2" t="s">
        <v>14</v>
      </c>
      <c r="L157" s="2" t="e">
        <f aca="false">MODE($C$154:$C$183)</f>
        <v>#VALUE!</v>
      </c>
      <c r="M157" s="2" t="e">
        <f aca="false">MODE($E$154:$E$183)</f>
        <v>#VALUE!</v>
      </c>
      <c r="N157" s="2" t="e">
        <f aca="false">MODE($G$154:$G$183)</f>
        <v>#VALUE!</v>
      </c>
      <c r="O157" s="2" t="n">
        <f aca="false">MODE($I$154:$I$183)</f>
        <v>94</v>
      </c>
    </row>
    <row r="158" customFormat="false" ht="13.8" hidden="false" customHeight="false" outlineLevel="0" collapsed="false">
      <c r="A158" s="33" t="n">
        <v>157</v>
      </c>
      <c r="B158" s="32" t="n">
        <v>45448</v>
      </c>
      <c r="C158" s="33" t="n">
        <v>13640</v>
      </c>
      <c r="D158" s="33" t="n">
        <f aca="false">C158-C157</f>
        <v>1103</v>
      </c>
      <c r="E158" s="33" t="n">
        <v>575.4</v>
      </c>
      <c r="F158" s="33" t="n">
        <f aca="false">E158-E157</f>
        <v>40.6999999999999</v>
      </c>
      <c r="G158" s="33" t="n">
        <v>9.55</v>
      </c>
      <c r="H158" s="33" t="n">
        <f aca="false">G158-G157</f>
        <v>0.770000000000001</v>
      </c>
      <c r="I158" s="33" t="n">
        <v>126</v>
      </c>
      <c r="J158" s="33" t="n">
        <f aca="false">I158-I157</f>
        <v>6</v>
      </c>
      <c r="K158" s="2" t="s">
        <v>12</v>
      </c>
      <c r="L158" s="2" t="n">
        <f aca="false">MEDIAN($C$154:$C$183)</f>
        <v>13189</v>
      </c>
      <c r="M158" s="2" t="n">
        <f aca="false">MEDIAN($E$154:$E$183)</f>
        <v>561.1</v>
      </c>
      <c r="N158" s="2" t="n">
        <f aca="false">MEDIAN($G$154:$G$183)</f>
        <v>9.235</v>
      </c>
      <c r="O158" s="2" t="n">
        <f aca="false">MEDIAN($I$154:$I$183)</f>
        <v>124</v>
      </c>
    </row>
    <row r="159" customFormat="false" ht="13.8" hidden="false" customHeight="false" outlineLevel="0" collapsed="false">
      <c r="A159" s="1" t="n">
        <v>158</v>
      </c>
      <c r="B159" s="32" t="n">
        <v>45449</v>
      </c>
      <c r="C159" s="33" t="n">
        <v>18761</v>
      </c>
      <c r="D159" s="33" t="n">
        <f aca="false">C159-C158</f>
        <v>5121</v>
      </c>
      <c r="E159" s="33" t="n">
        <v>789.4</v>
      </c>
      <c r="F159" s="33" t="n">
        <f aca="false">E159-E158</f>
        <v>214</v>
      </c>
      <c r="G159" s="33" t="n">
        <v>13.13</v>
      </c>
      <c r="H159" s="33" t="n">
        <f aca="false">G159-G158</f>
        <v>3.58</v>
      </c>
      <c r="I159" s="33" t="n">
        <v>173</v>
      </c>
      <c r="J159" s="33" t="n">
        <f aca="false">I159-I158</f>
        <v>47</v>
      </c>
      <c r="K159" s="2" t="s">
        <v>195</v>
      </c>
      <c r="L159" s="2" t="n">
        <f aca="false">QUARTILE($C$154:$C$183, 1)</f>
        <v>10111.75</v>
      </c>
      <c r="M159" s="2" t="n">
        <f aca="false">QUARTILE($E$154:$E$183, 1)</f>
        <v>430.85</v>
      </c>
      <c r="N159" s="2" t="n">
        <f aca="false">QUARTILE($G$154:$G$183, 1)</f>
        <v>7.075</v>
      </c>
      <c r="O159" s="2" t="n">
        <f aca="false">QUARTILE($I$154:$I$183, 1)</f>
        <v>94.5</v>
      </c>
    </row>
    <row r="160" customFormat="false" ht="13.8" hidden="false" customHeight="false" outlineLevel="0" collapsed="false">
      <c r="A160" s="33" t="n">
        <v>159</v>
      </c>
      <c r="B160" s="32" t="n">
        <v>45450</v>
      </c>
      <c r="C160" s="33" t="n">
        <v>15730</v>
      </c>
      <c r="D160" s="33" t="n">
        <f aca="false">C160-C159</f>
        <v>-3031</v>
      </c>
      <c r="E160" s="33" t="n">
        <v>665.6</v>
      </c>
      <c r="F160" s="33" t="n">
        <f aca="false">E160-E159</f>
        <v>-123.8</v>
      </c>
      <c r="G160" s="33" t="n">
        <v>11.01</v>
      </c>
      <c r="H160" s="33" t="n">
        <f aca="false">G160-G159</f>
        <v>-2.12</v>
      </c>
      <c r="I160" s="33" t="n">
        <v>146</v>
      </c>
      <c r="J160" s="33" t="n">
        <f aca="false">I160-I159</f>
        <v>-27</v>
      </c>
      <c r="K160" s="2" t="s">
        <v>181</v>
      </c>
      <c r="L160" s="2" t="n">
        <f aca="false">QUARTILE($C$154:$C$183, 3)</f>
        <v>16285.75</v>
      </c>
      <c r="M160" s="2" t="n">
        <f aca="false">QUARTILE($E$154:$E$183, 3)</f>
        <v>685.025</v>
      </c>
      <c r="N160" s="2" t="n">
        <f aca="false">QUARTILE($G$154:$G$183, 3)</f>
        <v>11.4</v>
      </c>
      <c r="O160" s="2" t="n">
        <f aca="false">QUARTILE($I$154:$I$183, 3)</f>
        <v>150</v>
      </c>
    </row>
    <row r="161" customFormat="false" ht="13.8" hidden="false" customHeight="false" outlineLevel="0" collapsed="false">
      <c r="A161" s="1" t="n">
        <v>160</v>
      </c>
      <c r="B161" s="32" t="n">
        <v>45451</v>
      </c>
      <c r="C161" s="33" t="n">
        <v>13028</v>
      </c>
      <c r="D161" s="33" t="n">
        <f aca="false">C161-C160</f>
        <v>-2702</v>
      </c>
      <c r="E161" s="33" t="n">
        <v>559.8</v>
      </c>
      <c r="F161" s="33" t="n">
        <f aca="false">E161-E160</f>
        <v>-105.8</v>
      </c>
      <c r="G161" s="33" t="n">
        <v>9.12</v>
      </c>
      <c r="H161" s="33" t="n">
        <f aca="false">G161-G160</f>
        <v>-1.89</v>
      </c>
      <c r="I161" s="33" t="n">
        <v>128</v>
      </c>
      <c r="J161" s="33" t="n">
        <f aca="false">I161-I160</f>
        <v>-18</v>
      </c>
      <c r="K161" s="2" t="s">
        <v>182</v>
      </c>
      <c r="L161" s="2" t="n">
        <f aca="false">VAR($C$154:$C$183)</f>
        <v>14855960.8551724</v>
      </c>
      <c r="M161" s="2" t="n">
        <f aca="false">VAR($E$154:$E$183)</f>
        <v>26285.4668505747</v>
      </c>
      <c r="N161" s="2" t="n">
        <f aca="false">VAR($G$154:$G$183)</f>
        <v>7.27485333333333</v>
      </c>
      <c r="O161" s="2" t="n">
        <f aca="false">VAR($I$154:$I$183)</f>
        <v>1272.8275862069</v>
      </c>
    </row>
    <row r="162" customFormat="false" ht="13.8" hidden="false" customHeight="false" outlineLevel="0" collapsed="false">
      <c r="A162" s="33" t="n">
        <v>161</v>
      </c>
      <c r="B162" s="32" t="n">
        <v>45452</v>
      </c>
      <c r="C162" s="33" t="n">
        <v>18156</v>
      </c>
      <c r="D162" s="33" t="n">
        <f aca="false">C162-C161</f>
        <v>5128</v>
      </c>
      <c r="E162" s="33" t="n">
        <v>759</v>
      </c>
      <c r="F162" s="33" t="n">
        <f aca="false">E162-E161</f>
        <v>199.2</v>
      </c>
      <c r="G162" s="33" t="n">
        <v>12.71</v>
      </c>
      <c r="H162" s="33" t="n">
        <f aca="false">G162-G161</f>
        <v>3.59</v>
      </c>
      <c r="I162" s="33" t="n">
        <v>162</v>
      </c>
      <c r="J162" s="33" t="n">
        <f aca="false">I162-I161</f>
        <v>34</v>
      </c>
      <c r="K162" s="2" t="s">
        <v>16</v>
      </c>
      <c r="L162" s="2" t="n">
        <f aca="false">STDEV($C$154:$C$183)</f>
        <v>3854.34311591125</v>
      </c>
      <c r="M162" s="2" t="n">
        <f aca="false">STDEV($E$154:$E$183)</f>
        <v>162.127933591268</v>
      </c>
      <c r="N162" s="2" t="n">
        <f aca="false">STDEV($G$154:$G$183)</f>
        <v>2.69719360323528</v>
      </c>
      <c r="O162" s="2" t="n">
        <f aca="false">STDEV($I$154:$I$183)</f>
        <v>35.6767092962187</v>
      </c>
    </row>
    <row r="163" customFormat="false" ht="13.8" hidden="false" customHeight="false" outlineLevel="0" collapsed="false">
      <c r="A163" s="1" t="n">
        <v>162</v>
      </c>
      <c r="B163" s="32" t="n">
        <v>45453</v>
      </c>
      <c r="C163" s="33" t="n">
        <v>14882</v>
      </c>
      <c r="D163" s="33" t="n">
        <f aca="false">C163-C162</f>
        <v>-3274</v>
      </c>
      <c r="E163" s="33" t="n">
        <v>641.2</v>
      </c>
      <c r="F163" s="33" t="n">
        <f aca="false">E163-E162</f>
        <v>-117.8</v>
      </c>
      <c r="G163" s="33" t="n">
        <v>10.42</v>
      </c>
      <c r="H163" s="33" t="n">
        <f aca="false">G163-G162</f>
        <v>-2.29</v>
      </c>
      <c r="I163" s="33" t="n">
        <v>147</v>
      </c>
      <c r="J163" s="33" t="n">
        <f aca="false">I163-I162</f>
        <v>-15</v>
      </c>
      <c r="K163" s="2" t="s">
        <v>20</v>
      </c>
      <c r="L163" s="2" t="n">
        <f aca="false">KURT($C$154:$C$183)</f>
        <v>-0.998656306316734</v>
      </c>
      <c r="M163" s="2" t="n">
        <f aca="false">KURT($E$154:$E$183)</f>
        <v>-0.999926058325642</v>
      </c>
      <c r="N163" s="2" t="n">
        <f aca="false">KURT($G$154:$G$183)</f>
        <v>-1.00066679936797</v>
      </c>
      <c r="O163" s="2" t="n">
        <f aca="false">KURT($I$154:$I$183)</f>
        <v>-0.998483531060344</v>
      </c>
    </row>
    <row r="164" customFormat="false" ht="13.8" hidden="false" customHeight="false" outlineLevel="0" collapsed="false">
      <c r="A164" s="33" t="n">
        <v>163</v>
      </c>
      <c r="B164" s="32" t="n">
        <v>45454</v>
      </c>
      <c r="C164" s="33" t="n">
        <v>12004</v>
      </c>
      <c r="D164" s="33" t="n">
        <f aca="false">C164-C163</f>
        <v>-2878</v>
      </c>
      <c r="E164" s="33" t="n">
        <v>504.8</v>
      </c>
      <c r="F164" s="33" t="n">
        <f aca="false">E164-E163</f>
        <v>-136.4</v>
      </c>
      <c r="G164" s="33" t="n">
        <v>8.4</v>
      </c>
      <c r="H164" s="33" t="n">
        <f aca="false">G164-G163</f>
        <v>-2.02</v>
      </c>
      <c r="I164" s="33" t="n">
        <v>110</v>
      </c>
      <c r="J164" s="33" t="n">
        <f aca="false">I164-I163</f>
        <v>-37</v>
      </c>
      <c r="K164" s="2" t="s">
        <v>22</v>
      </c>
      <c r="L164" s="2" t="n">
        <f aca="false">SKEW($C$154:$C$183)</f>
        <v>0.00253346324599584</v>
      </c>
      <c r="M164" s="2" t="n">
        <f aca="false">SKEW($E$154:$E$183)</f>
        <v>0.0174071160590412</v>
      </c>
      <c r="N164" s="2" t="n">
        <f aca="false">SKEW($G$154:$G$183)</f>
        <v>0.00208133053192329</v>
      </c>
      <c r="O164" s="2" t="n">
        <f aca="false">SKEW($I$154:$I$183)</f>
        <v>0.0417181455931169</v>
      </c>
    </row>
    <row r="165" customFormat="false" ht="13.8" hidden="false" customHeight="false" outlineLevel="0" collapsed="false">
      <c r="A165" s="1" t="n">
        <v>164</v>
      </c>
      <c r="B165" s="32" t="n">
        <v>45455</v>
      </c>
      <c r="C165" s="33" t="n">
        <v>16471</v>
      </c>
      <c r="D165" s="33" t="n">
        <f aca="false">C165-C164</f>
        <v>4467</v>
      </c>
      <c r="E165" s="33" t="n">
        <v>691.5</v>
      </c>
      <c r="F165" s="33" t="n">
        <f aca="false">E165-E164</f>
        <v>186.7</v>
      </c>
      <c r="G165" s="33" t="n">
        <v>11.53</v>
      </c>
      <c r="H165" s="33" t="n">
        <f aca="false">G165-G164</f>
        <v>3.13</v>
      </c>
      <c r="I165" s="33" t="n">
        <v>151</v>
      </c>
      <c r="J165" s="33" t="n">
        <f aca="false">I165-I164</f>
        <v>41</v>
      </c>
      <c r="K165" s="2" t="s">
        <v>24</v>
      </c>
      <c r="L165" s="2" t="n">
        <f aca="false">MAX($C$154:$C$183)-MIN($C$154:$C$183)</f>
        <v>13070</v>
      </c>
      <c r="M165" s="2" t="n">
        <f aca="false">MAX($E$154:$E$183)-MIN($E$154:$E$183)</f>
        <v>556.4</v>
      </c>
      <c r="N165" s="2" t="n">
        <f aca="false">MAX($G$154:$G$183)-MIN($G$154:$G$183)</f>
        <v>9.14</v>
      </c>
      <c r="O165" s="2" t="n">
        <f aca="false">MAX($I$154:$I$183)-MIN($I$154:$I$183)</f>
        <v>124</v>
      </c>
    </row>
    <row r="166" customFormat="false" ht="13.8" hidden="false" customHeight="false" outlineLevel="0" collapsed="false">
      <c r="A166" s="33" t="n">
        <v>165</v>
      </c>
      <c r="B166" s="32" t="n">
        <v>45456</v>
      </c>
      <c r="C166" s="33" t="n">
        <v>19546</v>
      </c>
      <c r="D166" s="33" t="n">
        <f aca="false">C166-C165</f>
        <v>3075</v>
      </c>
      <c r="E166" s="33" t="n">
        <v>829.8</v>
      </c>
      <c r="F166" s="33" t="n">
        <f aca="false">E166-E165</f>
        <v>138.3</v>
      </c>
      <c r="G166" s="33" t="n">
        <v>13.68</v>
      </c>
      <c r="H166" s="33" t="n">
        <f aca="false">G166-G165</f>
        <v>2.15</v>
      </c>
      <c r="I166" s="33" t="n">
        <v>185</v>
      </c>
      <c r="J166" s="33" t="n">
        <f aca="false">I166-I165</f>
        <v>34</v>
      </c>
      <c r="K166" s="2" t="s">
        <v>26</v>
      </c>
      <c r="L166" s="2" t="n">
        <f aca="false">MIN($C$154:$C$183)</f>
        <v>6922</v>
      </c>
      <c r="M166" s="2" t="n">
        <f aca="false">MIN($E$154:$E$183)</f>
        <v>294.5</v>
      </c>
      <c r="N166" s="2" t="n">
        <f aca="false">MIN($G$154:$G$183)</f>
        <v>4.85</v>
      </c>
      <c r="O166" s="2" t="n">
        <f aca="false">MIN($I$154:$I$183)</f>
        <v>65</v>
      </c>
    </row>
    <row r="167" customFormat="false" ht="13.8" hidden="false" customHeight="false" outlineLevel="0" collapsed="false">
      <c r="A167" s="1" t="n">
        <v>166</v>
      </c>
      <c r="B167" s="32" t="n">
        <v>45457</v>
      </c>
      <c r="C167" s="33" t="n">
        <v>7680</v>
      </c>
      <c r="D167" s="33" t="n">
        <f aca="false">C167-C166</f>
        <v>-11866</v>
      </c>
      <c r="E167" s="33" t="n">
        <v>329.6</v>
      </c>
      <c r="F167" s="33" t="n">
        <f aca="false">E167-E166</f>
        <v>-500.2</v>
      </c>
      <c r="G167" s="33" t="n">
        <v>5.38</v>
      </c>
      <c r="H167" s="33" t="n">
        <f aca="false">G167-G166</f>
        <v>-8.3</v>
      </c>
      <c r="I167" s="33" t="n">
        <v>75</v>
      </c>
      <c r="J167" s="33" t="n">
        <f aca="false">I167-I166</f>
        <v>-110</v>
      </c>
      <c r="K167" s="2" t="s">
        <v>28</v>
      </c>
      <c r="L167" s="2" t="n">
        <f aca="false">MAX($C$154:$C$183)</f>
        <v>19992</v>
      </c>
      <c r="M167" s="2" t="n">
        <f aca="false">MAX($E$154:$E$183)</f>
        <v>850.9</v>
      </c>
      <c r="N167" s="2" t="n">
        <f aca="false">MAX($G$154:$G$183)</f>
        <v>13.99</v>
      </c>
      <c r="O167" s="2" t="n">
        <f aca="false">MAX($I$154:$I$183)</f>
        <v>189</v>
      </c>
    </row>
    <row r="168" customFormat="false" ht="13.8" hidden="false" customHeight="false" outlineLevel="0" collapsed="false">
      <c r="A168" s="33" t="n">
        <v>167</v>
      </c>
      <c r="B168" s="32" t="n">
        <v>45458</v>
      </c>
      <c r="C168" s="33" t="n">
        <v>8098</v>
      </c>
      <c r="D168" s="33" t="n">
        <f aca="false">C168-C167</f>
        <v>418</v>
      </c>
      <c r="E168" s="33" t="n">
        <v>361.3</v>
      </c>
      <c r="F168" s="33" t="n">
        <f aca="false">E168-E167</f>
        <v>31.7</v>
      </c>
      <c r="G168" s="33" t="n">
        <v>5.67</v>
      </c>
      <c r="H168" s="33" t="n">
        <f aca="false">G168-G167</f>
        <v>0.29</v>
      </c>
      <c r="I168" s="33" t="n">
        <v>87</v>
      </c>
      <c r="J168" s="33" t="n">
        <f aca="false">I168-I167</f>
        <v>12</v>
      </c>
      <c r="K168" s="2" t="s">
        <v>30</v>
      </c>
      <c r="L168" s="2" t="n">
        <f aca="false">SUM($C$154:$C$183)</f>
        <v>399204</v>
      </c>
      <c r="M168" s="2" t="n">
        <f aca="false">SUM($E$154:$E$183)</f>
        <v>16980.2</v>
      </c>
      <c r="N168" s="2" t="n">
        <f aca="false">SUM($G$154:$G$183)</f>
        <v>279.46</v>
      </c>
      <c r="O168" s="2" t="n">
        <f aca="false">SUM($I$154:$I$183)</f>
        <v>3780</v>
      </c>
    </row>
    <row r="169" customFormat="false" ht="13.8" hidden="false" customHeight="false" outlineLevel="0" collapsed="false">
      <c r="A169" s="1" t="n">
        <v>168</v>
      </c>
      <c r="B169" s="32" t="n">
        <v>45459</v>
      </c>
      <c r="C169" s="33" t="n">
        <v>10642</v>
      </c>
      <c r="D169" s="33" t="n">
        <f aca="false">C169-C168</f>
        <v>2544</v>
      </c>
      <c r="E169" s="33" t="n">
        <v>443.6</v>
      </c>
      <c r="F169" s="33" t="n">
        <f aca="false">E169-E168</f>
        <v>82.3</v>
      </c>
      <c r="G169" s="33" t="n">
        <v>7.45</v>
      </c>
      <c r="H169" s="33" t="n">
        <f aca="false">G169-G168</f>
        <v>1.78</v>
      </c>
      <c r="I169" s="33" t="n">
        <v>94</v>
      </c>
      <c r="J169" s="33" t="n">
        <f aca="false">I169-I168</f>
        <v>7</v>
      </c>
      <c r="K169" s="2" t="s">
        <v>32</v>
      </c>
      <c r="L169" s="2" t="n">
        <f aca="false">COUNT($C$154:$C$183)</f>
        <v>30</v>
      </c>
      <c r="M169" s="2" t="n">
        <f aca="false">COUNT($E$154:$E$183)</f>
        <v>30</v>
      </c>
      <c r="N169" s="2" t="n">
        <f aca="false">COUNT($G$154:$G$183)</f>
        <v>30</v>
      </c>
      <c r="O169" s="2" t="n">
        <f aca="false">COUNT($I$154:$I$183)</f>
        <v>30</v>
      </c>
    </row>
    <row r="170" customFormat="false" ht="13.8" hidden="false" customHeight="false" outlineLevel="0" collapsed="false">
      <c r="A170" s="33" t="n">
        <v>169</v>
      </c>
      <c r="B170" s="32" t="n">
        <v>45460</v>
      </c>
      <c r="C170" s="33" t="n">
        <v>14536</v>
      </c>
      <c r="D170" s="33" t="n">
        <f aca="false">C170-C169</f>
        <v>3894</v>
      </c>
      <c r="E170" s="33" t="n">
        <v>623.7</v>
      </c>
      <c r="F170" s="33" t="n">
        <f aca="false">E170-E169</f>
        <v>180.1</v>
      </c>
      <c r="G170" s="33" t="n">
        <v>10.18</v>
      </c>
      <c r="H170" s="33" t="n">
        <f aca="false">G170-G169</f>
        <v>2.73</v>
      </c>
      <c r="I170" s="33" t="n">
        <v>142</v>
      </c>
      <c r="J170" s="33" t="n">
        <f aca="false">I170-I169</f>
        <v>48</v>
      </c>
    </row>
    <row r="171" customFormat="false" ht="13.8" hidden="false" customHeight="false" outlineLevel="0" collapsed="false">
      <c r="A171" s="1" t="n">
        <v>170</v>
      </c>
      <c r="B171" s="32" t="n">
        <v>45461</v>
      </c>
      <c r="C171" s="33" t="n">
        <v>14828</v>
      </c>
      <c r="D171" s="33" t="n">
        <f aca="false">C171-C170</f>
        <v>292</v>
      </c>
      <c r="E171" s="33" t="n">
        <v>627.5</v>
      </c>
      <c r="F171" s="33" t="n">
        <f aca="false">E171-E170</f>
        <v>3.79999999999995</v>
      </c>
      <c r="G171" s="33" t="n">
        <v>10.38</v>
      </c>
      <c r="H171" s="33" t="n">
        <f aca="false">G171-G170</f>
        <v>0.200000000000001</v>
      </c>
      <c r="I171" s="33" t="n">
        <v>138</v>
      </c>
      <c r="J171" s="33" t="n">
        <f aca="false">I171-I170</f>
        <v>-4</v>
      </c>
    </row>
    <row r="172" customFormat="false" ht="13.8" hidden="false" customHeight="false" outlineLevel="0" collapsed="false">
      <c r="A172" s="33" t="n">
        <v>171</v>
      </c>
      <c r="B172" s="32" t="n">
        <v>45462</v>
      </c>
      <c r="C172" s="33" t="n">
        <v>12462</v>
      </c>
      <c r="D172" s="33" t="n">
        <f aca="false">C172-C171</f>
        <v>-2366</v>
      </c>
      <c r="E172" s="33" t="n">
        <v>531.9</v>
      </c>
      <c r="F172" s="33" t="n">
        <f aca="false">E172-E171</f>
        <v>-95.6</v>
      </c>
      <c r="G172" s="33" t="n">
        <v>8.72</v>
      </c>
      <c r="H172" s="33" t="n">
        <f aca="false">G172-G171</f>
        <v>-1.66</v>
      </c>
      <c r="I172" s="33" t="n">
        <v>120</v>
      </c>
      <c r="J172" s="33" t="n">
        <f aca="false">I172-I171</f>
        <v>-18</v>
      </c>
    </row>
    <row r="173" customFormat="false" ht="13.8" hidden="false" customHeight="false" outlineLevel="0" collapsed="false">
      <c r="A173" s="1" t="n">
        <v>172</v>
      </c>
      <c r="B173" s="32" t="n">
        <v>45463</v>
      </c>
      <c r="C173" s="33" t="n">
        <v>9880</v>
      </c>
      <c r="D173" s="33" t="n">
        <f aca="false">C173-C172</f>
        <v>-2582</v>
      </c>
      <c r="E173" s="33" t="n">
        <v>420.7</v>
      </c>
      <c r="F173" s="33" t="n">
        <f aca="false">E173-E172</f>
        <v>-111.2</v>
      </c>
      <c r="G173" s="33" t="n">
        <v>6.92</v>
      </c>
      <c r="H173" s="33" t="n">
        <f aca="false">G173-G172</f>
        <v>-1.8</v>
      </c>
      <c r="I173" s="33" t="n">
        <v>94</v>
      </c>
      <c r="J173" s="33" t="n">
        <f aca="false">I173-I172</f>
        <v>-26</v>
      </c>
    </row>
    <row r="174" customFormat="false" ht="13.8" hidden="false" customHeight="false" outlineLevel="0" collapsed="false">
      <c r="A174" s="33" t="n">
        <v>173</v>
      </c>
      <c r="B174" s="32" t="n">
        <v>45464</v>
      </c>
      <c r="C174" s="33" t="n">
        <v>19992</v>
      </c>
      <c r="D174" s="33" t="n">
        <f aca="false">C174-C173</f>
        <v>10112</v>
      </c>
      <c r="E174" s="33" t="n">
        <v>850.9</v>
      </c>
      <c r="F174" s="33" t="n">
        <f aca="false">E174-E173</f>
        <v>430.2</v>
      </c>
      <c r="G174" s="33" t="n">
        <v>13.99</v>
      </c>
      <c r="H174" s="33" t="n">
        <f aca="false">G174-G173</f>
        <v>7.07</v>
      </c>
      <c r="I174" s="33" t="n">
        <v>189</v>
      </c>
      <c r="J174" s="33" t="n">
        <f aca="false">I174-I173</f>
        <v>95</v>
      </c>
    </row>
    <row r="175" customFormat="false" ht="13.8" hidden="false" customHeight="false" outlineLevel="0" collapsed="false">
      <c r="A175" s="1" t="n">
        <v>174</v>
      </c>
      <c r="B175" s="32" t="n">
        <v>45465</v>
      </c>
      <c r="C175" s="33" t="n">
        <v>8119</v>
      </c>
      <c r="D175" s="33" t="n">
        <f aca="false">C175-C174</f>
        <v>-11873</v>
      </c>
      <c r="E175" s="33" t="n">
        <v>345.6</v>
      </c>
      <c r="F175" s="33" t="n">
        <f aca="false">E175-E174</f>
        <v>-505.3</v>
      </c>
      <c r="G175" s="33" t="n">
        <v>5.68</v>
      </c>
      <c r="H175" s="33" t="n">
        <f aca="false">G175-G174</f>
        <v>-8.31</v>
      </c>
      <c r="I175" s="33" t="n">
        <v>77</v>
      </c>
      <c r="J175" s="33" t="n">
        <f aca="false">I175-I174</f>
        <v>-112</v>
      </c>
    </row>
    <row r="176" customFormat="false" ht="13.8" hidden="false" customHeight="false" outlineLevel="0" collapsed="false">
      <c r="A176" s="33" t="n">
        <v>175</v>
      </c>
      <c r="B176" s="32" t="n">
        <v>45466</v>
      </c>
      <c r="C176" s="33" t="n">
        <v>18283</v>
      </c>
      <c r="D176" s="33" t="n">
        <f aca="false">C176-C175</f>
        <v>10164</v>
      </c>
      <c r="E176" s="33" t="n">
        <v>782.3</v>
      </c>
      <c r="F176" s="33" t="n">
        <f aca="false">E176-E175</f>
        <v>436.7</v>
      </c>
      <c r="G176" s="33" t="n">
        <v>12.8</v>
      </c>
      <c r="H176" s="33" t="n">
        <f aca="false">G176-G175</f>
        <v>7.12</v>
      </c>
      <c r="I176" s="33" t="n">
        <v>175</v>
      </c>
      <c r="J176" s="33" t="n">
        <f aca="false">I176-I175</f>
        <v>98</v>
      </c>
    </row>
    <row r="177" customFormat="false" ht="13.8" hidden="false" customHeight="false" outlineLevel="0" collapsed="false">
      <c r="A177" s="1" t="n">
        <v>176</v>
      </c>
      <c r="B177" s="32" t="n">
        <v>45467</v>
      </c>
      <c r="C177" s="33" t="n">
        <v>17360</v>
      </c>
      <c r="D177" s="33" t="n">
        <f aca="false">C177-C176</f>
        <v>-923</v>
      </c>
      <c r="E177" s="33" t="n">
        <v>744.1</v>
      </c>
      <c r="F177" s="33" t="n">
        <f aca="false">E177-E176</f>
        <v>-38.1999999999999</v>
      </c>
      <c r="G177" s="33" t="n">
        <v>12.15</v>
      </c>
      <c r="H177" s="33" t="n">
        <f aca="false">G177-G176</f>
        <v>-0.65</v>
      </c>
      <c r="I177" s="33" t="n">
        <v>169</v>
      </c>
      <c r="J177" s="33" t="n">
        <f aca="false">I177-I176</f>
        <v>-6</v>
      </c>
    </row>
    <row r="178" customFormat="false" ht="13.8" hidden="false" customHeight="false" outlineLevel="0" collapsed="false">
      <c r="A178" s="33" t="n">
        <v>177</v>
      </c>
      <c r="B178" s="32" t="n">
        <v>45468</v>
      </c>
      <c r="C178" s="33" t="n">
        <v>9618</v>
      </c>
      <c r="D178" s="33" t="n">
        <f aca="false">C178-C177</f>
        <v>-7742</v>
      </c>
      <c r="E178" s="33" t="n">
        <v>408.1</v>
      </c>
      <c r="F178" s="33" t="n">
        <f aca="false">E178-E177</f>
        <v>-336</v>
      </c>
      <c r="G178" s="33" t="n">
        <v>6.73</v>
      </c>
      <c r="H178" s="33" t="n">
        <f aca="false">G178-G177</f>
        <v>-5.42</v>
      </c>
      <c r="I178" s="33" t="n">
        <v>90</v>
      </c>
      <c r="J178" s="33" t="n">
        <f aca="false">I178-I177</f>
        <v>-79</v>
      </c>
    </row>
    <row r="179" customFormat="false" ht="13.8" hidden="false" customHeight="false" outlineLevel="0" collapsed="false">
      <c r="A179" s="1" t="n">
        <v>178</v>
      </c>
      <c r="B179" s="32" t="n">
        <v>45469</v>
      </c>
      <c r="C179" s="33" t="n">
        <v>11879</v>
      </c>
      <c r="D179" s="33" t="n">
        <f aca="false">C179-C178</f>
        <v>2261</v>
      </c>
      <c r="E179" s="33" t="n">
        <v>506.6</v>
      </c>
      <c r="F179" s="33" t="n">
        <f aca="false">E179-E178</f>
        <v>98.5</v>
      </c>
      <c r="G179" s="33" t="n">
        <v>8.32</v>
      </c>
      <c r="H179" s="33" t="n">
        <f aca="false">G179-G178</f>
        <v>1.59</v>
      </c>
      <c r="I179" s="33" t="n">
        <v>113</v>
      </c>
      <c r="J179" s="33" t="n">
        <f aca="false">I179-I178</f>
        <v>23</v>
      </c>
    </row>
    <row r="180" customFormat="false" ht="13.8" hidden="false" customHeight="false" outlineLevel="0" collapsed="false">
      <c r="A180" s="33" t="n">
        <v>179</v>
      </c>
      <c r="B180" s="32" t="n">
        <v>45470</v>
      </c>
      <c r="C180" s="33" t="n">
        <v>6922</v>
      </c>
      <c r="D180" s="33" t="n">
        <f aca="false">C180-C179</f>
        <v>-4957</v>
      </c>
      <c r="E180" s="33" t="n">
        <v>294.5</v>
      </c>
      <c r="F180" s="33" t="n">
        <f aca="false">E180-E179</f>
        <v>-212.1</v>
      </c>
      <c r="G180" s="33" t="n">
        <v>4.85</v>
      </c>
      <c r="H180" s="33" t="n">
        <f aca="false">G180-G179</f>
        <v>-3.47</v>
      </c>
      <c r="I180" s="33" t="n">
        <v>65</v>
      </c>
      <c r="J180" s="33" t="n">
        <f aca="false">I180-I179</f>
        <v>-48</v>
      </c>
    </row>
    <row r="181" customFormat="false" ht="13.8" hidden="false" customHeight="false" outlineLevel="0" collapsed="false">
      <c r="A181" s="1" t="n">
        <v>180</v>
      </c>
      <c r="B181" s="32" t="n">
        <v>45471</v>
      </c>
      <c r="C181" s="33" t="n">
        <v>9935</v>
      </c>
      <c r="D181" s="33" t="n">
        <f aca="false">C181-C180</f>
        <v>3013</v>
      </c>
      <c r="E181" s="33" t="n">
        <v>426.6</v>
      </c>
      <c r="F181" s="33" t="n">
        <f aca="false">E181-E180</f>
        <v>132.1</v>
      </c>
      <c r="G181" s="33" t="n">
        <v>6.95</v>
      </c>
      <c r="H181" s="33" t="n">
        <f aca="false">G181-G180</f>
        <v>2.1</v>
      </c>
      <c r="I181" s="33" t="n">
        <v>96</v>
      </c>
      <c r="J181" s="33" t="n">
        <f aca="false">I181-I180</f>
        <v>31</v>
      </c>
    </row>
    <row r="182" customFormat="false" ht="13.8" hidden="false" customHeight="false" outlineLevel="0" collapsed="false">
      <c r="A182" s="33" t="n">
        <v>181</v>
      </c>
      <c r="B182" s="32" t="n">
        <v>45472</v>
      </c>
      <c r="C182" s="33" t="n">
        <v>13350</v>
      </c>
      <c r="D182" s="33" t="n">
        <f aca="false">C182-C181</f>
        <v>3415</v>
      </c>
      <c r="E182" s="33" t="n">
        <v>562.4</v>
      </c>
      <c r="F182" s="33" t="n">
        <f aca="false">E182-E181</f>
        <v>135.8</v>
      </c>
      <c r="G182" s="33" t="n">
        <v>9.35</v>
      </c>
      <c r="H182" s="33" t="n">
        <f aca="false">G182-G181</f>
        <v>2.4</v>
      </c>
      <c r="I182" s="33" t="n">
        <v>122</v>
      </c>
      <c r="J182" s="33" t="n">
        <f aca="false">I182-I181</f>
        <v>26</v>
      </c>
    </row>
    <row r="183" customFormat="false" ht="13.8" hidden="false" customHeight="false" outlineLevel="0" collapsed="false">
      <c r="A183" s="1" t="n">
        <v>182</v>
      </c>
      <c r="B183" s="32" t="n">
        <v>45473</v>
      </c>
      <c r="C183" s="33" t="n">
        <v>16713</v>
      </c>
      <c r="D183" s="33" t="n">
        <f aca="false">C183-C182</f>
        <v>3363</v>
      </c>
      <c r="E183" s="33" t="n">
        <v>719.1</v>
      </c>
      <c r="F183" s="33" t="n">
        <f aca="false">E183-E182</f>
        <v>156.7</v>
      </c>
      <c r="G183" s="33" t="n">
        <v>11.7</v>
      </c>
      <c r="H183" s="33" t="n">
        <f aca="false">G183-G182</f>
        <v>2.35</v>
      </c>
      <c r="I183" s="33" t="n">
        <v>165</v>
      </c>
      <c r="J183" s="33" t="n">
        <f aca="false">I183-I182</f>
        <v>43</v>
      </c>
    </row>
    <row r="184" customFormat="false" ht="13.8" hidden="false" customHeight="false" outlineLevel="0" collapsed="false">
      <c r="A184" s="33" t="n">
        <v>183</v>
      </c>
      <c r="B184" s="32" t="n">
        <v>45474</v>
      </c>
      <c r="C184" s="33" t="n">
        <v>13391</v>
      </c>
      <c r="D184" s="33" t="n">
        <f aca="false">C184-C183</f>
        <v>-3322</v>
      </c>
      <c r="E184" s="33" t="n">
        <v>581.2</v>
      </c>
      <c r="F184" s="33" t="n">
        <f aca="false">E184-E183</f>
        <v>-137.9</v>
      </c>
      <c r="G184" s="33" t="n">
        <v>9.37</v>
      </c>
      <c r="H184" s="33" t="n">
        <f aca="false">G184-G183</f>
        <v>-2.33</v>
      </c>
      <c r="I184" s="33" t="n">
        <v>134</v>
      </c>
      <c r="J184" s="33" t="n">
        <f aca="false">I184-I183</f>
        <v>-31</v>
      </c>
      <c r="L184" s="34" t="s">
        <v>2</v>
      </c>
      <c r="M184" s="34" t="s">
        <v>179</v>
      </c>
      <c r="N184" s="34" t="s">
        <v>175</v>
      </c>
      <c r="O184" s="34" t="s">
        <v>177</v>
      </c>
    </row>
    <row r="185" customFormat="false" ht="13.8" hidden="false" customHeight="false" outlineLevel="0" collapsed="false">
      <c r="A185" s="1" t="n">
        <v>184</v>
      </c>
      <c r="B185" s="32" t="n">
        <v>45475</v>
      </c>
      <c r="C185" s="33" t="n">
        <v>14610</v>
      </c>
      <c r="D185" s="33" t="n">
        <f aca="false">C185-C184</f>
        <v>1219</v>
      </c>
      <c r="E185" s="33" t="n">
        <v>615.8</v>
      </c>
      <c r="F185" s="33" t="n">
        <f aca="false">E185-E184</f>
        <v>34.5999999999999</v>
      </c>
      <c r="G185" s="33" t="n">
        <v>10.23</v>
      </c>
      <c r="H185" s="33" t="n">
        <f aca="false">G185-G184</f>
        <v>0.860000000000001</v>
      </c>
      <c r="I185" s="33" t="n">
        <v>134</v>
      </c>
      <c r="J185" s="33" t="n">
        <f aca="false">I185-I184</f>
        <v>0</v>
      </c>
      <c r="K185" s="2" t="s">
        <v>8</v>
      </c>
      <c r="L185" s="2" t="n">
        <f aca="false">AVERAGE($C$184:$C$214)</f>
        <v>14575.3225806452</v>
      </c>
      <c r="M185" s="2" t="n">
        <f aca="false">AVERAGE($E$184:$E$214)</f>
        <v>621.103225806452</v>
      </c>
      <c r="N185" s="2" t="n">
        <f aca="false">AVERAGE($G$184:$G$214)</f>
        <v>10.2016129032258</v>
      </c>
      <c r="O185" s="2" t="n">
        <f aca="false">AVERAGE($I$184:$I$214)</f>
        <v>138.709677419355</v>
      </c>
    </row>
    <row r="186" customFormat="false" ht="13.8" hidden="false" customHeight="false" outlineLevel="0" collapsed="false">
      <c r="A186" s="33" t="n">
        <v>185</v>
      </c>
      <c r="B186" s="32" t="n">
        <v>45476</v>
      </c>
      <c r="C186" s="33" t="n">
        <v>15233</v>
      </c>
      <c r="D186" s="33" t="n">
        <f aca="false">C186-C185</f>
        <v>623</v>
      </c>
      <c r="E186" s="33" t="n">
        <v>635.8</v>
      </c>
      <c r="F186" s="33" t="n">
        <f aca="false">E186-E185</f>
        <v>20</v>
      </c>
      <c r="G186" s="33" t="n">
        <v>10.66</v>
      </c>
      <c r="H186" s="33" t="n">
        <f aca="false">G186-G185</f>
        <v>0.43</v>
      </c>
      <c r="I186" s="33" t="n">
        <v>135</v>
      </c>
      <c r="J186" s="33" t="n">
        <f aca="false">I186-I185</f>
        <v>1</v>
      </c>
      <c r="K186" s="2" t="s">
        <v>10</v>
      </c>
      <c r="L186" s="2" t="n">
        <f aca="false">SQRT(VAR($C$184:$C$214)/COUNT($C$184:$C$214))</f>
        <v>1017.4825536927</v>
      </c>
      <c r="M186" s="2" t="n">
        <f aca="false">SQRT(VAR($E$184:$E$214)/COUNT($E$184:$E$214))</f>
        <v>43.1577502686979</v>
      </c>
      <c r="N186" s="2" t="n">
        <f aca="false">SQRT(VAR($G$184:$G$214)/COUNT($G$184:$G$214))</f>
        <v>0.712253895889313</v>
      </c>
      <c r="O186" s="2" t="n">
        <f aca="false">SQRT(VAR($I$184:$I$214)/COUNT($I$184:$I$214))</f>
        <v>9.73533565518478</v>
      </c>
    </row>
    <row r="187" customFormat="false" ht="13.8" hidden="false" customHeight="false" outlineLevel="0" collapsed="false">
      <c r="A187" s="1" t="n">
        <v>186</v>
      </c>
      <c r="B187" s="32" t="n">
        <v>45477</v>
      </c>
      <c r="C187" s="33" t="n">
        <v>19775</v>
      </c>
      <c r="D187" s="33" t="n">
        <f aca="false">C187-C186</f>
        <v>4542</v>
      </c>
      <c r="E187" s="33" t="n">
        <v>838.3</v>
      </c>
      <c r="F187" s="33" t="n">
        <f aca="false">E187-E186</f>
        <v>202.5</v>
      </c>
      <c r="G187" s="33" t="n">
        <v>13.84</v>
      </c>
      <c r="H187" s="33" t="n">
        <f aca="false">G187-G186</f>
        <v>3.18</v>
      </c>
      <c r="I187" s="33" t="n">
        <v>186</v>
      </c>
      <c r="J187" s="33" t="n">
        <f aca="false">I187-I186</f>
        <v>51</v>
      </c>
      <c r="K187" s="2" t="s">
        <v>14</v>
      </c>
      <c r="L187" s="2" t="e">
        <f aca="false">MODE($C$184:$C$214)</f>
        <v>#VALUE!</v>
      </c>
      <c r="M187" s="2" t="e">
        <f aca="false">MODE($E$184:$E$214)</f>
        <v>#VALUE!</v>
      </c>
      <c r="N187" s="2" t="e">
        <f aca="false">MODE($G$184:$G$214)</f>
        <v>#VALUE!</v>
      </c>
      <c r="O187" s="2" t="n">
        <f aca="false">MODE($I$184:$I$214)</f>
        <v>64</v>
      </c>
    </row>
    <row r="188" customFormat="false" ht="13.8" hidden="false" customHeight="false" outlineLevel="0" collapsed="false">
      <c r="A188" s="33" t="n">
        <v>187</v>
      </c>
      <c r="B188" s="32" t="n">
        <v>45478</v>
      </c>
      <c r="C188" s="33" t="n">
        <v>9756</v>
      </c>
      <c r="D188" s="33" t="n">
        <f aca="false">C188-C187</f>
        <v>-10019</v>
      </c>
      <c r="E188" s="33" t="n">
        <v>424.6</v>
      </c>
      <c r="F188" s="33" t="n">
        <f aca="false">E188-E187</f>
        <v>-413.7</v>
      </c>
      <c r="G188" s="33" t="n">
        <v>6.83</v>
      </c>
      <c r="H188" s="33" t="n">
        <f aca="false">G188-G187</f>
        <v>-7.01</v>
      </c>
      <c r="I188" s="33" t="n">
        <v>99</v>
      </c>
      <c r="J188" s="33" t="n">
        <f aca="false">I188-I187</f>
        <v>-87</v>
      </c>
      <c r="K188" s="2" t="s">
        <v>12</v>
      </c>
      <c r="L188" s="2" t="n">
        <f aca="false">MEDIAN($C$184:$C$214)</f>
        <v>14610</v>
      </c>
      <c r="M188" s="2" t="n">
        <f aca="false">MEDIAN($E$184:$E$214)</f>
        <v>615.8</v>
      </c>
      <c r="N188" s="2" t="n">
        <f aca="false">MEDIAN($G$184:$G$214)</f>
        <v>10.23</v>
      </c>
      <c r="O188" s="2" t="n">
        <f aca="false">MEDIAN($I$184:$I$214)</f>
        <v>134</v>
      </c>
    </row>
    <row r="189" customFormat="false" ht="13.8" hidden="false" customHeight="false" outlineLevel="0" collapsed="false">
      <c r="A189" s="1" t="n">
        <v>188</v>
      </c>
      <c r="B189" s="32" t="n">
        <v>45479</v>
      </c>
      <c r="C189" s="33" t="n">
        <v>6450</v>
      </c>
      <c r="D189" s="33" t="n">
        <f aca="false">C189-C188</f>
        <v>-3306</v>
      </c>
      <c r="E189" s="33" t="n">
        <v>277.9</v>
      </c>
      <c r="F189" s="33" t="n">
        <f aca="false">E189-E188</f>
        <v>-146.7</v>
      </c>
      <c r="G189" s="33" t="n">
        <v>4.51</v>
      </c>
      <c r="H189" s="33" t="n">
        <f aca="false">G189-G188</f>
        <v>-2.32</v>
      </c>
      <c r="I189" s="33" t="n">
        <v>64</v>
      </c>
      <c r="J189" s="33" t="n">
        <f aca="false">I189-I188</f>
        <v>-35</v>
      </c>
      <c r="K189" s="2" t="s">
        <v>195</v>
      </c>
      <c r="L189" s="2" t="n">
        <f aca="false">QUARTILE($C$184:$C$214, 1)</f>
        <v>10025.5</v>
      </c>
      <c r="M189" s="2" t="n">
        <f aca="false">QUARTILE($E$184:$E$214, 1)</f>
        <v>440.4</v>
      </c>
      <c r="N189" s="2" t="n">
        <f aca="false">QUARTILE($G$184:$G$214, 1)</f>
        <v>7.02</v>
      </c>
      <c r="O189" s="2" t="n">
        <f aca="false">QUARTILE($I$184:$I$214, 1)</f>
        <v>101</v>
      </c>
    </row>
    <row r="190" customFormat="false" ht="13.8" hidden="false" customHeight="false" outlineLevel="0" collapsed="false">
      <c r="A190" s="33" t="n">
        <v>189</v>
      </c>
      <c r="B190" s="32" t="n">
        <v>45480</v>
      </c>
      <c r="C190" s="33" t="n">
        <v>6234</v>
      </c>
      <c r="D190" s="33" t="n">
        <f aca="false">C190-C189</f>
        <v>-216</v>
      </c>
      <c r="E190" s="33" t="n">
        <v>273.7</v>
      </c>
      <c r="F190" s="33" t="n">
        <f aca="false">E190-E189</f>
        <v>-4.19999999999999</v>
      </c>
      <c r="G190" s="33" t="n">
        <v>4.36</v>
      </c>
      <c r="H190" s="33" t="n">
        <f aca="false">G190-G189</f>
        <v>-0.149999999999999</v>
      </c>
      <c r="I190" s="33" t="n">
        <v>64</v>
      </c>
      <c r="J190" s="33" t="n">
        <f aca="false">I190-I189</f>
        <v>0</v>
      </c>
      <c r="K190" s="2" t="s">
        <v>181</v>
      </c>
      <c r="L190" s="2" t="n">
        <f aca="false">QUARTILE($C$184:$C$214, 3)</f>
        <v>17991</v>
      </c>
      <c r="M190" s="2" t="n">
        <f aca="false">QUARTILE($E$184:$E$214, 3)</f>
        <v>763.45</v>
      </c>
      <c r="N190" s="2" t="n">
        <f aca="false">QUARTILE($G$184:$G$214, 3)</f>
        <v>12.595</v>
      </c>
      <c r="O190" s="2" t="n">
        <f aca="false">QUARTILE($I$184:$I$214, 3)</f>
        <v>166.5</v>
      </c>
    </row>
    <row r="191" customFormat="false" ht="13.8" hidden="false" customHeight="false" outlineLevel="0" collapsed="false">
      <c r="A191" s="1" t="n">
        <v>190</v>
      </c>
      <c r="B191" s="32" t="n">
        <v>45481</v>
      </c>
      <c r="C191" s="33" t="n">
        <v>21048</v>
      </c>
      <c r="D191" s="33" t="n">
        <f aca="false">C191-C190</f>
        <v>14814</v>
      </c>
      <c r="E191" s="33" t="n">
        <v>887.9</v>
      </c>
      <c r="F191" s="33" t="n">
        <f aca="false">E191-E190</f>
        <v>614.2</v>
      </c>
      <c r="G191" s="33" t="n">
        <v>14.73</v>
      </c>
      <c r="H191" s="33" t="n">
        <f aca="false">G191-G190</f>
        <v>10.37</v>
      </c>
      <c r="I191" s="33" t="n">
        <v>195</v>
      </c>
      <c r="J191" s="33" t="n">
        <f aca="false">I191-I190</f>
        <v>131</v>
      </c>
      <c r="K191" s="2" t="s">
        <v>182</v>
      </c>
      <c r="L191" s="2" t="n">
        <f aca="false">VAR($C$184:$C$214)</f>
        <v>32093393.1591398</v>
      </c>
      <c r="M191" s="2" t="n">
        <f aca="false">VAR($E$184:$E$214)</f>
        <v>57740.333655914</v>
      </c>
      <c r="N191" s="2" t="n">
        <f aca="false">VAR($G$184:$G$214)</f>
        <v>15.7264739784946</v>
      </c>
      <c r="O191" s="2" t="n">
        <f aca="false">VAR($I$184:$I$214)</f>
        <v>2938.07956989247</v>
      </c>
    </row>
    <row r="192" customFormat="false" ht="13.8" hidden="false" customHeight="false" outlineLevel="0" collapsed="false">
      <c r="A192" s="33" t="n">
        <v>191</v>
      </c>
      <c r="B192" s="32" t="n">
        <v>45482</v>
      </c>
      <c r="C192" s="33" t="n">
        <v>10923</v>
      </c>
      <c r="D192" s="33" t="n">
        <f aca="false">C192-C191</f>
        <v>-10125</v>
      </c>
      <c r="E192" s="33" t="n">
        <v>466</v>
      </c>
      <c r="F192" s="33" t="n">
        <f aca="false">E192-E191</f>
        <v>-421.9</v>
      </c>
      <c r="G192" s="33" t="n">
        <v>7.65</v>
      </c>
      <c r="H192" s="33" t="n">
        <f aca="false">G192-G191</f>
        <v>-7.08</v>
      </c>
      <c r="I192" s="33" t="n">
        <v>103</v>
      </c>
      <c r="J192" s="33" t="n">
        <f aca="false">I192-I191</f>
        <v>-92</v>
      </c>
      <c r="K192" s="2" t="s">
        <v>16</v>
      </c>
      <c r="L192" s="2" t="n">
        <f aca="false">STDEV($C$184:$C$214)</f>
        <v>5665.10310225152</v>
      </c>
      <c r="M192" s="2" t="n">
        <f aca="false">STDEV($E$184:$E$214)</f>
        <v>240.292183925974</v>
      </c>
      <c r="N192" s="2" t="n">
        <f aca="false">STDEV($G$184:$G$214)</f>
        <v>3.96566185881936</v>
      </c>
      <c r="O192" s="2" t="n">
        <f aca="false">STDEV($I$184:$I$214)</f>
        <v>54.2040549211263</v>
      </c>
    </row>
    <row r="193" customFormat="false" ht="13.8" hidden="false" customHeight="false" outlineLevel="0" collapsed="false">
      <c r="A193" s="1" t="n">
        <v>192</v>
      </c>
      <c r="B193" s="32" t="n">
        <v>45483</v>
      </c>
      <c r="C193" s="33" t="n">
        <v>17364</v>
      </c>
      <c r="D193" s="33" t="n">
        <f aca="false">C193-C192</f>
        <v>6441</v>
      </c>
      <c r="E193" s="33" t="n">
        <v>737.9</v>
      </c>
      <c r="F193" s="33" t="n">
        <f aca="false">E193-E192</f>
        <v>271.9</v>
      </c>
      <c r="G193" s="33" t="n">
        <v>12.15</v>
      </c>
      <c r="H193" s="33" t="n">
        <f aca="false">G193-G192</f>
        <v>4.5</v>
      </c>
      <c r="I193" s="33" t="n">
        <v>165</v>
      </c>
      <c r="J193" s="33" t="n">
        <f aca="false">I193-I192</f>
        <v>62</v>
      </c>
      <c r="K193" s="2" t="s">
        <v>20</v>
      </c>
      <c r="L193" s="2" t="n">
        <f aca="false">KURT($C$184:$C$214)</f>
        <v>1.3488923923526</v>
      </c>
      <c r="M193" s="2" t="n">
        <f aca="false">KURT($E$184:$E$214)</f>
        <v>1.91366453974186</v>
      </c>
      <c r="N193" s="2" t="n">
        <f aca="false">KURT($G$184:$G$214)</f>
        <v>1.35062205441818</v>
      </c>
      <c r="O193" s="2" t="n">
        <f aca="false">KURT($I$184:$I$214)</f>
        <v>3.17362176395574</v>
      </c>
    </row>
    <row r="194" customFormat="false" ht="13.8" hidden="false" customHeight="false" outlineLevel="0" collapsed="false">
      <c r="A194" s="33" t="n">
        <v>193</v>
      </c>
      <c r="B194" s="32" t="n">
        <v>45484</v>
      </c>
      <c r="C194" s="33" t="n">
        <v>17883</v>
      </c>
      <c r="D194" s="33" t="n">
        <f aca="false">C194-C193</f>
        <v>519</v>
      </c>
      <c r="E194" s="33" t="n">
        <v>754.1</v>
      </c>
      <c r="F194" s="33" t="n">
        <f aca="false">E194-E193</f>
        <v>16.2</v>
      </c>
      <c r="G194" s="33" t="n">
        <v>12.52</v>
      </c>
      <c r="H194" s="33" t="n">
        <f aca="false">G194-G193</f>
        <v>0.369999999999999</v>
      </c>
      <c r="I194" s="33" t="n">
        <v>165</v>
      </c>
      <c r="J194" s="33" t="n">
        <f aca="false">I194-I193</f>
        <v>0</v>
      </c>
      <c r="K194" s="2" t="s">
        <v>22</v>
      </c>
      <c r="L194" s="2" t="n">
        <f aca="false">SKEW($C$184:$C$214)</f>
        <v>0.741195476662595</v>
      </c>
      <c r="M194" s="2" t="n">
        <f aca="false">SKEW($E$184:$E$214)</f>
        <v>0.898043069931583</v>
      </c>
      <c r="N194" s="2" t="n">
        <f aca="false">SKEW($G$184:$G$214)</f>
        <v>0.741223402856578</v>
      </c>
      <c r="O194" s="2" t="n">
        <f aca="false">SKEW($I$184:$I$214)</f>
        <v>1.2229934259809</v>
      </c>
    </row>
    <row r="195" customFormat="false" ht="13.8" hidden="false" customHeight="false" outlineLevel="0" collapsed="false">
      <c r="A195" s="1" t="n">
        <v>194</v>
      </c>
      <c r="B195" s="32" t="n">
        <v>45485</v>
      </c>
      <c r="C195" s="33" t="n">
        <v>6615</v>
      </c>
      <c r="D195" s="33" t="n">
        <f aca="false">C195-C194</f>
        <v>-11268</v>
      </c>
      <c r="E195" s="33" t="n">
        <v>295.8</v>
      </c>
      <c r="F195" s="33" t="n">
        <f aca="false">E195-E194</f>
        <v>-458.3</v>
      </c>
      <c r="G195" s="33" t="n">
        <v>4.63</v>
      </c>
      <c r="H195" s="33" t="n">
        <f aca="false">G195-G194</f>
        <v>-7.89</v>
      </c>
      <c r="I195" s="33" t="n">
        <v>70</v>
      </c>
      <c r="J195" s="33" t="n">
        <f aca="false">I195-I194</f>
        <v>-95</v>
      </c>
      <c r="K195" s="2" t="s">
        <v>24</v>
      </c>
      <c r="L195" s="2" t="n">
        <f aca="false">MAX($C$184:$C$214)-MIN($C$184:$C$214)</f>
        <v>25551</v>
      </c>
      <c r="M195" s="2" t="n">
        <f aca="false">MAX($E$184:$E$214)-MIN($E$184:$E$214)</f>
        <v>1109.8</v>
      </c>
      <c r="N195" s="2" t="n">
        <f aca="false">MAX($G$184:$G$214)-MIN($G$184:$G$214)</f>
        <v>17.89</v>
      </c>
      <c r="O195" s="2" t="n">
        <f aca="false">MAX($I$184:$I$214)-MIN($I$184:$I$214)</f>
        <v>260</v>
      </c>
    </row>
    <row r="196" customFormat="false" ht="13.8" hidden="false" customHeight="false" outlineLevel="0" collapsed="false">
      <c r="A196" s="33" t="n">
        <v>195</v>
      </c>
      <c r="B196" s="32" t="n">
        <v>45486</v>
      </c>
      <c r="C196" s="33" t="n">
        <v>22577</v>
      </c>
      <c r="D196" s="33" t="n">
        <f aca="false">C196-C195</f>
        <v>15962</v>
      </c>
      <c r="E196" s="33" t="n">
        <v>957.9</v>
      </c>
      <c r="F196" s="33" t="n">
        <f aca="false">E196-E195</f>
        <v>662.1</v>
      </c>
      <c r="G196" s="33" t="n">
        <v>15.8</v>
      </c>
      <c r="H196" s="33" t="n">
        <f aca="false">G196-G195</f>
        <v>11.17</v>
      </c>
      <c r="I196" s="33" t="n">
        <v>214</v>
      </c>
      <c r="J196" s="33" t="n">
        <f aca="false">I196-I195</f>
        <v>144</v>
      </c>
      <c r="K196" s="2" t="s">
        <v>26</v>
      </c>
      <c r="L196" s="2" t="n">
        <f aca="false">MIN($C$184:$C$214)</f>
        <v>6234</v>
      </c>
      <c r="M196" s="2" t="n">
        <f aca="false">MIN($E$184:$E$214)</f>
        <v>273.7</v>
      </c>
      <c r="N196" s="2" t="n">
        <f aca="false">MIN($G$184:$G$214)</f>
        <v>4.36</v>
      </c>
      <c r="O196" s="2" t="n">
        <f aca="false">MIN($I$184:$I$214)</f>
        <v>64</v>
      </c>
    </row>
    <row r="197" customFormat="false" ht="13.8" hidden="false" customHeight="false" outlineLevel="0" collapsed="false">
      <c r="A197" s="1" t="n">
        <v>196</v>
      </c>
      <c r="B197" s="32" t="n">
        <v>45487</v>
      </c>
      <c r="C197" s="33" t="n">
        <v>8463</v>
      </c>
      <c r="D197" s="33" t="n">
        <f aca="false">C197-C196</f>
        <v>-14114</v>
      </c>
      <c r="E197" s="33" t="n">
        <v>356.2</v>
      </c>
      <c r="F197" s="33" t="n">
        <f aca="false">E197-E196</f>
        <v>-601.7</v>
      </c>
      <c r="G197" s="33" t="n">
        <v>5.92</v>
      </c>
      <c r="H197" s="33" t="n">
        <f aca="false">G197-G196</f>
        <v>-9.88</v>
      </c>
      <c r="I197" s="33" t="n">
        <v>77</v>
      </c>
      <c r="J197" s="33" t="n">
        <f aca="false">I197-I196</f>
        <v>-137</v>
      </c>
      <c r="K197" s="2" t="s">
        <v>28</v>
      </c>
      <c r="L197" s="2" t="n">
        <f aca="false">MAX($C$184:$C$214)</f>
        <v>31785</v>
      </c>
      <c r="M197" s="2" t="n">
        <f aca="false">MAX($E$184:$E$214)</f>
        <v>1383.5</v>
      </c>
      <c r="N197" s="2" t="n">
        <f aca="false">MAX($G$184:$G$214)</f>
        <v>22.25</v>
      </c>
      <c r="O197" s="2" t="n">
        <f aca="false">MAX($I$184:$I$214)</f>
        <v>324</v>
      </c>
    </row>
    <row r="198" customFormat="false" ht="13.8" hidden="false" customHeight="false" outlineLevel="0" collapsed="false">
      <c r="A198" s="33" t="n">
        <v>197</v>
      </c>
      <c r="B198" s="32" t="n">
        <v>45488</v>
      </c>
      <c r="C198" s="33" t="n">
        <v>15301</v>
      </c>
      <c r="D198" s="33" t="n">
        <f aca="false">C198-C197</f>
        <v>6838</v>
      </c>
      <c r="E198" s="33" t="n">
        <v>642.1</v>
      </c>
      <c r="F198" s="33" t="n">
        <f aca="false">E198-E197</f>
        <v>285.9</v>
      </c>
      <c r="G198" s="33" t="n">
        <v>10.71</v>
      </c>
      <c r="H198" s="33" t="n">
        <f aca="false">G198-G197</f>
        <v>4.79</v>
      </c>
      <c r="I198" s="33" t="n">
        <v>140</v>
      </c>
      <c r="J198" s="33" t="n">
        <f aca="false">I198-I197</f>
        <v>63</v>
      </c>
      <c r="K198" s="2" t="s">
        <v>30</v>
      </c>
      <c r="L198" s="2" t="n">
        <f aca="false">SUM($C$184:$C$214)</f>
        <v>451835</v>
      </c>
      <c r="M198" s="2" t="n">
        <f aca="false">SUM($E$184:$E$214)</f>
        <v>19254.2</v>
      </c>
      <c r="N198" s="2" t="n">
        <f aca="false">SUM($G$184:$G$214)</f>
        <v>316.25</v>
      </c>
      <c r="O198" s="2" t="n">
        <f aca="false">SUM($I$184:$I$214)</f>
        <v>4300</v>
      </c>
    </row>
    <row r="199" customFormat="false" ht="13.8" hidden="false" customHeight="false" outlineLevel="0" collapsed="false">
      <c r="A199" s="1" t="n">
        <v>198</v>
      </c>
      <c r="B199" s="32" t="n">
        <v>45489</v>
      </c>
      <c r="C199" s="33" t="n">
        <v>18355</v>
      </c>
      <c r="D199" s="33" t="n">
        <f aca="false">C199-C198</f>
        <v>3054</v>
      </c>
      <c r="E199" s="33" t="n">
        <v>772.8</v>
      </c>
      <c r="F199" s="33" t="n">
        <f aca="false">E199-E198</f>
        <v>130.7</v>
      </c>
      <c r="G199" s="33" t="n">
        <v>12.85</v>
      </c>
      <c r="H199" s="33" t="n">
        <f aca="false">G199-G198</f>
        <v>2.14</v>
      </c>
      <c r="I199" s="33" t="n">
        <v>168</v>
      </c>
      <c r="J199" s="33" t="n">
        <f aca="false">I199-I198</f>
        <v>28</v>
      </c>
      <c r="K199" s="2" t="s">
        <v>32</v>
      </c>
      <c r="L199" s="2" t="n">
        <f aca="false">COUNT($C$184:$C$214)</f>
        <v>31</v>
      </c>
      <c r="M199" s="2" t="n">
        <f aca="false">COUNT($E$184:$E$214)</f>
        <v>31</v>
      </c>
      <c r="N199" s="2" t="n">
        <f aca="false">COUNT($G$184:$G$214)</f>
        <v>31</v>
      </c>
      <c r="O199" s="2" t="n">
        <f aca="false">COUNT($I$184:$I$214)</f>
        <v>31</v>
      </c>
    </row>
    <row r="200" customFormat="false" ht="13.8" hidden="false" customHeight="false" outlineLevel="0" collapsed="false">
      <c r="A200" s="33" t="n">
        <v>199</v>
      </c>
      <c r="B200" s="32" t="n">
        <v>45490</v>
      </c>
      <c r="C200" s="33" t="n">
        <v>17421</v>
      </c>
      <c r="D200" s="33" t="n">
        <f aca="false">C200-C199</f>
        <v>-934</v>
      </c>
      <c r="E200" s="33" t="n">
        <v>736.8</v>
      </c>
      <c r="F200" s="33" t="n">
        <f aca="false">E200-E199</f>
        <v>-36</v>
      </c>
      <c r="G200" s="33" t="n">
        <v>12.19</v>
      </c>
      <c r="H200" s="33" t="n">
        <f aca="false">G200-G199</f>
        <v>-0.66</v>
      </c>
      <c r="I200" s="33" t="n">
        <v>162</v>
      </c>
      <c r="J200" s="33" t="n">
        <f aca="false">I200-I199</f>
        <v>-6</v>
      </c>
    </row>
    <row r="201" customFormat="false" ht="13.8" hidden="false" customHeight="false" outlineLevel="0" collapsed="false">
      <c r="A201" s="1" t="n">
        <v>200</v>
      </c>
      <c r="B201" s="32" t="n">
        <v>45491</v>
      </c>
      <c r="C201" s="33" t="n">
        <v>14689</v>
      </c>
      <c r="D201" s="33" t="n">
        <f aca="false">C201-C200</f>
        <v>-2732</v>
      </c>
      <c r="E201" s="33" t="n">
        <v>620.8</v>
      </c>
      <c r="F201" s="33" t="n">
        <f aca="false">E201-E200</f>
        <v>-116</v>
      </c>
      <c r="G201" s="33" t="n">
        <v>10.28</v>
      </c>
      <c r="H201" s="33" t="n">
        <f aca="false">G201-G200</f>
        <v>-1.91</v>
      </c>
      <c r="I201" s="33" t="n">
        <v>135</v>
      </c>
      <c r="J201" s="33" t="n">
        <f aca="false">I201-I200</f>
        <v>-27</v>
      </c>
    </row>
    <row r="202" customFormat="false" ht="13.8" hidden="false" customHeight="false" outlineLevel="0" collapsed="false">
      <c r="A202" s="33" t="n">
        <v>201</v>
      </c>
      <c r="B202" s="32" t="n">
        <v>45492</v>
      </c>
      <c r="C202" s="33" t="n">
        <v>6958</v>
      </c>
      <c r="D202" s="33" t="n">
        <f aca="false">C202-C201</f>
        <v>-7731</v>
      </c>
      <c r="E202" s="33" t="n">
        <v>312.2</v>
      </c>
      <c r="F202" s="33" t="n">
        <f aca="false">E202-E201</f>
        <v>-308.6</v>
      </c>
      <c r="G202" s="33" t="n">
        <v>4.87</v>
      </c>
      <c r="H202" s="33" t="n">
        <f aca="false">G202-G201</f>
        <v>-5.41</v>
      </c>
      <c r="I202" s="33" t="n">
        <v>75</v>
      </c>
      <c r="J202" s="33" t="n">
        <f aca="false">I202-I201</f>
        <v>-60</v>
      </c>
    </row>
    <row r="203" customFormat="false" ht="13.8" hidden="false" customHeight="false" outlineLevel="0" collapsed="false">
      <c r="A203" s="1" t="n">
        <v>202</v>
      </c>
      <c r="B203" s="32" t="n">
        <v>45493</v>
      </c>
      <c r="C203" s="1" t="n">
        <v>10295</v>
      </c>
      <c r="D203" s="33" t="n">
        <f aca="false">C204-C202</f>
        <v>24827</v>
      </c>
      <c r="E203" s="1" t="n">
        <v>456.2</v>
      </c>
      <c r="F203" s="33" t="n">
        <f aca="false">E204-E202</f>
        <v>1071.3</v>
      </c>
      <c r="G203" s="1" t="n">
        <v>7.21</v>
      </c>
      <c r="H203" s="33" t="n">
        <f aca="false">G204-G202</f>
        <v>17.38</v>
      </c>
      <c r="I203" s="1" t="n">
        <v>109</v>
      </c>
      <c r="J203" s="33" t="n">
        <f aca="false">I204-I202</f>
        <v>249</v>
      </c>
    </row>
    <row r="204" customFormat="false" ht="13.8" hidden="false" customHeight="false" outlineLevel="0" collapsed="false">
      <c r="A204" s="33" t="n">
        <v>203</v>
      </c>
      <c r="B204" s="32" t="n">
        <v>45494</v>
      </c>
      <c r="C204" s="33" t="n">
        <v>31785</v>
      </c>
      <c r="D204" s="33" t="n">
        <f aca="false">C205-C203</f>
        <v>6170</v>
      </c>
      <c r="E204" s="33" t="n">
        <v>1383.5</v>
      </c>
      <c r="F204" s="33" t="n">
        <f aca="false">E205-E203</f>
        <v>248.3</v>
      </c>
      <c r="G204" s="33" t="n">
        <v>22.25</v>
      </c>
      <c r="H204" s="33" t="n">
        <f aca="false">G205-G203</f>
        <v>4.32</v>
      </c>
      <c r="I204" s="33" t="n">
        <v>324</v>
      </c>
      <c r="J204" s="33" t="n">
        <f aca="false">I205-I203</f>
        <v>51</v>
      </c>
    </row>
    <row r="205" customFormat="false" ht="13.8" hidden="false" customHeight="false" outlineLevel="0" collapsed="false">
      <c r="A205" s="1" t="n">
        <v>204</v>
      </c>
      <c r="B205" s="32" t="n">
        <v>45495</v>
      </c>
      <c r="C205" s="33" t="n">
        <v>16465</v>
      </c>
      <c r="D205" s="33" t="n">
        <f aca="false">C206-C204</f>
        <v>-18578</v>
      </c>
      <c r="E205" s="33" t="n">
        <v>704.5</v>
      </c>
      <c r="F205" s="33" t="n">
        <f aca="false">E206-E204</f>
        <v>-830.7</v>
      </c>
      <c r="G205" s="33" t="n">
        <v>11.53</v>
      </c>
      <c r="H205" s="33" t="n">
        <f aca="false">G206-G204</f>
        <v>-13.01</v>
      </c>
      <c r="I205" s="33" t="n">
        <v>160</v>
      </c>
      <c r="J205" s="33" t="n">
        <f aca="false">I206-I204</f>
        <v>-205</v>
      </c>
    </row>
    <row r="206" customFormat="false" ht="13.8" hidden="false" customHeight="false" outlineLevel="0" collapsed="false">
      <c r="A206" s="33" t="n">
        <v>205</v>
      </c>
      <c r="B206" s="32" t="n">
        <v>45496</v>
      </c>
      <c r="C206" s="33" t="n">
        <v>13207</v>
      </c>
      <c r="D206" s="33" t="n">
        <f aca="false">C207-C205</f>
        <v>5204</v>
      </c>
      <c r="E206" s="33" t="n">
        <v>552.8</v>
      </c>
      <c r="F206" s="33" t="n">
        <f aca="false">E207-E205</f>
        <v>209</v>
      </c>
      <c r="G206" s="33" t="n">
        <v>9.24</v>
      </c>
      <c r="H206" s="33" t="n">
        <f aca="false">G207-G205</f>
        <v>3.64</v>
      </c>
      <c r="I206" s="33" t="n">
        <v>119</v>
      </c>
      <c r="J206" s="33" t="n">
        <f aca="false">I207-I205</f>
        <v>41</v>
      </c>
    </row>
    <row r="207" customFormat="false" ht="13.8" hidden="false" customHeight="false" outlineLevel="0" collapsed="false">
      <c r="A207" s="1" t="n">
        <v>206</v>
      </c>
      <c r="B207" s="32" t="n">
        <v>45497</v>
      </c>
      <c r="C207" s="33" t="n">
        <v>21669</v>
      </c>
      <c r="D207" s="33" t="n">
        <f aca="false">C207-C206</f>
        <v>8462</v>
      </c>
      <c r="E207" s="33" t="n">
        <v>913.5</v>
      </c>
      <c r="F207" s="33" t="n">
        <f aca="false">E207-E206</f>
        <v>360.7</v>
      </c>
      <c r="G207" s="33" t="n">
        <v>15.17</v>
      </c>
      <c r="H207" s="33" t="n">
        <f aca="false">G207-G206</f>
        <v>5.93</v>
      </c>
      <c r="I207" s="33" t="n">
        <v>201</v>
      </c>
      <c r="J207" s="33" t="n">
        <f aca="false">I207-I206</f>
        <v>82</v>
      </c>
    </row>
    <row r="208" customFormat="false" ht="13.8" hidden="false" customHeight="false" outlineLevel="0" collapsed="false">
      <c r="A208" s="33" t="n">
        <v>207</v>
      </c>
      <c r="B208" s="32" t="n">
        <v>45498</v>
      </c>
      <c r="C208" s="33" t="n">
        <v>9354</v>
      </c>
      <c r="D208" s="33" t="n">
        <f aca="false">C208-C207</f>
        <v>-12315</v>
      </c>
      <c r="E208" s="33" t="n">
        <v>393.3</v>
      </c>
      <c r="F208" s="33" t="n">
        <f aca="false">E208-E207</f>
        <v>-520.2</v>
      </c>
      <c r="G208" s="33" t="n">
        <v>6.55</v>
      </c>
      <c r="H208" s="33" t="n">
        <f aca="false">G208-G207</f>
        <v>-8.62</v>
      </c>
      <c r="I208" s="33" t="n">
        <v>86</v>
      </c>
      <c r="J208" s="33" t="n">
        <f aca="false">I208-I207</f>
        <v>-115</v>
      </c>
    </row>
    <row r="209" customFormat="false" ht="13.8" hidden="false" customHeight="false" outlineLevel="0" collapsed="false">
      <c r="A209" s="1" t="n">
        <v>208</v>
      </c>
      <c r="B209" s="32" t="n">
        <v>45499</v>
      </c>
      <c r="C209" s="33" t="n">
        <v>13691</v>
      </c>
      <c r="D209" s="33" t="n">
        <f aca="false">C209-C208</f>
        <v>4337</v>
      </c>
      <c r="E209" s="33" t="n">
        <v>570.8</v>
      </c>
      <c r="F209" s="33" t="n">
        <f aca="false">E209-E208</f>
        <v>177.5</v>
      </c>
      <c r="G209" s="33" t="n">
        <v>9.58</v>
      </c>
      <c r="H209" s="33" t="n">
        <f aca="false">G209-G208</f>
        <v>3.03</v>
      </c>
      <c r="I209" s="33" t="n">
        <v>119</v>
      </c>
      <c r="J209" s="33" t="n">
        <f aca="false">I209-I208</f>
        <v>33</v>
      </c>
    </row>
    <row r="210" customFormat="false" ht="13.8" hidden="false" customHeight="false" outlineLevel="0" collapsed="false">
      <c r="A210" s="33" t="n">
        <v>209</v>
      </c>
      <c r="B210" s="32" t="n">
        <v>45500</v>
      </c>
      <c r="C210" s="33" t="n">
        <v>9259</v>
      </c>
      <c r="D210" s="33" t="n">
        <f aca="false">C210-C209</f>
        <v>-4432</v>
      </c>
      <c r="E210" s="33" t="n">
        <v>409.9</v>
      </c>
      <c r="F210" s="33" t="n">
        <f aca="false">E210-E209</f>
        <v>-160.9</v>
      </c>
      <c r="G210" s="33" t="n">
        <v>6.48</v>
      </c>
      <c r="H210" s="33" t="n">
        <f aca="false">G210-G209</f>
        <v>-3.1</v>
      </c>
      <c r="I210" s="33" t="n">
        <v>98</v>
      </c>
      <c r="J210" s="33" t="n">
        <f aca="false">I210-I209</f>
        <v>-21</v>
      </c>
    </row>
    <row r="211" customFormat="false" ht="13.8" hidden="false" customHeight="false" outlineLevel="0" collapsed="false">
      <c r="A211" s="1" t="n">
        <v>210</v>
      </c>
      <c r="B211" s="32" t="n">
        <v>45501</v>
      </c>
      <c r="C211" s="33" t="n">
        <v>18099</v>
      </c>
      <c r="D211" s="33" t="n">
        <f aca="false">C211-C210</f>
        <v>8840</v>
      </c>
      <c r="E211" s="33" t="n">
        <v>775.8</v>
      </c>
      <c r="F211" s="33" t="n">
        <f aca="false">E211-E210</f>
        <v>365.9</v>
      </c>
      <c r="G211" s="33" t="n">
        <v>12.67</v>
      </c>
      <c r="H211" s="33" t="n">
        <f aca="false">G211-G210</f>
        <v>6.19</v>
      </c>
      <c r="I211" s="33" t="n">
        <v>176</v>
      </c>
      <c r="J211" s="33" t="n">
        <f aca="false">I211-I210</f>
        <v>78</v>
      </c>
    </row>
    <row r="212" customFormat="false" ht="13.8" hidden="false" customHeight="false" outlineLevel="0" collapsed="false">
      <c r="A212" s="33" t="n">
        <v>211</v>
      </c>
      <c r="B212" s="32" t="n">
        <v>45502</v>
      </c>
      <c r="C212" s="33" t="n">
        <v>18249</v>
      </c>
      <c r="D212" s="33" t="n">
        <f aca="false">C212-C211</f>
        <v>150</v>
      </c>
      <c r="E212" s="33" t="n">
        <v>773.7</v>
      </c>
      <c r="F212" s="33" t="n">
        <f aca="false">E212-E211</f>
        <v>-2.09999999999991</v>
      </c>
      <c r="G212" s="33" t="n">
        <v>12.77</v>
      </c>
      <c r="H212" s="33" t="n">
        <f aca="false">G212-G211</f>
        <v>0.0999999999999996</v>
      </c>
      <c r="I212" s="33" t="n">
        <v>172</v>
      </c>
      <c r="J212" s="33" t="n">
        <f aca="false">I212-I211</f>
        <v>-4</v>
      </c>
    </row>
    <row r="213" customFormat="false" ht="13.8" hidden="false" customHeight="false" outlineLevel="0" collapsed="false">
      <c r="A213" s="1" t="n">
        <v>212</v>
      </c>
      <c r="B213" s="32" t="n">
        <v>45503</v>
      </c>
      <c r="C213" s="33" t="n">
        <v>13288</v>
      </c>
      <c r="D213" s="33" t="n">
        <f aca="false">C213-C212</f>
        <v>-4961</v>
      </c>
      <c r="E213" s="33" t="n">
        <v>563.2</v>
      </c>
      <c r="F213" s="33" t="n">
        <f aca="false">E213-E212</f>
        <v>-210.5</v>
      </c>
      <c r="G213" s="33" t="n">
        <v>9.3</v>
      </c>
      <c r="H213" s="33" t="n">
        <f aca="false">G213-G212</f>
        <v>-3.47</v>
      </c>
      <c r="I213" s="33" t="n">
        <v>125</v>
      </c>
      <c r="J213" s="33" t="n">
        <f aca="false">I213-I212</f>
        <v>-47</v>
      </c>
    </row>
    <row r="214" customFormat="false" ht="13.8" hidden="false" customHeight="false" outlineLevel="0" collapsed="false">
      <c r="A214" s="33" t="n">
        <v>213</v>
      </c>
      <c r="B214" s="32" t="n">
        <v>45504</v>
      </c>
      <c r="C214" s="33" t="n">
        <v>13428</v>
      </c>
      <c r="D214" s="33" t="n">
        <f aca="false">C214-C213</f>
        <v>140</v>
      </c>
      <c r="E214" s="33" t="n">
        <v>569.2</v>
      </c>
      <c r="F214" s="33" t="n">
        <f aca="false">E214-E213</f>
        <v>6</v>
      </c>
      <c r="G214" s="33" t="n">
        <v>9.4</v>
      </c>
      <c r="H214" s="33" t="n">
        <f aca="false">G214-G213</f>
        <v>0.0999999999999996</v>
      </c>
      <c r="I214" s="33" t="n">
        <v>126</v>
      </c>
      <c r="J214" s="33" t="n">
        <f aca="false">I214-I213</f>
        <v>1</v>
      </c>
    </row>
    <row r="215" customFormat="false" ht="13.8" hidden="false" customHeight="false" outlineLevel="0" collapsed="false">
      <c r="A215" s="1" t="n">
        <v>214</v>
      </c>
      <c r="B215" s="32" t="n">
        <v>45505</v>
      </c>
      <c r="C215" s="33" t="n">
        <v>10504</v>
      </c>
      <c r="D215" s="33" t="n">
        <f aca="false">C215-C214</f>
        <v>-2924</v>
      </c>
      <c r="E215" s="33" t="n">
        <v>441.8</v>
      </c>
      <c r="F215" s="33" t="n">
        <f aca="false">E215-E214</f>
        <v>-127.4</v>
      </c>
      <c r="G215" s="33" t="n">
        <v>7.35</v>
      </c>
      <c r="H215" s="33" t="n">
        <f aca="false">G215-G214</f>
        <v>-2.05</v>
      </c>
      <c r="I215" s="33" t="n">
        <v>96</v>
      </c>
      <c r="J215" s="33" t="n">
        <f aca="false">I215-I214</f>
        <v>-30</v>
      </c>
      <c r="L215" s="34" t="s">
        <v>2</v>
      </c>
      <c r="M215" s="34" t="s">
        <v>179</v>
      </c>
      <c r="N215" s="34" t="s">
        <v>175</v>
      </c>
      <c r="O215" s="34" t="s">
        <v>177</v>
      </c>
    </row>
    <row r="216" customFormat="false" ht="13.8" hidden="false" customHeight="false" outlineLevel="0" collapsed="false">
      <c r="A216" s="33" t="n">
        <v>215</v>
      </c>
      <c r="B216" s="32" t="n">
        <v>45506</v>
      </c>
      <c r="C216" s="33" t="n">
        <v>12410</v>
      </c>
      <c r="D216" s="33" t="n">
        <f aca="false">C216-C215</f>
        <v>1906</v>
      </c>
      <c r="E216" s="33" t="n">
        <v>526.6</v>
      </c>
      <c r="F216" s="33" t="n">
        <f aca="false">E216-E215</f>
        <v>84.8</v>
      </c>
      <c r="G216" s="33" t="n">
        <v>8.69</v>
      </c>
      <c r="H216" s="33" t="n">
        <f aca="false">G216-G215</f>
        <v>1.34</v>
      </c>
      <c r="I216" s="33" t="n">
        <v>116</v>
      </c>
      <c r="J216" s="33" t="n">
        <f aca="false">I216-I215</f>
        <v>20</v>
      </c>
      <c r="K216" s="2" t="s">
        <v>8</v>
      </c>
      <c r="L216" s="2" t="n">
        <f aca="false">AVERAGE($C$215:$C$245)</f>
        <v>13571.9677419355</v>
      </c>
      <c r="M216" s="2" t="n">
        <f aca="false">AVERAGE($E$215:$E$245)</f>
        <v>580.274193548387</v>
      </c>
      <c r="N216" s="2" t="n">
        <f aca="false">AVERAGE($G$215:$G$245)</f>
        <v>9.50032258064516</v>
      </c>
      <c r="O216" s="2" t="n">
        <f aca="false">AVERAGE($I$215:$I$245)</f>
        <v>128.709677419355</v>
      </c>
    </row>
    <row r="217" customFormat="false" ht="13.8" hidden="false" customHeight="false" outlineLevel="0" collapsed="false">
      <c r="A217" s="1" t="n">
        <v>216</v>
      </c>
      <c r="B217" s="32" t="n">
        <v>45507</v>
      </c>
      <c r="C217" s="33" t="n">
        <v>25878</v>
      </c>
      <c r="D217" s="33" t="n">
        <f aca="false">C217-C216</f>
        <v>13468</v>
      </c>
      <c r="E217" s="33" t="n">
        <v>1117.2</v>
      </c>
      <c r="F217" s="33" t="n">
        <f aca="false">E217-E216</f>
        <v>590.6</v>
      </c>
      <c r="G217" s="33" t="n">
        <v>18.11</v>
      </c>
      <c r="H217" s="33" t="n">
        <f aca="false">G217-G216</f>
        <v>9.42</v>
      </c>
      <c r="I217" s="33" t="n">
        <v>235</v>
      </c>
      <c r="J217" s="33" t="n">
        <f aca="false">I217-I216</f>
        <v>119</v>
      </c>
      <c r="K217" s="2" t="s">
        <v>10</v>
      </c>
      <c r="L217" s="2" t="n">
        <f aca="false">SQRT(VAR($C$215:$C$245)/COUNT($C$215:$C$245))</f>
        <v>1344.20250049273</v>
      </c>
      <c r="M217" s="2" t="n">
        <f aca="false">SQRT(VAR($E$215:$E$245)/COUNT($E$215:$E$245))</f>
        <v>58.7746842159328</v>
      </c>
      <c r="N217" s="2" t="n">
        <f aca="false">SQRT(VAR($G$215:$G$245)/COUNT($G$215:$G$245))</f>
        <v>0.940982612007939</v>
      </c>
      <c r="O217" s="2" t="n">
        <f aca="false">SQRT(VAR($I$215:$I$245)/COUNT($I$215:$I$245))</f>
        <v>13.4868469216865</v>
      </c>
    </row>
    <row r="218" customFormat="false" ht="13.8" hidden="false" customHeight="false" outlineLevel="0" collapsed="false">
      <c r="A218" s="33" t="n">
        <v>217</v>
      </c>
      <c r="B218" s="32" t="n">
        <v>45508</v>
      </c>
      <c r="C218" s="33" t="n">
        <v>36952</v>
      </c>
      <c r="D218" s="33" t="n">
        <f aca="false">C218-C217</f>
        <v>11074</v>
      </c>
      <c r="E218" s="33" t="n">
        <v>1604.8</v>
      </c>
      <c r="F218" s="33" t="n">
        <f aca="false">E218-E217</f>
        <v>487.6</v>
      </c>
      <c r="G218" s="33" t="n">
        <v>25.87</v>
      </c>
      <c r="H218" s="33" t="n">
        <f aca="false">G218-G217</f>
        <v>7.76</v>
      </c>
      <c r="I218" s="33" t="n">
        <v>373</v>
      </c>
      <c r="J218" s="33" t="n">
        <f aca="false">I218-I217</f>
        <v>138</v>
      </c>
      <c r="K218" s="2" t="s">
        <v>14</v>
      </c>
      <c r="L218" s="2" t="e">
        <f aca="false">MODE($C$215:$C$245)</f>
        <v>#VALUE!</v>
      </c>
      <c r="M218" s="2" t="e">
        <f aca="false">MODE($E$215:$E$245)</f>
        <v>#VALUE!</v>
      </c>
      <c r="N218" s="2" t="e">
        <f aca="false">MODE($G$215:$G$245)</f>
        <v>#VALUE!</v>
      </c>
      <c r="O218" s="2" t="n">
        <f aca="false">MODE($I$215:$I$245)</f>
        <v>57</v>
      </c>
    </row>
    <row r="219" customFormat="false" ht="13.8" hidden="false" customHeight="false" outlineLevel="0" collapsed="false">
      <c r="A219" s="1" t="n">
        <v>218</v>
      </c>
      <c r="B219" s="32" t="n">
        <v>45509</v>
      </c>
      <c r="C219" s="33" t="n">
        <v>14614</v>
      </c>
      <c r="D219" s="33" t="n">
        <f aca="false">C219-C218</f>
        <v>-22338</v>
      </c>
      <c r="E219" s="33" t="n">
        <v>607.1</v>
      </c>
      <c r="F219" s="33" t="n">
        <f aca="false">E219-E218</f>
        <v>-997.7</v>
      </c>
      <c r="G219" s="33" t="n">
        <v>10.23</v>
      </c>
      <c r="H219" s="33" t="n">
        <f aca="false">G219-G218</f>
        <v>-15.64</v>
      </c>
      <c r="I219" s="33" t="n">
        <v>125</v>
      </c>
      <c r="J219" s="33" t="n">
        <f aca="false">I219-I218</f>
        <v>-248</v>
      </c>
      <c r="K219" s="2" t="s">
        <v>12</v>
      </c>
      <c r="L219" s="2" t="n">
        <f aca="false">MEDIAN($C$215:$C$245)</f>
        <v>12222</v>
      </c>
      <c r="M219" s="2" t="n">
        <f aca="false">MEDIAN($E$215:$E$245)</f>
        <v>514.6</v>
      </c>
      <c r="N219" s="2" t="n">
        <f aca="false">MEDIAN($G$215:$G$245)</f>
        <v>8.56</v>
      </c>
      <c r="O219" s="2" t="n">
        <f aca="false">MEDIAN($I$215:$I$245)</f>
        <v>113</v>
      </c>
    </row>
    <row r="220" customFormat="false" ht="13.8" hidden="false" customHeight="false" outlineLevel="0" collapsed="false">
      <c r="A220" s="33" t="n">
        <v>219</v>
      </c>
      <c r="B220" s="32" t="n">
        <v>45510</v>
      </c>
      <c r="C220" s="33" t="n">
        <v>8219</v>
      </c>
      <c r="D220" s="33" t="n">
        <f aca="false">C220-C219</f>
        <v>-6395</v>
      </c>
      <c r="E220" s="33" t="n">
        <v>357.5</v>
      </c>
      <c r="F220" s="33" t="n">
        <f aca="false">E220-E219</f>
        <v>-249.6</v>
      </c>
      <c r="G220" s="33" t="n">
        <v>5.75</v>
      </c>
      <c r="H220" s="33" t="n">
        <f aca="false">G220-G219</f>
        <v>-4.48</v>
      </c>
      <c r="I220" s="33" t="n">
        <v>83</v>
      </c>
      <c r="J220" s="33" t="n">
        <f aca="false">I220-I219</f>
        <v>-42</v>
      </c>
      <c r="K220" s="2" t="s">
        <v>195</v>
      </c>
      <c r="L220" s="2" t="n">
        <f aca="false">QUARTILE($C$215:$C$245, 1)</f>
        <v>8024</v>
      </c>
      <c r="M220" s="2" t="n">
        <f aca="false">QUARTILE($E$215:$E$245, 1)</f>
        <v>349.1</v>
      </c>
      <c r="N220" s="2" t="n">
        <f aca="false">QUARTILE($G$215:$G$245, 1)</f>
        <v>5.615</v>
      </c>
      <c r="O220" s="2" t="n">
        <f aca="false">QUARTILE($I$215:$I$245, 1)</f>
        <v>80.5</v>
      </c>
    </row>
    <row r="221" customFormat="false" ht="13.8" hidden="false" customHeight="false" outlineLevel="0" collapsed="false">
      <c r="A221" s="1" t="n">
        <v>220</v>
      </c>
      <c r="B221" s="32" t="n">
        <v>45511</v>
      </c>
      <c r="C221" s="33" t="n">
        <v>7829</v>
      </c>
      <c r="D221" s="33" t="n">
        <f aca="false">C221-C220</f>
        <v>-390</v>
      </c>
      <c r="E221" s="33" t="n">
        <v>340.7</v>
      </c>
      <c r="F221" s="33" t="n">
        <f aca="false">E221-E220</f>
        <v>-16.8</v>
      </c>
      <c r="G221" s="33" t="n">
        <v>5.48</v>
      </c>
      <c r="H221" s="33" t="n">
        <f aca="false">G221-G220</f>
        <v>-0.27</v>
      </c>
      <c r="I221" s="33" t="n">
        <v>78</v>
      </c>
      <c r="J221" s="33" t="n">
        <f aca="false">I221-I220</f>
        <v>-5</v>
      </c>
      <c r="K221" s="2" t="s">
        <v>181</v>
      </c>
      <c r="L221" s="2" t="n">
        <f aca="false">QUARTILE($C$215:$C$245, 3)</f>
        <v>14447.5</v>
      </c>
      <c r="M221" s="2" t="n">
        <f aca="false">QUARTILE($E$215:$E$245, 3)</f>
        <v>604.45</v>
      </c>
      <c r="N221" s="2" t="n">
        <f aca="false">QUARTILE($G$215:$G$245, 3)</f>
        <v>10.115</v>
      </c>
      <c r="O221" s="2" t="n">
        <f aca="false">QUARTILE($I$215:$I$245, 3)</f>
        <v>131.5</v>
      </c>
    </row>
    <row r="222" customFormat="false" ht="13.8" hidden="false" customHeight="false" outlineLevel="0" collapsed="false">
      <c r="A222" s="33" t="n">
        <v>221</v>
      </c>
      <c r="B222" s="32" t="n">
        <v>45512</v>
      </c>
      <c r="C222" s="33" t="n">
        <v>16113</v>
      </c>
      <c r="D222" s="33" t="n">
        <f aca="false">C222-C221</f>
        <v>8284</v>
      </c>
      <c r="E222" s="33" t="n">
        <v>678.4</v>
      </c>
      <c r="F222" s="33" t="n">
        <f aca="false">E222-E221</f>
        <v>337.7</v>
      </c>
      <c r="G222" s="33" t="n">
        <v>11.28</v>
      </c>
      <c r="H222" s="33" t="n">
        <f aca="false">G222-G221</f>
        <v>5.8</v>
      </c>
      <c r="I222" s="33" t="n">
        <v>146</v>
      </c>
      <c r="J222" s="33" t="n">
        <f aca="false">I222-I221</f>
        <v>68</v>
      </c>
      <c r="K222" s="2" t="s">
        <v>182</v>
      </c>
      <c r="L222" s="2" t="n">
        <f aca="false">VAR($C$215:$C$245)</f>
        <v>56013291.2322581</v>
      </c>
      <c r="M222" s="2" t="n">
        <f aca="false">VAR($E$215:$E$245)</f>
        <v>107088.368645161</v>
      </c>
      <c r="N222" s="2" t="n">
        <f aca="false">VAR($G$215:$G$245)</f>
        <v>27.4488965591398</v>
      </c>
      <c r="O222" s="2" t="n">
        <f aca="false">VAR($I$215:$I$245)</f>
        <v>5638.74623655914</v>
      </c>
    </row>
    <row r="223" customFormat="false" ht="13.8" hidden="false" customHeight="false" outlineLevel="0" collapsed="false">
      <c r="A223" s="1" t="n">
        <v>222</v>
      </c>
      <c r="B223" s="32" t="n">
        <v>45513</v>
      </c>
      <c r="C223" s="33" t="n">
        <v>6525</v>
      </c>
      <c r="D223" s="33" t="n">
        <f aca="false">C223-C222</f>
        <v>-9588</v>
      </c>
      <c r="E223" s="33" t="n">
        <v>279.1</v>
      </c>
      <c r="F223" s="33" t="n">
        <f aca="false">E223-E222</f>
        <v>-399.3</v>
      </c>
      <c r="G223" s="33" t="n">
        <v>4.57</v>
      </c>
      <c r="H223" s="33" t="n">
        <f aca="false">G223-G222</f>
        <v>-6.71</v>
      </c>
      <c r="I223" s="33" t="n">
        <v>63</v>
      </c>
      <c r="J223" s="33" t="n">
        <f aca="false">I223-I222</f>
        <v>-83</v>
      </c>
      <c r="K223" s="2" t="s">
        <v>16</v>
      </c>
      <c r="L223" s="2" t="n">
        <f aca="false">STDEV($C$215:$C$245)</f>
        <v>7484.20277867042</v>
      </c>
      <c r="M223" s="2" t="n">
        <f aca="false">STDEV($E$215:$E$245)</f>
        <v>327.243592214059</v>
      </c>
      <c r="N223" s="2" t="n">
        <f aca="false">STDEV($G$215:$G$245)</f>
        <v>5.23916945318051</v>
      </c>
      <c r="O223" s="2" t="n">
        <f aca="false">STDEV($I$215:$I$245)</f>
        <v>75.0915856575098</v>
      </c>
    </row>
    <row r="224" customFormat="false" ht="13.8" hidden="false" customHeight="false" outlineLevel="0" collapsed="false">
      <c r="A224" s="33" t="n">
        <v>223</v>
      </c>
      <c r="B224" s="32" t="n">
        <v>45514</v>
      </c>
      <c r="C224" s="33" t="n">
        <v>7617</v>
      </c>
      <c r="D224" s="33" t="n">
        <f aca="false">C224-C223</f>
        <v>1092</v>
      </c>
      <c r="E224" s="33" t="n">
        <v>329.7</v>
      </c>
      <c r="F224" s="33" t="n">
        <f aca="false">E224-E223</f>
        <v>50.6</v>
      </c>
      <c r="G224" s="33" t="n">
        <v>5.33</v>
      </c>
      <c r="H224" s="33" t="n">
        <f aca="false">G224-G223</f>
        <v>0.76</v>
      </c>
      <c r="I224" s="33" t="n">
        <v>76</v>
      </c>
      <c r="J224" s="33" t="n">
        <f aca="false">I224-I223</f>
        <v>13</v>
      </c>
      <c r="K224" s="2" t="s">
        <v>20</v>
      </c>
      <c r="L224" s="2" t="n">
        <f aca="false">KURT($C$215:$C$245)</f>
        <v>2.42611063693416</v>
      </c>
      <c r="M224" s="2" t="n">
        <f aca="false">KURT($E$215:$E$245)</f>
        <v>2.57563937647693</v>
      </c>
      <c r="N224" s="2" t="n">
        <f aca="false">KURT($G$215:$G$245)</f>
        <v>2.42726901138422</v>
      </c>
      <c r="O224" s="2" t="n">
        <f aca="false">KURT($I$215:$I$245)</f>
        <v>3.43108294891325</v>
      </c>
    </row>
    <row r="225" customFormat="false" ht="13.8" hidden="false" customHeight="false" outlineLevel="0" collapsed="false">
      <c r="A225" s="1" t="n">
        <v>224</v>
      </c>
      <c r="B225" s="32" t="n">
        <v>45515</v>
      </c>
      <c r="C225" s="33" t="n">
        <v>22999</v>
      </c>
      <c r="D225" s="33" t="n">
        <f aca="false">C225-C224</f>
        <v>15382</v>
      </c>
      <c r="E225" s="33" t="n">
        <v>971.9</v>
      </c>
      <c r="F225" s="33" t="n">
        <f aca="false">E225-E224</f>
        <v>642.2</v>
      </c>
      <c r="G225" s="33" t="n">
        <v>16.1</v>
      </c>
      <c r="H225" s="33" t="n">
        <f aca="false">G225-G224</f>
        <v>10.77</v>
      </c>
      <c r="I225" s="33" t="n">
        <v>215</v>
      </c>
      <c r="J225" s="33" t="n">
        <f aca="false">I225-I224</f>
        <v>139</v>
      </c>
      <c r="K225" s="2" t="s">
        <v>22</v>
      </c>
      <c r="L225" s="2" t="n">
        <f aca="false">SKEW($C$215:$C$245)</f>
        <v>1.58863627608495</v>
      </c>
      <c r="M225" s="2" t="n">
        <f aca="false">SKEW($E$215:$E$245)</f>
        <v>1.64944822256403</v>
      </c>
      <c r="N225" s="2" t="n">
        <f aca="false">SKEW($G$215:$G$245)</f>
        <v>1.58859513169348</v>
      </c>
      <c r="O225" s="2" t="n">
        <f aca="false">SKEW($I$215:$I$245)</f>
        <v>1.84200052783947</v>
      </c>
    </row>
    <row r="226" customFormat="false" ht="13.8" hidden="false" customHeight="false" outlineLevel="0" collapsed="false">
      <c r="A226" s="33" t="n">
        <v>225</v>
      </c>
      <c r="B226" s="32" t="n">
        <v>45516</v>
      </c>
      <c r="C226" s="33" t="n">
        <v>13968</v>
      </c>
      <c r="D226" s="33" t="n">
        <f aca="false">C226-C225</f>
        <v>-9031</v>
      </c>
      <c r="E226" s="33" t="n">
        <v>591.1</v>
      </c>
      <c r="F226" s="33" t="n">
        <f aca="false">E226-E225</f>
        <v>-380.8</v>
      </c>
      <c r="G226" s="33" t="n">
        <v>9.78</v>
      </c>
      <c r="H226" s="33" t="n">
        <f aca="false">G226-G225</f>
        <v>-6.32</v>
      </c>
      <c r="I226" s="33" t="n">
        <v>131</v>
      </c>
      <c r="J226" s="33" t="n">
        <f aca="false">I226-I225</f>
        <v>-84</v>
      </c>
      <c r="K226" s="2" t="s">
        <v>24</v>
      </c>
      <c r="L226" s="2" t="n">
        <f aca="false">MAX($C$215:$C$245)-MIN($C$215:$C$245)</f>
        <v>30925</v>
      </c>
      <c r="M226" s="2" t="n">
        <f aca="false">MAX($E$215:$E$245)-MIN($E$215:$E$245)</f>
        <v>1348.8</v>
      </c>
      <c r="N226" s="2" t="n">
        <f aca="false">MAX($G$215:$G$245)-MIN($G$215:$G$245)</f>
        <v>21.65</v>
      </c>
      <c r="O226" s="2" t="n">
        <f aca="false">MAX($I$215:$I$245)-MIN($I$215:$I$245)</f>
        <v>316</v>
      </c>
    </row>
    <row r="227" customFormat="false" ht="13.8" hidden="false" customHeight="false" outlineLevel="0" collapsed="false">
      <c r="A227" s="1" t="n">
        <v>226</v>
      </c>
      <c r="B227" s="32" t="n">
        <v>45517</v>
      </c>
      <c r="C227" s="33" t="n">
        <v>12670</v>
      </c>
      <c r="D227" s="33" t="n">
        <f aca="false">C227-C226</f>
        <v>-1298</v>
      </c>
      <c r="E227" s="33" t="n">
        <v>534.6</v>
      </c>
      <c r="F227" s="33" t="n">
        <f aca="false">E227-E226</f>
        <v>-56.5</v>
      </c>
      <c r="G227" s="33" t="n">
        <v>8.87</v>
      </c>
      <c r="H227" s="33" t="n">
        <f aca="false">G227-G226</f>
        <v>-0.91</v>
      </c>
      <c r="I227" s="33" t="n">
        <v>117</v>
      </c>
      <c r="J227" s="33" t="n">
        <f aca="false">I227-I226</f>
        <v>-14</v>
      </c>
      <c r="K227" s="2" t="s">
        <v>26</v>
      </c>
      <c r="L227" s="2" t="n">
        <f aca="false">MIN($C$215:$C$245)</f>
        <v>6027</v>
      </c>
      <c r="M227" s="2" t="n">
        <f aca="false">MIN($E$215:$E$245)</f>
        <v>256</v>
      </c>
      <c r="N227" s="2" t="n">
        <f aca="false">MIN($G$215:$G$245)</f>
        <v>4.22</v>
      </c>
      <c r="O227" s="2" t="n">
        <f aca="false">MIN($I$215:$I$245)</f>
        <v>57</v>
      </c>
    </row>
    <row r="228" customFormat="false" ht="13.8" hidden="false" customHeight="false" outlineLevel="0" collapsed="false">
      <c r="A228" s="33" t="n">
        <v>227</v>
      </c>
      <c r="B228" s="32" t="n">
        <v>45518</v>
      </c>
      <c r="C228" s="33" t="n">
        <v>14111</v>
      </c>
      <c r="D228" s="33" t="n">
        <f aca="false">C228-C227</f>
        <v>1441</v>
      </c>
      <c r="E228" s="33" t="n">
        <v>596.2</v>
      </c>
      <c r="F228" s="33" t="n">
        <f aca="false">E228-E227</f>
        <v>61.6</v>
      </c>
      <c r="G228" s="33" t="n">
        <v>9.88</v>
      </c>
      <c r="H228" s="33" t="n">
        <f aca="false">G228-G227</f>
        <v>1.01</v>
      </c>
      <c r="I228" s="33" t="n">
        <v>132</v>
      </c>
      <c r="J228" s="33" t="n">
        <f aca="false">I228-I227</f>
        <v>15</v>
      </c>
      <c r="K228" s="2" t="s">
        <v>28</v>
      </c>
      <c r="L228" s="2" t="n">
        <f aca="false">MAX($C$215:$C$245)</f>
        <v>36952</v>
      </c>
      <c r="M228" s="2" t="n">
        <f aca="false">MAX($E$215:$E$245)</f>
        <v>1604.8</v>
      </c>
      <c r="N228" s="2" t="n">
        <f aca="false">MAX($G$215:$G$245)</f>
        <v>25.87</v>
      </c>
      <c r="O228" s="2" t="n">
        <f aca="false">MAX($I$215:$I$245)</f>
        <v>373</v>
      </c>
    </row>
    <row r="229" customFormat="false" ht="13.8" hidden="false" customHeight="false" outlineLevel="0" collapsed="false">
      <c r="A229" s="1" t="n">
        <v>228</v>
      </c>
      <c r="B229" s="32" t="n">
        <v>45519</v>
      </c>
      <c r="C229" s="33" t="n">
        <v>12241</v>
      </c>
      <c r="D229" s="33" t="n">
        <f aca="false">C229-C228</f>
        <v>-1870</v>
      </c>
      <c r="E229" s="33" t="n">
        <v>514.6</v>
      </c>
      <c r="F229" s="33" t="n">
        <f aca="false">E229-E228</f>
        <v>-81.6</v>
      </c>
      <c r="G229" s="33" t="n">
        <v>8.57</v>
      </c>
      <c r="H229" s="33" t="n">
        <f aca="false">G229-G228</f>
        <v>-1.31</v>
      </c>
      <c r="I229" s="33" t="n">
        <v>112</v>
      </c>
      <c r="J229" s="33" t="n">
        <f aca="false">I229-I228</f>
        <v>-20</v>
      </c>
      <c r="K229" s="2" t="s">
        <v>30</v>
      </c>
      <c r="L229" s="2" t="n">
        <f aca="false">SUM($C$215:$C$245)</f>
        <v>420731</v>
      </c>
      <c r="M229" s="2" t="n">
        <f aca="false">SUM($E$215:$E$245)</f>
        <v>17988.5</v>
      </c>
      <c r="N229" s="2" t="n">
        <f aca="false">SUM($G$215:$G$245)</f>
        <v>294.51</v>
      </c>
      <c r="O229" s="2" t="n">
        <f aca="false">SUM($I$215:$I$245)</f>
        <v>3990</v>
      </c>
    </row>
    <row r="230" customFormat="false" ht="13.8" hidden="false" customHeight="false" outlineLevel="0" collapsed="false">
      <c r="A230" s="33" t="n">
        <v>229</v>
      </c>
      <c r="B230" s="32" t="n">
        <v>45520</v>
      </c>
      <c r="C230" s="33" t="n">
        <v>10927</v>
      </c>
      <c r="D230" s="33" t="n">
        <f aca="false">C230-C229</f>
        <v>-1314</v>
      </c>
      <c r="E230" s="33" t="n">
        <v>485.5</v>
      </c>
      <c r="F230" s="33" t="n">
        <f aca="false">E230-E229</f>
        <v>-29.1</v>
      </c>
      <c r="G230" s="33" t="n">
        <v>7.65</v>
      </c>
      <c r="H230" s="33" t="n">
        <f aca="false">G230-G229</f>
        <v>-0.92</v>
      </c>
      <c r="I230" s="33" t="n">
        <v>114</v>
      </c>
      <c r="J230" s="33" t="n">
        <f aca="false">I230-I229</f>
        <v>2</v>
      </c>
      <c r="K230" s="2" t="s">
        <v>32</v>
      </c>
      <c r="L230" s="2" t="n">
        <f aca="false">COUNT($C$215:$C$245)</f>
        <v>31</v>
      </c>
      <c r="M230" s="2" t="n">
        <f aca="false">COUNT($E$215:$E$245)</f>
        <v>31</v>
      </c>
      <c r="N230" s="2" t="n">
        <f aca="false">COUNT($G$215:$G$245)</f>
        <v>31</v>
      </c>
      <c r="O230" s="2" t="n">
        <f aca="false">COUNT($I$215:$I$245)</f>
        <v>31</v>
      </c>
    </row>
    <row r="231" customFormat="false" ht="13.8" hidden="false" customHeight="false" outlineLevel="0" collapsed="false">
      <c r="A231" s="1" t="n">
        <v>230</v>
      </c>
      <c r="B231" s="32" t="n">
        <v>45521</v>
      </c>
      <c r="C231" s="33" t="n">
        <v>23910</v>
      </c>
      <c r="D231" s="33" t="n">
        <f aca="false">C231-C230</f>
        <v>12983</v>
      </c>
      <c r="E231" s="33" t="n">
        <v>1056.8</v>
      </c>
      <c r="F231" s="33" t="n">
        <f aca="false">E231-E230</f>
        <v>571.3</v>
      </c>
      <c r="G231" s="33" t="n">
        <v>16.74</v>
      </c>
      <c r="H231" s="33" t="n">
        <f aca="false">G231-G230</f>
        <v>9.09</v>
      </c>
      <c r="I231" s="33" t="n">
        <v>232</v>
      </c>
      <c r="J231" s="33" t="n">
        <f aca="false">I231-I230</f>
        <v>118</v>
      </c>
    </row>
    <row r="232" customFormat="false" ht="13.8" hidden="false" customHeight="false" outlineLevel="0" collapsed="false">
      <c r="A232" s="33" t="n">
        <v>231</v>
      </c>
      <c r="B232" s="32" t="n">
        <v>45522</v>
      </c>
      <c r="C232" s="33" t="n">
        <v>30490</v>
      </c>
      <c r="D232" s="33" t="n">
        <f aca="false">C232-C231</f>
        <v>6580</v>
      </c>
      <c r="E232" s="33" t="n">
        <v>1340.6</v>
      </c>
      <c r="F232" s="33" t="n">
        <f aca="false">E232-E231</f>
        <v>283.8</v>
      </c>
      <c r="G232" s="33" t="n">
        <v>21.34</v>
      </c>
      <c r="H232" s="33" t="n">
        <f aca="false">G232-G231</f>
        <v>4.6</v>
      </c>
      <c r="I232" s="33" t="n">
        <v>317</v>
      </c>
      <c r="J232" s="33" t="n">
        <f aca="false">I232-I231</f>
        <v>85</v>
      </c>
    </row>
    <row r="233" customFormat="false" ht="13.8" hidden="false" customHeight="false" outlineLevel="0" collapsed="false">
      <c r="A233" s="1" t="n">
        <v>232</v>
      </c>
      <c r="B233" s="32" t="n">
        <v>45523</v>
      </c>
      <c r="C233" s="33" t="n">
        <v>9533</v>
      </c>
      <c r="D233" s="33" t="n">
        <f aca="false">C233-C232</f>
        <v>-20957</v>
      </c>
      <c r="E233" s="33" t="n">
        <v>399.7</v>
      </c>
      <c r="F233" s="33" t="n">
        <f aca="false">E233-E232</f>
        <v>-940.9</v>
      </c>
      <c r="G233" s="33" t="n">
        <v>6.67</v>
      </c>
      <c r="H233" s="33" t="n">
        <f aca="false">G233-G232</f>
        <v>-14.67</v>
      </c>
      <c r="I233" s="33" t="n">
        <v>86</v>
      </c>
      <c r="J233" s="33" t="n">
        <f aca="false">I233-I232</f>
        <v>-231</v>
      </c>
    </row>
    <row r="234" customFormat="false" ht="13.8" hidden="false" customHeight="false" outlineLevel="0" collapsed="false">
      <c r="A234" s="33" t="n">
        <v>233</v>
      </c>
      <c r="B234" s="32" t="n">
        <v>45524</v>
      </c>
      <c r="C234" s="33" t="n">
        <v>11589</v>
      </c>
      <c r="D234" s="33" t="n">
        <f aca="false">C234-C233</f>
        <v>2056</v>
      </c>
      <c r="E234" s="33" t="n">
        <v>487</v>
      </c>
      <c r="F234" s="33" t="n">
        <f aca="false">E234-E233</f>
        <v>87.3</v>
      </c>
      <c r="G234" s="33" t="n">
        <v>8.11</v>
      </c>
      <c r="H234" s="33" t="n">
        <f aca="false">G234-G233</f>
        <v>1.44</v>
      </c>
      <c r="I234" s="33" t="n">
        <v>105</v>
      </c>
      <c r="J234" s="33" t="n">
        <f aca="false">I234-I233</f>
        <v>19</v>
      </c>
    </row>
    <row r="235" customFormat="false" ht="13.8" hidden="false" customHeight="false" outlineLevel="0" collapsed="false">
      <c r="A235" s="1" t="n">
        <v>234</v>
      </c>
      <c r="B235" s="32" t="n">
        <v>45525</v>
      </c>
      <c r="C235" s="33" t="n">
        <v>7147</v>
      </c>
      <c r="D235" s="33" t="n">
        <f aca="false">C235-C234</f>
        <v>-4442</v>
      </c>
      <c r="E235" s="33" t="n">
        <v>303.3</v>
      </c>
      <c r="F235" s="33" t="n">
        <f aca="false">E235-E234</f>
        <v>-183.7</v>
      </c>
      <c r="G235" s="33" t="n">
        <v>5</v>
      </c>
      <c r="H235" s="33" t="n">
        <f aca="false">G235-G234</f>
        <v>-3.11</v>
      </c>
      <c r="I235" s="33" t="n">
        <v>67</v>
      </c>
      <c r="J235" s="33" t="n">
        <f aca="false">I235-I234</f>
        <v>-38</v>
      </c>
    </row>
    <row r="236" customFormat="false" ht="13.8" hidden="false" customHeight="false" outlineLevel="0" collapsed="false">
      <c r="A236" s="33" t="n">
        <v>235</v>
      </c>
      <c r="B236" s="32" t="n">
        <v>45526</v>
      </c>
      <c r="C236" s="33" t="n">
        <v>6433</v>
      </c>
      <c r="D236" s="33" t="n">
        <f aca="false">C236-C235</f>
        <v>-714</v>
      </c>
      <c r="E236" s="33" t="n">
        <v>272.4</v>
      </c>
      <c r="F236" s="33" t="n">
        <f aca="false">E236-E235</f>
        <v>-30.9</v>
      </c>
      <c r="G236" s="33" t="n">
        <v>4.5</v>
      </c>
      <c r="H236" s="33" t="n">
        <f aca="false">G236-G235</f>
        <v>-0.5</v>
      </c>
      <c r="I236" s="33" t="n">
        <v>60</v>
      </c>
      <c r="J236" s="33" t="n">
        <f aca="false">I236-I235</f>
        <v>-7</v>
      </c>
    </row>
    <row r="237" customFormat="false" ht="13.8" hidden="false" customHeight="false" outlineLevel="0" collapsed="false">
      <c r="A237" s="1" t="n">
        <v>236</v>
      </c>
      <c r="B237" s="32" t="n">
        <v>45527</v>
      </c>
      <c r="C237" s="33" t="n">
        <v>6027</v>
      </c>
      <c r="D237" s="33" t="n">
        <f aca="false">C237-C236</f>
        <v>-406</v>
      </c>
      <c r="E237" s="33" t="n">
        <v>256</v>
      </c>
      <c r="F237" s="33" t="n">
        <f aca="false">E237-E236</f>
        <v>-16.4</v>
      </c>
      <c r="G237" s="33" t="n">
        <v>4.22</v>
      </c>
      <c r="H237" s="33" t="n">
        <f aca="false">G237-G236</f>
        <v>-0.28</v>
      </c>
      <c r="I237" s="33" t="n">
        <v>57</v>
      </c>
      <c r="J237" s="33" t="n">
        <f aca="false">I237-I236</f>
        <v>-3</v>
      </c>
    </row>
    <row r="238" customFormat="false" ht="13.8" hidden="false" customHeight="false" outlineLevel="0" collapsed="false">
      <c r="A238" s="33" t="n">
        <v>237</v>
      </c>
      <c r="B238" s="32" t="n">
        <v>45528</v>
      </c>
      <c r="C238" s="33" t="n">
        <v>18949</v>
      </c>
      <c r="D238" s="33" t="n">
        <f aca="false">C238-C237</f>
        <v>12922</v>
      </c>
      <c r="E238" s="33" t="n">
        <v>809.1</v>
      </c>
      <c r="F238" s="33" t="n">
        <f aca="false">E238-E237</f>
        <v>553.1</v>
      </c>
      <c r="G238" s="33" t="n">
        <v>13.26</v>
      </c>
      <c r="H238" s="33" t="n">
        <f aca="false">G238-G237</f>
        <v>9.04</v>
      </c>
      <c r="I238" s="33" t="n">
        <v>180</v>
      </c>
      <c r="J238" s="33" t="n">
        <f aca="false">I238-I237</f>
        <v>123</v>
      </c>
    </row>
    <row r="239" customFormat="false" ht="13.8" hidden="false" customHeight="false" outlineLevel="0" collapsed="false">
      <c r="A239" s="1" t="n">
        <v>238</v>
      </c>
      <c r="B239" s="32" t="n">
        <v>45529</v>
      </c>
      <c r="C239" s="33" t="n">
        <v>6446</v>
      </c>
      <c r="D239" s="33" t="n">
        <f aca="false">C239-C238</f>
        <v>-12503</v>
      </c>
      <c r="E239" s="33" t="n">
        <v>278.6</v>
      </c>
      <c r="F239" s="33" t="n">
        <f aca="false">E239-E238</f>
        <v>-530.5</v>
      </c>
      <c r="G239" s="33" t="n">
        <v>4.51</v>
      </c>
      <c r="H239" s="33" t="n">
        <f aca="false">G239-G238</f>
        <v>-8.75</v>
      </c>
      <c r="I239" s="33" t="n">
        <v>64</v>
      </c>
      <c r="J239" s="33" t="n">
        <f aca="false">I239-I238</f>
        <v>-116</v>
      </c>
    </row>
    <row r="240" customFormat="false" ht="13.8" hidden="false" customHeight="false" outlineLevel="0" collapsed="false">
      <c r="A240" s="33" t="n">
        <v>239</v>
      </c>
      <c r="B240" s="32" t="n">
        <v>45530</v>
      </c>
      <c r="C240" s="33" t="n">
        <v>12402</v>
      </c>
      <c r="D240" s="33" t="n">
        <f aca="false">C240-C239</f>
        <v>5956</v>
      </c>
      <c r="E240" s="33" t="n">
        <v>520.4</v>
      </c>
      <c r="F240" s="33" t="n">
        <f aca="false">E240-E239</f>
        <v>241.8</v>
      </c>
      <c r="G240" s="33" t="n">
        <v>8.68</v>
      </c>
      <c r="H240" s="33" t="n">
        <f aca="false">G240-G239</f>
        <v>4.17</v>
      </c>
      <c r="I240" s="33" t="n">
        <v>113</v>
      </c>
      <c r="J240" s="33" t="n">
        <f aca="false">I240-I239</f>
        <v>49</v>
      </c>
    </row>
    <row r="241" customFormat="false" ht="13.8" hidden="false" customHeight="false" outlineLevel="0" collapsed="false">
      <c r="A241" s="1" t="n">
        <v>240</v>
      </c>
      <c r="B241" s="32" t="n">
        <v>45531</v>
      </c>
      <c r="C241" s="33" t="n">
        <v>6327</v>
      </c>
      <c r="D241" s="33" t="n">
        <f aca="false">C241-C240</f>
        <v>-6075</v>
      </c>
      <c r="E241" s="33" t="n">
        <v>265.9</v>
      </c>
      <c r="F241" s="33" t="n">
        <f aca="false">E241-E240</f>
        <v>-254.5</v>
      </c>
      <c r="G241" s="33" t="n">
        <v>4.43</v>
      </c>
      <c r="H241" s="33" t="n">
        <f aca="false">G241-G240</f>
        <v>-4.25</v>
      </c>
      <c r="I241" s="33" t="n">
        <v>57</v>
      </c>
      <c r="J241" s="33" t="n">
        <f aca="false">I241-I240</f>
        <v>-56</v>
      </c>
    </row>
    <row r="242" customFormat="false" ht="13.8" hidden="false" customHeight="false" outlineLevel="0" collapsed="false">
      <c r="A242" s="33" t="n">
        <v>241</v>
      </c>
      <c r="B242" s="32" t="n">
        <v>45532</v>
      </c>
      <c r="C242" s="33" t="n">
        <v>12222</v>
      </c>
      <c r="D242" s="33" t="n">
        <f aca="false">C242-C241</f>
        <v>5895</v>
      </c>
      <c r="E242" s="33" t="n">
        <v>519.9</v>
      </c>
      <c r="F242" s="33" t="n">
        <f aca="false">E242-E241</f>
        <v>254</v>
      </c>
      <c r="G242" s="33" t="n">
        <v>8.56</v>
      </c>
      <c r="H242" s="33" t="n">
        <f aca="false">G242-G241</f>
        <v>4.13</v>
      </c>
      <c r="I242" s="33" t="n">
        <v>115</v>
      </c>
      <c r="J242" s="33" t="n">
        <f aca="false">I242-I241</f>
        <v>58</v>
      </c>
    </row>
    <row r="243" customFormat="false" ht="13.8" hidden="false" customHeight="false" outlineLevel="0" collapsed="false">
      <c r="A243" s="1" t="n">
        <v>242</v>
      </c>
      <c r="B243" s="32" t="n">
        <v>45533</v>
      </c>
      <c r="C243" s="33" t="n">
        <v>9380</v>
      </c>
      <c r="D243" s="33" t="n">
        <f aca="false">C243-C242</f>
        <v>-2842</v>
      </c>
      <c r="E243" s="33" t="n">
        <v>396.5</v>
      </c>
      <c r="F243" s="33" t="n">
        <f aca="false">E243-E242</f>
        <v>-123.4</v>
      </c>
      <c r="G243" s="33" t="n">
        <v>6.57</v>
      </c>
      <c r="H243" s="33" t="n">
        <f aca="false">G243-G242</f>
        <v>-1.99</v>
      </c>
      <c r="I243" s="33" t="n">
        <v>87</v>
      </c>
      <c r="J243" s="33" t="n">
        <f aca="false">I243-I242</f>
        <v>-28</v>
      </c>
    </row>
    <row r="244" customFormat="false" ht="13.8" hidden="false" customHeight="false" outlineLevel="0" collapsed="false">
      <c r="A244" s="33" t="n">
        <v>243</v>
      </c>
      <c r="B244" s="32" t="n">
        <v>45534</v>
      </c>
      <c r="C244" s="33" t="n">
        <v>12018</v>
      </c>
      <c r="D244" s="33" t="n">
        <f aca="false">C244-C243</f>
        <v>2638</v>
      </c>
      <c r="E244" s="33" t="n">
        <v>503.7</v>
      </c>
      <c r="F244" s="33" t="n">
        <f aca="false">E244-E243</f>
        <v>107.2</v>
      </c>
      <c r="G244" s="33" t="n">
        <v>8.41</v>
      </c>
      <c r="H244" s="33" t="n">
        <f aca="false">G244-G243</f>
        <v>1.84</v>
      </c>
      <c r="I244" s="33" t="n">
        <v>107</v>
      </c>
      <c r="J244" s="33" t="n">
        <f aca="false">I244-I243</f>
        <v>20</v>
      </c>
    </row>
    <row r="245" customFormat="false" ht="13.8" hidden="false" customHeight="false" outlineLevel="0" collapsed="false">
      <c r="A245" s="1" t="n">
        <v>244</v>
      </c>
      <c r="B245" s="32" t="n">
        <v>45535</v>
      </c>
      <c r="C245" s="33" t="n">
        <v>14281</v>
      </c>
      <c r="D245" s="33" t="n">
        <f aca="false">C245-C244</f>
        <v>2263</v>
      </c>
      <c r="E245" s="33" t="n">
        <v>601.8</v>
      </c>
      <c r="F245" s="33" t="n">
        <f aca="false">E245-E244</f>
        <v>98.1</v>
      </c>
      <c r="G245" s="33" t="n">
        <v>10</v>
      </c>
      <c r="H245" s="33" t="n">
        <f aca="false">G245-G244</f>
        <v>1.59</v>
      </c>
      <c r="I245" s="33" t="n">
        <v>131</v>
      </c>
      <c r="J245" s="33" t="n">
        <f aca="false">I245-I244</f>
        <v>24</v>
      </c>
    </row>
    <row r="246" customFormat="false" ht="13.8" hidden="false" customHeight="false" outlineLevel="0" collapsed="false">
      <c r="A246" s="33" t="n">
        <v>245</v>
      </c>
      <c r="B246" s="32" t="n">
        <v>45536</v>
      </c>
      <c r="C246" s="33" t="n">
        <v>18525</v>
      </c>
      <c r="D246" s="33" t="n">
        <f aca="false">C246-C245</f>
        <v>4244</v>
      </c>
      <c r="E246" s="33" t="n">
        <v>773.8</v>
      </c>
      <c r="F246" s="33" t="n">
        <f aca="false">E246-E245</f>
        <v>172</v>
      </c>
      <c r="G246" s="33" t="n">
        <v>12.97</v>
      </c>
      <c r="H246" s="33" t="n">
        <f aca="false">G246-G245</f>
        <v>2.97</v>
      </c>
      <c r="I246" s="33" t="n">
        <v>166</v>
      </c>
      <c r="J246" s="33" t="n">
        <f aca="false">I246-I245</f>
        <v>35</v>
      </c>
      <c r="L246" s="34" t="s">
        <v>2</v>
      </c>
      <c r="M246" s="34" t="s">
        <v>179</v>
      </c>
      <c r="N246" s="34" t="s">
        <v>175</v>
      </c>
      <c r="O246" s="34" t="s">
        <v>177</v>
      </c>
    </row>
    <row r="247" customFormat="false" ht="13.8" hidden="false" customHeight="false" outlineLevel="0" collapsed="false">
      <c r="A247" s="1" t="n">
        <v>246</v>
      </c>
      <c r="B247" s="32" t="n">
        <v>45537</v>
      </c>
      <c r="C247" s="33" t="n">
        <v>14379</v>
      </c>
      <c r="D247" s="33" t="n">
        <f aca="false">C247-C246</f>
        <v>-4146</v>
      </c>
      <c r="E247" s="33" t="n">
        <v>603.8</v>
      </c>
      <c r="F247" s="33" t="n">
        <f aca="false">E247-E246</f>
        <v>-170</v>
      </c>
      <c r="G247" s="33" t="n">
        <v>10.07</v>
      </c>
      <c r="H247" s="33" t="n">
        <f aca="false">G247-G246</f>
        <v>-2.9</v>
      </c>
      <c r="I247" s="33" t="n">
        <v>131</v>
      </c>
      <c r="J247" s="33" t="n">
        <f aca="false">I247-I246</f>
        <v>-35</v>
      </c>
      <c r="K247" s="2" t="s">
        <v>8</v>
      </c>
      <c r="L247" s="2" t="n">
        <f aca="false">AVERAGE($C$246:$C$275)</f>
        <v>15779.7</v>
      </c>
      <c r="M247" s="2" t="n">
        <f aca="false">AVERAGE($E$246:$E$275)</f>
        <v>677.903333333333</v>
      </c>
      <c r="N247" s="2" t="n">
        <f aca="false">AVERAGE($G$246:$G$275)</f>
        <v>11.0453333333333</v>
      </c>
      <c r="O247" s="2" t="n">
        <f aca="false">AVERAGE($I$246:$I$275)</f>
        <v>151.7</v>
      </c>
    </row>
    <row r="248" customFormat="false" ht="13.8" hidden="false" customHeight="false" outlineLevel="0" collapsed="false">
      <c r="A248" s="33" t="n">
        <v>247</v>
      </c>
      <c r="B248" s="32" t="n">
        <v>45538</v>
      </c>
      <c r="C248" s="33" t="n">
        <v>9415</v>
      </c>
      <c r="D248" s="33" t="n">
        <f aca="false">C248-C247</f>
        <v>-4964</v>
      </c>
      <c r="E248" s="33" t="n">
        <v>408.2</v>
      </c>
      <c r="F248" s="33" t="n">
        <f aca="false">E248-E247</f>
        <v>-195.6</v>
      </c>
      <c r="G248" s="33" t="n">
        <v>6.59</v>
      </c>
      <c r="H248" s="33" t="n">
        <f aca="false">G248-G247</f>
        <v>-3.48</v>
      </c>
      <c r="I248" s="33" t="n">
        <v>94</v>
      </c>
      <c r="J248" s="33" t="n">
        <f aca="false">I248-I247</f>
        <v>-37</v>
      </c>
      <c r="K248" s="2" t="s">
        <v>10</v>
      </c>
      <c r="L248" s="2" t="n">
        <f aca="false">SQRT(VAR($C$246:$C$275)/COUNT($C$246:$C$275))</f>
        <v>1714.85341429777</v>
      </c>
      <c r="M248" s="2" t="n">
        <f aca="false">SQRT(VAR($E$246:$E$275)/COUNT($E$246:$E$275))</f>
        <v>74.2341044533082</v>
      </c>
      <c r="N248" s="2" t="n">
        <f aca="false">SQRT(VAR($G$246:$G$275)/COUNT($G$246:$G$275))</f>
        <v>1.20039224751442</v>
      </c>
      <c r="O248" s="2" t="n">
        <f aca="false">SQRT(VAR($I$246:$I$275)/COUNT($I$246:$I$275))</f>
        <v>17.5927852244613</v>
      </c>
    </row>
    <row r="249" customFormat="false" ht="13.8" hidden="false" customHeight="false" outlineLevel="0" collapsed="false">
      <c r="A249" s="1" t="n">
        <v>248</v>
      </c>
      <c r="B249" s="32" t="n">
        <v>45539</v>
      </c>
      <c r="C249" s="33" t="n">
        <v>13692</v>
      </c>
      <c r="D249" s="33" t="n">
        <f aca="false">C249-C248</f>
        <v>4277</v>
      </c>
      <c r="E249" s="33" t="n">
        <v>582</v>
      </c>
      <c r="F249" s="33" t="n">
        <f aca="false">E249-E248</f>
        <v>173.8</v>
      </c>
      <c r="G249" s="33" t="n">
        <v>9.58</v>
      </c>
      <c r="H249" s="33" t="n">
        <f aca="false">G249-G248</f>
        <v>2.99</v>
      </c>
      <c r="I249" s="33" t="n">
        <v>130</v>
      </c>
      <c r="J249" s="33" t="n">
        <f aca="false">I249-I248</f>
        <v>36</v>
      </c>
      <c r="K249" s="2" t="s">
        <v>14</v>
      </c>
      <c r="L249" s="2" t="e">
        <f aca="false">MODE($C$246:$C$275)</f>
        <v>#VALUE!</v>
      </c>
      <c r="M249" s="2" t="e">
        <f aca="false">MODE($E$246:$E$275)</f>
        <v>#VALUE!</v>
      </c>
      <c r="N249" s="2" t="n">
        <f aca="false">MODE($G$246:$G$275)</f>
        <v>6.68</v>
      </c>
      <c r="O249" s="2" t="n">
        <f aca="false">MODE($I$246:$I$275)</f>
        <v>70</v>
      </c>
    </row>
    <row r="250" customFormat="false" ht="13.8" hidden="false" customHeight="false" outlineLevel="0" collapsed="false">
      <c r="A250" s="33" t="n">
        <v>249</v>
      </c>
      <c r="B250" s="32" t="n">
        <v>45540</v>
      </c>
      <c r="C250" s="33" t="n">
        <v>20275</v>
      </c>
      <c r="D250" s="33" t="n">
        <f aca="false">C250-C249</f>
        <v>6583</v>
      </c>
      <c r="E250" s="33" t="n">
        <v>852.3</v>
      </c>
      <c r="F250" s="33" t="n">
        <f aca="false">E250-E249</f>
        <v>270.3</v>
      </c>
      <c r="G250" s="33" t="n">
        <v>14.19</v>
      </c>
      <c r="H250" s="33" t="n">
        <f aca="false">G250-G249</f>
        <v>4.61</v>
      </c>
      <c r="I250" s="33" t="n">
        <v>184</v>
      </c>
      <c r="J250" s="33" t="n">
        <f aca="false">I250-I249</f>
        <v>54</v>
      </c>
      <c r="K250" s="2" t="s">
        <v>12</v>
      </c>
      <c r="L250" s="2" t="n">
        <f aca="false">MEDIAN($C$246:$C$275)</f>
        <v>13654</v>
      </c>
      <c r="M250" s="2" t="n">
        <f aca="false">MEDIAN($E$246:$E$275)</f>
        <v>581.1</v>
      </c>
      <c r="N250" s="2" t="n">
        <f aca="false">MEDIAN($G$246:$G$275)</f>
        <v>9.555</v>
      </c>
      <c r="O250" s="2" t="n">
        <f aca="false">MEDIAN($I$246:$I$275)</f>
        <v>130.5</v>
      </c>
    </row>
    <row r="251" customFormat="false" ht="13.8" hidden="false" customHeight="false" outlineLevel="0" collapsed="false">
      <c r="A251" s="1" t="n">
        <v>250</v>
      </c>
      <c r="B251" s="32" t="n">
        <v>45541</v>
      </c>
      <c r="C251" s="33" t="n">
        <v>7745</v>
      </c>
      <c r="D251" s="33" t="n">
        <f aca="false">C251-C250</f>
        <v>-12530</v>
      </c>
      <c r="E251" s="33" t="n">
        <v>331.2</v>
      </c>
      <c r="F251" s="33" t="n">
        <f aca="false">E251-E250</f>
        <v>-521.1</v>
      </c>
      <c r="G251" s="33" t="n">
        <v>5.42</v>
      </c>
      <c r="H251" s="33" t="n">
        <f aca="false">G251-G250</f>
        <v>-8.77</v>
      </c>
      <c r="I251" s="33" t="n">
        <v>74</v>
      </c>
      <c r="J251" s="33" t="n">
        <f aca="false">I251-I250</f>
        <v>-110</v>
      </c>
      <c r="K251" s="2" t="s">
        <v>195</v>
      </c>
      <c r="L251" s="2" t="n">
        <f aca="false">QUARTILE($C$246:$C$275, 1)</f>
        <v>8240</v>
      </c>
      <c r="M251" s="2" t="n">
        <f aca="false">QUARTILE($E$246:$E$275, 1)</f>
        <v>360.525</v>
      </c>
      <c r="N251" s="2" t="n">
        <f aca="false">QUARTILE($G$246:$G$275, 1)</f>
        <v>5.77</v>
      </c>
      <c r="O251" s="2" t="n">
        <f aca="false">QUARTILE($I$246:$I$275, 1)</f>
        <v>78.5</v>
      </c>
    </row>
    <row r="252" customFormat="false" ht="13.8" hidden="false" customHeight="false" outlineLevel="0" collapsed="false">
      <c r="A252" s="33" t="n">
        <v>251</v>
      </c>
      <c r="B252" s="32" t="n">
        <v>45542</v>
      </c>
      <c r="C252" s="33" t="n">
        <v>13616</v>
      </c>
      <c r="D252" s="33" t="n">
        <f aca="false">C252-C251</f>
        <v>5871</v>
      </c>
      <c r="E252" s="33" t="n">
        <v>564.1</v>
      </c>
      <c r="F252" s="33" t="n">
        <f aca="false">E252-E251</f>
        <v>232.9</v>
      </c>
      <c r="G252" s="33" t="n">
        <v>9.53</v>
      </c>
      <c r="H252" s="33" t="n">
        <f aca="false">G252-G251</f>
        <v>4.11</v>
      </c>
      <c r="I252" s="33" t="n">
        <v>118</v>
      </c>
      <c r="J252" s="33" t="n">
        <f aca="false">I252-I251</f>
        <v>44</v>
      </c>
      <c r="K252" s="2" t="s">
        <v>181</v>
      </c>
      <c r="L252" s="2" t="n">
        <f aca="false">QUARTILE($C$246:$C$275, 3)</f>
        <v>18322.75</v>
      </c>
      <c r="M252" s="2" t="n">
        <f aca="false">QUARTILE($E$246:$E$275, 3)</f>
        <v>769.65</v>
      </c>
      <c r="N252" s="2" t="n">
        <f aca="false">QUARTILE($G$246:$G$275, 3)</f>
        <v>12.8275</v>
      </c>
      <c r="O252" s="2" t="n">
        <f aca="false">QUARTILE($I$246:$I$275, 3)</f>
        <v>171.25</v>
      </c>
    </row>
    <row r="253" customFormat="false" ht="13.8" hidden="false" customHeight="false" outlineLevel="0" collapsed="false">
      <c r="A253" s="1" t="n">
        <v>252</v>
      </c>
      <c r="B253" s="32" t="n">
        <v>45543</v>
      </c>
      <c r="C253" s="33" t="n">
        <v>7406</v>
      </c>
      <c r="D253" s="33" t="n">
        <f aca="false">C253-C252</f>
        <v>-6210</v>
      </c>
      <c r="E253" s="33" t="n">
        <v>313.4</v>
      </c>
      <c r="F253" s="33" t="n">
        <f aca="false">E253-E252</f>
        <v>-250.7</v>
      </c>
      <c r="G253" s="33" t="n">
        <v>5.18</v>
      </c>
      <c r="H253" s="33" t="n">
        <f aca="false">G253-G252</f>
        <v>-4.35</v>
      </c>
      <c r="I253" s="33" t="n">
        <v>69</v>
      </c>
      <c r="J253" s="33" t="n">
        <f aca="false">I253-I252</f>
        <v>-49</v>
      </c>
      <c r="K253" s="2" t="s">
        <v>182</v>
      </c>
      <c r="L253" s="2" t="n">
        <f aca="false">VAR($C$246:$C$275)</f>
        <v>88221666.9758621</v>
      </c>
      <c r="M253" s="2" t="n">
        <f aca="false">VAR($E$246:$E$275)</f>
        <v>165321.06791954</v>
      </c>
      <c r="N253" s="2" t="n">
        <f aca="false">VAR($G$246:$G$275)</f>
        <v>43.2282464367816</v>
      </c>
      <c r="O253" s="2" t="n">
        <f aca="false">VAR($I$246:$I$275)</f>
        <v>9285.18275862069</v>
      </c>
    </row>
    <row r="254" customFormat="false" ht="13.8" hidden="false" customHeight="false" outlineLevel="0" collapsed="false">
      <c r="A254" s="33" t="n">
        <v>253</v>
      </c>
      <c r="B254" s="32" t="n">
        <v>45544</v>
      </c>
      <c r="C254" s="33" t="n">
        <v>14550</v>
      </c>
      <c r="D254" s="33" t="n">
        <f aca="false">C254-C253</f>
        <v>7144</v>
      </c>
      <c r="E254" s="33" t="n">
        <v>620.5</v>
      </c>
      <c r="F254" s="33" t="n">
        <f aca="false">E254-E253</f>
        <v>307.1</v>
      </c>
      <c r="G254" s="33" t="n">
        <v>10.19</v>
      </c>
      <c r="H254" s="33" t="n">
        <f aca="false">G254-G253</f>
        <v>5.01</v>
      </c>
      <c r="I254" s="33" t="n">
        <v>139</v>
      </c>
      <c r="J254" s="33" t="n">
        <f aca="false">I254-I253</f>
        <v>70</v>
      </c>
      <c r="K254" s="2" t="s">
        <v>16</v>
      </c>
      <c r="L254" s="2" t="n">
        <f aca="false">STDEV($C$246:$C$275)</f>
        <v>9392.63897825644</v>
      </c>
      <c r="M254" s="2" t="n">
        <f aca="false">STDEV($E$246:$E$275)</f>
        <v>406.596935452716</v>
      </c>
      <c r="N254" s="2" t="n">
        <f aca="false">STDEV($G$246:$G$275)</f>
        <v>6.57481911817972</v>
      </c>
      <c r="O254" s="2" t="n">
        <f aca="false">STDEV($I$246:$I$275)</f>
        <v>96.3596531678103</v>
      </c>
    </row>
    <row r="255" customFormat="false" ht="13.8" hidden="false" customHeight="false" outlineLevel="0" collapsed="false">
      <c r="A255" s="1" t="n">
        <v>254</v>
      </c>
      <c r="B255" s="32" t="n">
        <v>45545</v>
      </c>
      <c r="C255" s="33" t="n">
        <v>7849</v>
      </c>
      <c r="D255" s="33" t="n">
        <f aca="false">C255-C254</f>
        <v>-6701</v>
      </c>
      <c r="E255" s="33" t="n">
        <v>333.1</v>
      </c>
      <c r="F255" s="33" t="n">
        <f aca="false">E255-E254</f>
        <v>-287.4</v>
      </c>
      <c r="G255" s="33" t="n">
        <v>5.49</v>
      </c>
      <c r="H255" s="33" t="n">
        <f aca="false">G255-G254</f>
        <v>-4.7</v>
      </c>
      <c r="I255" s="33" t="n">
        <v>73</v>
      </c>
      <c r="J255" s="33" t="n">
        <f aca="false">I255-I254</f>
        <v>-66</v>
      </c>
      <c r="K255" s="2" t="s">
        <v>20</v>
      </c>
      <c r="L255" s="2" t="n">
        <f aca="false">KURT($C$246:$C$275)</f>
        <v>0.791572668569981</v>
      </c>
      <c r="M255" s="2" t="n">
        <f aca="false">KURT($E$246:$E$275)</f>
        <v>0.81595488711198</v>
      </c>
      <c r="N255" s="2" t="n">
        <f aca="false">KURT($G$246:$G$275)</f>
        <v>0.790801162834062</v>
      </c>
      <c r="O255" s="2" t="n">
        <f aca="false">KURT($I$246:$I$275)</f>
        <v>1.35614867213778</v>
      </c>
    </row>
    <row r="256" customFormat="false" ht="13.8" hidden="false" customHeight="false" outlineLevel="0" collapsed="false">
      <c r="A256" s="33" t="n">
        <v>255</v>
      </c>
      <c r="B256" s="32" t="n">
        <v>45546</v>
      </c>
      <c r="C256" s="33" t="n">
        <v>18789</v>
      </c>
      <c r="D256" s="33" t="n">
        <f aca="false">C256-C255</f>
        <v>10940</v>
      </c>
      <c r="E256" s="33" t="n">
        <v>834.5</v>
      </c>
      <c r="F256" s="33" t="n">
        <f aca="false">E256-E255</f>
        <v>501.4</v>
      </c>
      <c r="G256" s="33" t="n">
        <v>13.15</v>
      </c>
      <c r="H256" s="33" t="n">
        <f aca="false">G256-G255</f>
        <v>7.66</v>
      </c>
      <c r="I256" s="33" t="n">
        <v>194</v>
      </c>
      <c r="J256" s="33" t="n">
        <f aca="false">I256-I255</f>
        <v>121</v>
      </c>
      <c r="K256" s="2" t="s">
        <v>22</v>
      </c>
      <c r="L256" s="2" t="n">
        <f aca="false">SKEW($C$246:$C$275)</f>
        <v>1.29574939129841</v>
      </c>
      <c r="M256" s="2" t="n">
        <f aca="false">SKEW($E$246:$E$275)</f>
        <v>1.31753029452514</v>
      </c>
      <c r="N256" s="2" t="n">
        <f aca="false">SKEW($G$246:$G$275)</f>
        <v>1.29537594841815</v>
      </c>
      <c r="O256" s="2" t="n">
        <f aca="false">SKEW($I$246:$I$275)</f>
        <v>1.50382455514954</v>
      </c>
    </row>
    <row r="257" customFormat="false" ht="13.8" hidden="false" customHeight="false" outlineLevel="0" collapsed="false">
      <c r="A257" s="1" t="n">
        <v>256</v>
      </c>
      <c r="B257" s="32" t="n">
        <v>45547</v>
      </c>
      <c r="C257" s="33" t="n">
        <v>7866</v>
      </c>
      <c r="D257" s="33" t="n">
        <f aca="false">C257-C256</f>
        <v>-10923</v>
      </c>
      <c r="E257" s="33" t="n">
        <v>339.2</v>
      </c>
      <c r="F257" s="33" t="n">
        <f aca="false">E257-E256</f>
        <v>-495.3</v>
      </c>
      <c r="G257" s="33" t="n">
        <v>5.51</v>
      </c>
      <c r="H257" s="33" t="n">
        <f aca="false">G257-G256</f>
        <v>-7.64</v>
      </c>
      <c r="I257" s="33" t="n">
        <v>77</v>
      </c>
      <c r="J257" s="33" t="n">
        <f aca="false">I257-I256</f>
        <v>-117</v>
      </c>
      <c r="K257" s="2" t="s">
        <v>24</v>
      </c>
      <c r="L257" s="2" t="n">
        <f aca="false">MAX($C$246:$C$275)-MIN($C$246:$C$275)</f>
        <v>31675</v>
      </c>
      <c r="M257" s="2" t="n">
        <f aca="false">MAX($E$246:$E$275)-MIN($E$246:$E$275)</f>
        <v>1367.7</v>
      </c>
      <c r="N257" s="2" t="n">
        <f aca="false">MAX($G$246:$G$275)-MIN($G$246:$G$275)</f>
        <v>22.17</v>
      </c>
      <c r="O257" s="2" t="n">
        <f aca="false">MAX($I$246:$I$275)-MIN($I$246:$I$275)</f>
        <v>312</v>
      </c>
    </row>
    <row r="258" customFormat="false" ht="13.8" hidden="false" customHeight="false" outlineLevel="0" collapsed="false">
      <c r="A258" s="33" t="n">
        <v>257</v>
      </c>
      <c r="B258" s="32" t="n">
        <v>45548</v>
      </c>
      <c r="C258" s="33" t="n">
        <v>17716</v>
      </c>
      <c r="D258" s="33" t="n">
        <f aca="false">C258-C257</f>
        <v>9850</v>
      </c>
      <c r="E258" s="33" t="n">
        <v>748.1</v>
      </c>
      <c r="F258" s="33" t="n">
        <f aca="false">E258-E257</f>
        <v>408.9</v>
      </c>
      <c r="G258" s="33" t="n">
        <v>12.4</v>
      </c>
      <c r="H258" s="33" t="n">
        <f aca="false">G258-G257</f>
        <v>6.89</v>
      </c>
      <c r="I258" s="33" t="n">
        <v>163</v>
      </c>
      <c r="J258" s="33" t="n">
        <f aca="false">I258-I257</f>
        <v>86</v>
      </c>
      <c r="K258" s="2" t="s">
        <v>26</v>
      </c>
      <c r="L258" s="2" t="n">
        <f aca="false">MIN($C$246:$C$275)</f>
        <v>6830</v>
      </c>
      <c r="M258" s="2" t="n">
        <f aca="false">MIN($E$246:$E$275)</f>
        <v>289.3</v>
      </c>
      <c r="N258" s="2" t="n">
        <f aca="false">MIN($G$246:$G$275)</f>
        <v>4.78</v>
      </c>
      <c r="O258" s="2" t="n">
        <f aca="false">MIN($I$246:$I$275)</f>
        <v>64</v>
      </c>
    </row>
    <row r="259" customFormat="false" ht="13.8" hidden="false" customHeight="false" outlineLevel="0" collapsed="false">
      <c r="A259" s="1" t="n">
        <v>258</v>
      </c>
      <c r="B259" s="32" t="n">
        <v>45549</v>
      </c>
      <c r="C259" s="33" t="n">
        <v>8054</v>
      </c>
      <c r="D259" s="33" t="n">
        <f aca="false">C259-C258</f>
        <v>-9662</v>
      </c>
      <c r="E259" s="33" t="n">
        <v>353.2</v>
      </c>
      <c r="F259" s="33" t="n">
        <f aca="false">E259-E258</f>
        <v>-394.9</v>
      </c>
      <c r="G259" s="33" t="n">
        <v>5.64</v>
      </c>
      <c r="H259" s="33" t="n">
        <f aca="false">G259-G258</f>
        <v>-6.76</v>
      </c>
      <c r="I259" s="33" t="n">
        <v>83</v>
      </c>
      <c r="J259" s="33" t="n">
        <f aca="false">I259-I258</f>
        <v>-80</v>
      </c>
      <c r="K259" s="2" t="s">
        <v>28</v>
      </c>
      <c r="L259" s="2" t="n">
        <f aca="false">MAX($C$246:$C$275)</f>
        <v>38505</v>
      </c>
      <c r="M259" s="2" t="n">
        <f aca="false">MAX($E$246:$E$275)</f>
        <v>1657</v>
      </c>
      <c r="N259" s="2" t="n">
        <f aca="false">MAX($G$246:$G$275)</f>
        <v>26.95</v>
      </c>
      <c r="O259" s="2" t="n">
        <f aca="false">MAX($I$246:$I$275)</f>
        <v>376</v>
      </c>
    </row>
    <row r="260" customFormat="false" ht="13.8" hidden="false" customHeight="false" outlineLevel="0" collapsed="false">
      <c r="A260" s="33" t="n">
        <v>259</v>
      </c>
      <c r="B260" s="32" t="n">
        <v>45550</v>
      </c>
      <c r="C260" s="33" t="n">
        <v>32254</v>
      </c>
      <c r="D260" s="33" t="n">
        <f aca="false">C260-C259</f>
        <v>24200</v>
      </c>
      <c r="E260" s="33" t="n">
        <v>1386.4</v>
      </c>
      <c r="F260" s="33" t="n">
        <f aca="false">E260-E259</f>
        <v>1033.2</v>
      </c>
      <c r="G260" s="33" t="n">
        <v>22.58</v>
      </c>
      <c r="H260" s="33" t="n">
        <f aca="false">G260-G259</f>
        <v>16.94</v>
      </c>
      <c r="I260" s="33" t="n">
        <v>376</v>
      </c>
      <c r="J260" s="33" t="n">
        <f aca="false">I260-I259</f>
        <v>293</v>
      </c>
      <c r="K260" s="2" t="s">
        <v>30</v>
      </c>
      <c r="L260" s="2" t="n">
        <f aca="false">SUM($C$246:$C$275)</f>
        <v>473391</v>
      </c>
      <c r="M260" s="2" t="n">
        <f aca="false">SUM($E$246:$E$275)</f>
        <v>20337.1</v>
      </c>
      <c r="N260" s="2" t="n">
        <f aca="false">SUM($G$246:$G$275)</f>
        <v>331.36</v>
      </c>
      <c r="O260" s="2" t="n">
        <f aca="false">SUM($I$246:$I$275)</f>
        <v>4551</v>
      </c>
    </row>
    <row r="261" customFormat="false" ht="13.8" hidden="false" customHeight="false" outlineLevel="0" collapsed="false">
      <c r="A261" s="1" t="n">
        <v>260</v>
      </c>
      <c r="B261" s="32" t="n">
        <v>45551</v>
      </c>
      <c r="C261" s="33" t="n">
        <v>11074</v>
      </c>
      <c r="D261" s="33" t="n">
        <f aca="false">C261-C260</f>
        <v>-21180</v>
      </c>
      <c r="E261" s="33" t="n">
        <v>464</v>
      </c>
      <c r="F261" s="33" t="n">
        <f aca="false">E261-E260</f>
        <v>-922.4</v>
      </c>
      <c r="G261" s="33" t="n">
        <v>7.75</v>
      </c>
      <c r="H261" s="33" t="n">
        <f aca="false">G261-G260</f>
        <v>-14.83</v>
      </c>
      <c r="I261" s="33" t="n">
        <v>100</v>
      </c>
      <c r="J261" s="33" t="n">
        <f aca="false">I261-I260</f>
        <v>-276</v>
      </c>
      <c r="K261" s="2" t="s">
        <v>32</v>
      </c>
      <c r="L261" s="2" t="n">
        <f aca="false">COUNT($C$246:$C$275)</f>
        <v>30</v>
      </c>
      <c r="M261" s="2" t="n">
        <f aca="false">COUNT($E$246:$E$275)</f>
        <v>30</v>
      </c>
      <c r="N261" s="2" t="n">
        <f aca="false">COUNT($G$246:$G$275)</f>
        <v>30</v>
      </c>
      <c r="O261" s="2" t="n">
        <f aca="false">COUNT($I$246:$I$275)</f>
        <v>30</v>
      </c>
    </row>
    <row r="262" customFormat="false" ht="13.8" hidden="false" customHeight="false" outlineLevel="0" collapsed="false">
      <c r="A262" s="33" t="n">
        <v>261</v>
      </c>
      <c r="B262" s="32" t="n">
        <v>45552</v>
      </c>
      <c r="C262" s="33" t="n">
        <v>13075</v>
      </c>
      <c r="D262" s="33" t="n">
        <f aca="false">C262-C261</f>
        <v>2001</v>
      </c>
      <c r="E262" s="33" t="n">
        <v>580.2</v>
      </c>
      <c r="F262" s="33" t="n">
        <f aca="false">E262-E261</f>
        <v>116.2</v>
      </c>
      <c r="G262" s="33" t="n">
        <v>9.15</v>
      </c>
      <c r="H262" s="33" t="n">
        <f aca="false">G262-G261</f>
        <v>1.4</v>
      </c>
      <c r="I262" s="33" t="n">
        <v>137</v>
      </c>
      <c r="J262" s="33" t="n">
        <f aca="false">I262-I261</f>
        <v>37</v>
      </c>
    </row>
    <row r="263" customFormat="false" ht="13.8" hidden="false" customHeight="false" outlineLevel="0" collapsed="false">
      <c r="A263" s="1" t="n">
        <v>262</v>
      </c>
      <c r="B263" s="32" t="n">
        <v>45553</v>
      </c>
      <c r="C263" s="33" t="n">
        <v>6830</v>
      </c>
      <c r="D263" s="33" t="n">
        <f aca="false">C263-C262</f>
        <v>-6245</v>
      </c>
      <c r="E263" s="33" t="n">
        <v>289.3</v>
      </c>
      <c r="F263" s="33" t="n">
        <f aca="false">E263-E262</f>
        <v>-290.9</v>
      </c>
      <c r="G263" s="33" t="n">
        <v>4.78</v>
      </c>
      <c r="H263" s="33" t="n">
        <f aca="false">G263-G262</f>
        <v>-4.37</v>
      </c>
      <c r="I263" s="33" t="n">
        <v>64</v>
      </c>
      <c r="J263" s="33" t="n">
        <f aca="false">I263-I262</f>
        <v>-73</v>
      </c>
    </row>
    <row r="264" customFormat="false" ht="13.8" hidden="false" customHeight="false" outlineLevel="0" collapsed="false">
      <c r="A264" s="33" t="n">
        <v>263</v>
      </c>
      <c r="B264" s="32" t="n">
        <v>45554</v>
      </c>
      <c r="C264" s="33" t="n">
        <v>6876</v>
      </c>
      <c r="D264" s="33" t="n">
        <f aca="false">C264-C263</f>
        <v>46</v>
      </c>
      <c r="E264" s="33" t="n">
        <v>300.8</v>
      </c>
      <c r="F264" s="33" t="n">
        <f aca="false">E264-E263</f>
        <v>11.5</v>
      </c>
      <c r="G264" s="33" t="n">
        <v>4.81</v>
      </c>
      <c r="H264" s="33" t="n">
        <f aca="false">G264-G263</f>
        <v>0.0299999999999994</v>
      </c>
      <c r="I264" s="33" t="n">
        <v>70</v>
      </c>
      <c r="J264" s="33" t="n">
        <f aca="false">I264-I263</f>
        <v>6</v>
      </c>
    </row>
    <row r="265" customFormat="false" ht="13.8" hidden="false" customHeight="false" outlineLevel="0" collapsed="false">
      <c r="A265" s="1" t="n">
        <v>264</v>
      </c>
      <c r="B265" s="32" t="n">
        <v>45555</v>
      </c>
      <c r="C265" s="33" t="n">
        <v>9537</v>
      </c>
      <c r="D265" s="33" t="n">
        <f aca="false">C265-C264</f>
        <v>2661</v>
      </c>
      <c r="E265" s="33" t="n">
        <v>423</v>
      </c>
      <c r="F265" s="33" t="n">
        <f aca="false">E265-E264</f>
        <v>122.2</v>
      </c>
      <c r="G265" s="33" t="n">
        <v>6.68</v>
      </c>
      <c r="H265" s="33" t="n">
        <f aca="false">G265-G264</f>
        <v>1.87</v>
      </c>
      <c r="I265" s="33" t="n">
        <v>71</v>
      </c>
      <c r="J265" s="33" t="n">
        <f aca="false">I265-I264</f>
        <v>1</v>
      </c>
    </row>
    <row r="266" customFormat="false" ht="13.8" hidden="false" customHeight="false" outlineLevel="0" collapsed="false">
      <c r="A266" s="33" t="n">
        <v>265</v>
      </c>
      <c r="B266" s="32" t="n">
        <v>45556</v>
      </c>
      <c r="C266" s="33" t="n">
        <v>38505</v>
      </c>
      <c r="D266" s="33" t="n">
        <f aca="false">C266-C265</f>
        <v>28968</v>
      </c>
      <c r="E266" s="33" t="n">
        <v>1657</v>
      </c>
      <c r="F266" s="33" t="n">
        <f aca="false">E266-E265</f>
        <v>1234</v>
      </c>
      <c r="G266" s="33" t="n">
        <v>26.95</v>
      </c>
      <c r="H266" s="33" t="n">
        <f aca="false">G266-G265</f>
        <v>20.27</v>
      </c>
      <c r="I266" s="33" t="n">
        <v>376</v>
      </c>
      <c r="J266" s="33" t="n">
        <f aca="false">I266-I265</f>
        <v>305</v>
      </c>
    </row>
    <row r="267" customFormat="false" ht="13.8" hidden="false" customHeight="false" outlineLevel="0" collapsed="false">
      <c r="A267" s="1" t="n">
        <v>266</v>
      </c>
      <c r="B267" s="32" t="n">
        <v>45557</v>
      </c>
      <c r="C267" s="33" t="n">
        <v>37530</v>
      </c>
      <c r="D267" s="33" t="n">
        <f aca="false">C267-C266</f>
        <v>-975</v>
      </c>
      <c r="E267" s="33" t="n">
        <v>1620.4</v>
      </c>
      <c r="F267" s="33" t="n">
        <f aca="false">E267-E266</f>
        <v>-36.5999999999999</v>
      </c>
      <c r="G267" s="33" t="n">
        <v>26.27</v>
      </c>
      <c r="H267" s="33" t="n">
        <f aca="false">G267-G266</f>
        <v>-0.68</v>
      </c>
      <c r="I267" s="33" t="n">
        <v>374</v>
      </c>
      <c r="J267" s="33" t="n">
        <f aca="false">I267-I266</f>
        <v>-2</v>
      </c>
    </row>
    <row r="268" customFormat="false" ht="13.8" hidden="false" customHeight="false" outlineLevel="0" collapsed="false">
      <c r="A268" s="33" t="n">
        <v>267</v>
      </c>
      <c r="B268" s="32" t="n">
        <v>45558</v>
      </c>
      <c r="C268" s="33" t="n">
        <v>17583</v>
      </c>
      <c r="D268" s="33" t="n">
        <f aca="false">C268-C267</f>
        <v>-19947</v>
      </c>
      <c r="E268" s="33" t="n">
        <v>757.2</v>
      </c>
      <c r="F268" s="33" t="n">
        <f aca="false">E268-E267</f>
        <v>-863.2</v>
      </c>
      <c r="G268" s="33" t="n">
        <v>12.31</v>
      </c>
      <c r="H268" s="33" t="n">
        <f aca="false">G268-G267</f>
        <v>-13.96</v>
      </c>
      <c r="I268" s="33" t="n">
        <v>173</v>
      </c>
      <c r="J268" s="33" t="n">
        <f aca="false">I268-I267</f>
        <v>-201</v>
      </c>
    </row>
    <row r="269" customFormat="false" ht="13.8" hidden="false" customHeight="false" outlineLevel="0" collapsed="false">
      <c r="A269" s="1" t="n">
        <v>268</v>
      </c>
      <c r="B269" s="32" t="n">
        <v>45559</v>
      </c>
      <c r="C269" s="33" t="n">
        <v>15465</v>
      </c>
      <c r="D269" s="33" t="n">
        <f aca="false">C269-C268</f>
        <v>-2118</v>
      </c>
      <c r="E269" s="33" t="n">
        <v>662</v>
      </c>
      <c r="F269" s="33" t="n">
        <f aca="false">E269-E268</f>
        <v>-95.2000000000001</v>
      </c>
      <c r="G269" s="33" t="n">
        <v>10.83</v>
      </c>
      <c r="H269" s="33" t="n">
        <f aca="false">G269-G268</f>
        <v>-1.48</v>
      </c>
      <c r="I269" s="33" t="n">
        <v>150</v>
      </c>
      <c r="J269" s="33" t="n">
        <f aca="false">I269-I268</f>
        <v>-23</v>
      </c>
    </row>
    <row r="270" customFormat="false" ht="13.8" hidden="false" customHeight="false" outlineLevel="0" collapsed="false">
      <c r="A270" s="33" t="n">
        <v>269</v>
      </c>
      <c r="B270" s="32" t="n">
        <v>45560</v>
      </c>
      <c r="C270" s="33" t="n">
        <v>9548</v>
      </c>
      <c r="D270" s="33" t="n">
        <f aca="false">C270-C269</f>
        <v>-5917</v>
      </c>
      <c r="E270" s="33" t="n">
        <v>407.4</v>
      </c>
      <c r="F270" s="33" t="n">
        <f aca="false">E270-E269</f>
        <v>-254.6</v>
      </c>
      <c r="G270" s="33" t="n">
        <v>6.68</v>
      </c>
      <c r="H270" s="33" t="n">
        <f aca="false">G270-G269</f>
        <v>-4.15</v>
      </c>
      <c r="I270" s="33" t="n">
        <v>91</v>
      </c>
      <c r="J270" s="33" t="n">
        <f aca="false">I270-I269</f>
        <v>-59</v>
      </c>
    </row>
    <row r="271" customFormat="false" ht="13.8" hidden="false" customHeight="false" outlineLevel="0" collapsed="false">
      <c r="A271" s="1" t="n">
        <v>270</v>
      </c>
      <c r="B271" s="32" t="n">
        <v>45561</v>
      </c>
      <c r="C271" s="33" t="n">
        <v>8798</v>
      </c>
      <c r="D271" s="33" t="n">
        <f aca="false">C271-C270</f>
        <v>-750</v>
      </c>
      <c r="E271" s="33" t="n">
        <v>382.5</v>
      </c>
      <c r="F271" s="33" t="n">
        <f aca="false">E271-E270</f>
        <v>-24.9</v>
      </c>
      <c r="G271" s="33" t="n">
        <v>6.16</v>
      </c>
      <c r="H271" s="33" t="n">
        <f aca="false">G271-G270</f>
        <v>-0.52</v>
      </c>
      <c r="I271" s="33" t="n">
        <v>89</v>
      </c>
      <c r="J271" s="33" t="n">
        <f aca="false">I271-I270</f>
        <v>-2</v>
      </c>
    </row>
    <row r="272" customFormat="false" ht="13.8" hidden="false" customHeight="false" outlineLevel="0" collapsed="false">
      <c r="A272" s="33" t="n">
        <v>271</v>
      </c>
      <c r="B272" s="32" t="n">
        <v>45562</v>
      </c>
      <c r="C272" s="33" t="n">
        <v>17556</v>
      </c>
      <c r="D272" s="33" t="n">
        <f aca="false">C272-C271</f>
        <v>8758</v>
      </c>
      <c r="E272" s="33" t="n">
        <v>740.8</v>
      </c>
      <c r="F272" s="33" t="n">
        <f aca="false">E272-E271</f>
        <v>358.3</v>
      </c>
      <c r="G272" s="33" t="n">
        <v>12.29</v>
      </c>
      <c r="H272" s="33" t="n">
        <f aca="false">G272-G271</f>
        <v>6.13</v>
      </c>
      <c r="I272" s="33" t="n">
        <v>162</v>
      </c>
      <c r="J272" s="33" t="n">
        <f aca="false">I272-I271</f>
        <v>73</v>
      </c>
    </row>
    <row r="273" customFormat="false" ht="13.8" hidden="false" customHeight="false" outlineLevel="0" collapsed="false">
      <c r="A273" s="1" t="n">
        <v>272</v>
      </c>
      <c r="B273" s="32" t="n">
        <v>45563</v>
      </c>
      <c r="C273" s="33" t="n">
        <v>34786</v>
      </c>
      <c r="D273" s="33" t="n">
        <f aca="false">C273-C272</f>
        <v>17230</v>
      </c>
      <c r="E273" s="33" t="n">
        <v>1514.5</v>
      </c>
      <c r="F273" s="33" t="n">
        <f aca="false">E273-E272</f>
        <v>773.7</v>
      </c>
      <c r="G273" s="33" t="n">
        <v>24.35</v>
      </c>
      <c r="H273" s="33" t="n">
        <f aca="false">G273-G272</f>
        <v>12.06</v>
      </c>
      <c r="I273" s="33" t="n">
        <v>201</v>
      </c>
      <c r="J273" s="33" t="n">
        <f aca="false">I273-I272</f>
        <v>39</v>
      </c>
    </row>
    <row r="274" customFormat="false" ht="13.8" hidden="false" customHeight="false" outlineLevel="0" collapsed="false">
      <c r="A274" s="33" t="n">
        <v>273</v>
      </c>
      <c r="B274" s="32" t="n">
        <v>45564</v>
      </c>
      <c r="C274" s="33" t="n">
        <v>26991</v>
      </c>
      <c r="D274" s="33" t="n">
        <f aca="false">C274-C273</f>
        <v>-7795</v>
      </c>
      <c r="E274" s="33" t="n">
        <v>1186.8</v>
      </c>
      <c r="F274" s="33" t="n">
        <f aca="false">E274-E273</f>
        <v>-327.7</v>
      </c>
      <c r="G274" s="33" t="n">
        <v>18.89</v>
      </c>
      <c r="H274" s="33" t="n">
        <f aca="false">G274-G273</f>
        <v>-5.46</v>
      </c>
      <c r="I274" s="33" t="n">
        <v>352</v>
      </c>
      <c r="J274" s="33" t="n">
        <f aca="false">I274-I273</f>
        <v>151</v>
      </c>
    </row>
    <row r="275" customFormat="false" ht="13.8" hidden="false" customHeight="false" outlineLevel="0" collapsed="false">
      <c r="A275" s="1" t="n">
        <v>274</v>
      </c>
      <c r="B275" s="32" t="n">
        <v>45565</v>
      </c>
      <c r="C275" s="33" t="n">
        <v>7106</v>
      </c>
      <c r="D275" s="33" t="n">
        <f aca="false">C275-C274</f>
        <v>-19885</v>
      </c>
      <c r="E275" s="33" t="n">
        <v>307.4</v>
      </c>
      <c r="F275" s="33" t="n">
        <f aca="false">E275-E274</f>
        <v>-879.4</v>
      </c>
      <c r="G275" s="33" t="n">
        <v>4.97</v>
      </c>
      <c r="H275" s="33" t="n">
        <f aca="false">G275-G274</f>
        <v>-13.92</v>
      </c>
      <c r="I275" s="33" t="n">
        <v>70</v>
      </c>
      <c r="J275" s="33" t="n">
        <f aca="false">I275-I274</f>
        <v>-282</v>
      </c>
    </row>
    <row r="276" customFormat="false" ht="13.8" hidden="false" customHeight="false" outlineLevel="0" collapsed="false">
      <c r="A276" s="33" t="n">
        <v>275</v>
      </c>
      <c r="B276" s="32" t="n">
        <v>45566</v>
      </c>
      <c r="C276" s="33" t="n">
        <v>14386</v>
      </c>
      <c r="D276" s="33" t="n">
        <f aca="false">C276-C275</f>
        <v>7280</v>
      </c>
      <c r="E276" s="33" t="n">
        <v>604.8</v>
      </c>
      <c r="F276" s="33" t="n">
        <f aca="false">E276-E275</f>
        <v>297.4</v>
      </c>
      <c r="G276" s="33" t="n">
        <v>10.07</v>
      </c>
      <c r="H276" s="33" t="n">
        <f aca="false">G276-G275</f>
        <v>5.1</v>
      </c>
      <c r="I276" s="33" t="n">
        <v>131</v>
      </c>
      <c r="J276" s="33" t="n">
        <f aca="false">I276-I275</f>
        <v>61</v>
      </c>
      <c r="L276" s="34" t="s">
        <v>2</v>
      </c>
      <c r="M276" s="34" t="s">
        <v>179</v>
      </c>
      <c r="N276" s="34" t="s">
        <v>175</v>
      </c>
      <c r="O276" s="34" t="s">
        <v>177</v>
      </c>
    </row>
    <row r="277" customFormat="false" ht="13.8" hidden="false" customHeight="false" outlineLevel="0" collapsed="false">
      <c r="A277" s="1" t="n">
        <v>276</v>
      </c>
      <c r="B277" s="32" t="n">
        <v>45567</v>
      </c>
      <c r="C277" s="33" t="n">
        <v>15705</v>
      </c>
      <c r="D277" s="33" t="n">
        <f aca="false">C277-C276</f>
        <v>1319</v>
      </c>
      <c r="E277" s="33" t="n">
        <v>658.1</v>
      </c>
      <c r="F277" s="33" t="n">
        <f aca="false">E277-E276</f>
        <v>53.3000000000001</v>
      </c>
      <c r="G277" s="33" t="n">
        <v>10.99</v>
      </c>
      <c r="H277" s="33" t="n">
        <f aca="false">G277-G276</f>
        <v>0.92</v>
      </c>
      <c r="I277" s="33" t="n">
        <v>142</v>
      </c>
      <c r="J277" s="33" t="n">
        <f aca="false">I277-I276</f>
        <v>11</v>
      </c>
      <c r="K277" s="2" t="s">
        <v>8</v>
      </c>
      <c r="L277" s="2" t="n">
        <f aca="false">AVERAGE($C$276:$C$306)</f>
        <v>13817.3548387097</v>
      </c>
      <c r="M277" s="2" t="n">
        <f aca="false">AVERAGE($E$276:$E$306)</f>
        <v>589.554838709678</v>
      </c>
      <c r="N277" s="2" t="n">
        <f aca="false">AVERAGE($G$276:$G$306)</f>
        <v>9.67225806451613</v>
      </c>
      <c r="O277" s="2" t="n">
        <f aca="false">AVERAGE($I$276:$I$306)</f>
        <v>132.354838709677</v>
      </c>
    </row>
    <row r="278" customFormat="false" ht="13.8" hidden="false" customHeight="false" outlineLevel="0" collapsed="false">
      <c r="A278" s="33" t="n">
        <v>277</v>
      </c>
      <c r="B278" s="32" t="n">
        <v>45568</v>
      </c>
      <c r="C278" s="33" t="n">
        <v>8832</v>
      </c>
      <c r="D278" s="33" t="n">
        <f aca="false">C278-C277</f>
        <v>-6873</v>
      </c>
      <c r="E278" s="33" t="n">
        <v>373.4</v>
      </c>
      <c r="F278" s="33" t="n">
        <f aca="false">E278-E277</f>
        <v>-284.7</v>
      </c>
      <c r="G278" s="33" t="n">
        <v>6.18</v>
      </c>
      <c r="H278" s="33" t="n">
        <f aca="false">G278-G277</f>
        <v>-4.81</v>
      </c>
      <c r="I278" s="33" t="n">
        <v>82</v>
      </c>
      <c r="J278" s="33" t="n">
        <f aca="false">I278-I277</f>
        <v>-60</v>
      </c>
      <c r="K278" s="2" t="s">
        <v>10</v>
      </c>
      <c r="L278" s="2" t="n">
        <f aca="false">SQRT(VAR($C$276:$C$306)/COUNT($C$276:$C$306))</f>
        <v>901.458386551872</v>
      </c>
      <c r="M278" s="2" t="n">
        <f aca="false">SQRT(VAR($E$276:$E$306)/COUNT($E$276:$E$306))</f>
        <v>38.3893141042088</v>
      </c>
      <c r="N278" s="2" t="n">
        <f aca="false">SQRT(VAR($G$276:$G$306)/COUNT($G$276:$G$306))</f>
        <v>0.630947863442171</v>
      </c>
      <c r="O278" s="2" t="n">
        <f aca="false">SQRT(VAR($I$276:$I$306)/COUNT($I$276:$I$306))</f>
        <v>8.64951342867888</v>
      </c>
    </row>
    <row r="279" customFormat="false" ht="13.8" hidden="false" customHeight="false" outlineLevel="0" collapsed="false">
      <c r="A279" s="1" t="n">
        <v>278</v>
      </c>
      <c r="B279" s="32" t="n">
        <v>45569</v>
      </c>
      <c r="C279" s="33" t="n">
        <v>15115</v>
      </c>
      <c r="D279" s="33" t="n">
        <f aca="false">C279-C278</f>
        <v>6283</v>
      </c>
      <c r="E279" s="33" t="n">
        <v>655.8</v>
      </c>
      <c r="F279" s="33" t="n">
        <f aca="false">E279-E278</f>
        <v>282.4</v>
      </c>
      <c r="G279" s="33" t="n">
        <v>10.58</v>
      </c>
      <c r="H279" s="33" t="n">
        <f aca="false">G279-G278</f>
        <v>4.4</v>
      </c>
      <c r="I279" s="33" t="n">
        <v>150</v>
      </c>
      <c r="J279" s="33" t="n">
        <f aca="false">I279-I278</f>
        <v>68</v>
      </c>
      <c r="K279" s="2" t="s">
        <v>14</v>
      </c>
      <c r="L279" s="2" t="e">
        <f aca="false">MODE($C$276:$C$306)</f>
        <v>#VALUE!</v>
      </c>
      <c r="M279" s="2" t="n">
        <f aca="false">MODE($E$276:$E$306)</f>
        <v>500.2</v>
      </c>
      <c r="N279" s="2" t="n">
        <f aca="false">MODE($G$276:$G$306)</f>
        <v>10.79</v>
      </c>
      <c r="O279" s="2" t="n">
        <f aca="false">MODE($I$276:$I$306)</f>
        <v>75</v>
      </c>
    </row>
    <row r="280" customFormat="false" ht="13.8" hidden="false" customHeight="false" outlineLevel="0" collapsed="false">
      <c r="A280" s="33" t="n">
        <v>279</v>
      </c>
      <c r="B280" s="32" t="n">
        <v>45570</v>
      </c>
      <c r="C280" s="33" t="n">
        <v>18615</v>
      </c>
      <c r="D280" s="33" t="n">
        <f aca="false">C280-C279</f>
        <v>3500</v>
      </c>
      <c r="E280" s="33" t="n">
        <v>805.9</v>
      </c>
      <c r="F280" s="33" t="n">
        <f aca="false">E280-E279</f>
        <v>150.1</v>
      </c>
      <c r="G280" s="33" t="n">
        <v>13.03</v>
      </c>
      <c r="H280" s="33" t="n">
        <f aca="false">G280-G279</f>
        <v>2.45</v>
      </c>
      <c r="I280" s="33" t="n">
        <v>183</v>
      </c>
      <c r="J280" s="33" t="n">
        <f aca="false">I280-I279</f>
        <v>33</v>
      </c>
      <c r="K280" s="2" t="s">
        <v>12</v>
      </c>
      <c r="L280" s="2" t="n">
        <f aca="false">MEDIAN($C$276:$C$306)</f>
        <v>13755</v>
      </c>
      <c r="M280" s="2" t="n">
        <f aca="false">MEDIAN($E$276:$E$306)</f>
        <v>599.8</v>
      </c>
      <c r="N280" s="2" t="n">
        <f aca="false">MEDIAN($G$276:$G$306)</f>
        <v>9.63</v>
      </c>
      <c r="O280" s="2" t="n">
        <f aca="false">MEDIAN($I$276:$I$306)</f>
        <v>137</v>
      </c>
    </row>
    <row r="281" customFormat="false" ht="13.8" hidden="false" customHeight="false" outlineLevel="0" collapsed="false">
      <c r="A281" s="1" t="n">
        <v>280</v>
      </c>
      <c r="B281" s="32" t="n">
        <v>45571</v>
      </c>
      <c r="C281" s="33" t="n">
        <v>15409</v>
      </c>
      <c r="D281" s="33" t="n">
        <f aca="false">C281-C280</f>
        <v>-3206</v>
      </c>
      <c r="E281" s="33" t="n">
        <v>643.7</v>
      </c>
      <c r="F281" s="33" t="n">
        <f aca="false">E281-E280</f>
        <v>-162.2</v>
      </c>
      <c r="G281" s="33" t="n">
        <v>10.79</v>
      </c>
      <c r="H281" s="33" t="n">
        <f aca="false">G281-G280</f>
        <v>-2.24</v>
      </c>
      <c r="I281" s="33" t="n">
        <v>137</v>
      </c>
      <c r="J281" s="33" t="n">
        <f aca="false">I281-I280</f>
        <v>-46</v>
      </c>
      <c r="K281" s="2" t="s">
        <v>195</v>
      </c>
      <c r="L281" s="2" t="n">
        <f aca="false">QUARTILE($C$276:$C$306, 1)</f>
        <v>10344</v>
      </c>
      <c r="M281" s="2" t="n">
        <f aca="false">QUARTILE($E$276:$E$306, 1)</f>
        <v>440.75</v>
      </c>
      <c r="N281" s="2" t="n">
        <f aca="false">QUARTILE($G$276:$G$306, 1)</f>
        <v>7.24</v>
      </c>
      <c r="O281" s="2" t="n">
        <f aca="false">QUARTILE($I$276:$I$306, 1)</f>
        <v>99</v>
      </c>
    </row>
    <row r="282" customFormat="false" ht="13.8" hidden="false" customHeight="false" outlineLevel="0" collapsed="false">
      <c r="A282" s="33" t="n">
        <v>281</v>
      </c>
      <c r="B282" s="32" t="n">
        <v>45572</v>
      </c>
      <c r="C282" s="33" t="n">
        <v>14895</v>
      </c>
      <c r="D282" s="33" t="n">
        <f aca="false">C282-C281</f>
        <v>-514</v>
      </c>
      <c r="E282" s="33" t="n">
        <v>630.7</v>
      </c>
      <c r="F282" s="33" t="n">
        <f aca="false">E282-E281</f>
        <v>-13</v>
      </c>
      <c r="G282" s="33" t="n">
        <v>10.43</v>
      </c>
      <c r="H282" s="33" t="n">
        <f aca="false">G282-G281</f>
        <v>-0.359999999999999</v>
      </c>
      <c r="I282" s="33" t="n">
        <v>139</v>
      </c>
      <c r="J282" s="33" t="n">
        <f aca="false">I282-I281</f>
        <v>2</v>
      </c>
      <c r="K282" s="2" t="s">
        <v>181</v>
      </c>
      <c r="L282" s="2" t="n">
        <f aca="false">QUARTILE($C$276:$C$306, 3)</f>
        <v>16522</v>
      </c>
      <c r="M282" s="2" t="n">
        <f aca="false">QUARTILE($E$276:$E$306, 3)</f>
        <v>692.6</v>
      </c>
      <c r="N282" s="2" t="n">
        <f aca="false">QUARTILE($G$276:$G$306, 3)</f>
        <v>11.565</v>
      </c>
      <c r="O282" s="2" t="n">
        <f aca="false">QUARTILE($I$276:$I$306, 3)</f>
        <v>153.5</v>
      </c>
    </row>
    <row r="283" customFormat="false" ht="13.8" hidden="false" customHeight="false" outlineLevel="0" collapsed="false">
      <c r="A283" s="1" t="n">
        <v>282</v>
      </c>
      <c r="B283" s="32" t="n">
        <v>45573</v>
      </c>
      <c r="C283" s="33" t="n">
        <v>10517</v>
      </c>
      <c r="D283" s="33" t="n">
        <f aca="false">C283-C282</f>
        <v>-4378</v>
      </c>
      <c r="E283" s="33" t="n">
        <v>449.9</v>
      </c>
      <c r="F283" s="33" t="n">
        <f aca="false">E283-E282</f>
        <v>-180.8</v>
      </c>
      <c r="G283" s="33" t="n">
        <v>7.36</v>
      </c>
      <c r="H283" s="33" t="n">
        <f aca="false">G283-G282</f>
        <v>-3.07</v>
      </c>
      <c r="I283" s="33" t="n">
        <v>102</v>
      </c>
      <c r="J283" s="33" t="n">
        <f aca="false">I283-I282</f>
        <v>-37</v>
      </c>
      <c r="K283" s="2" t="s">
        <v>182</v>
      </c>
      <c r="L283" s="2" t="n">
        <f aca="false">VAR($C$276:$C$306)</f>
        <v>25191443.9032258</v>
      </c>
      <c r="M283" s="2" t="n">
        <f aca="false">VAR($E$276:$E$306)</f>
        <v>45685.9225591398</v>
      </c>
      <c r="N283" s="2" t="n">
        <f aca="false">VAR($G$276:$G$306)</f>
        <v>12.3409513978495</v>
      </c>
      <c r="O283" s="2" t="n">
        <f aca="false">VAR($I$276:$I$306)</f>
        <v>2319.23655913978</v>
      </c>
    </row>
    <row r="284" customFormat="false" ht="13.8" hidden="false" customHeight="false" outlineLevel="0" collapsed="false">
      <c r="A284" s="33" t="n">
        <v>283</v>
      </c>
      <c r="B284" s="32" t="n">
        <v>45574</v>
      </c>
      <c r="C284" s="33" t="n">
        <v>8406</v>
      </c>
      <c r="D284" s="33" t="n">
        <f aca="false">C284-C283</f>
        <v>-2111</v>
      </c>
      <c r="E284" s="33" t="n">
        <v>360.1</v>
      </c>
      <c r="F284" s="33" t="n">
        <f aca="false">E284-E283</f>
        <v>-89.8</v>
      </c>
      <c r="G284" s="33" t="n">
        <v>5.88</v>
      </c>
      <c r="H284" s="33" t="n">
        <f aca="false">G284-G283</f>
        <v>-1.48</v>
      </c>
      <c r="I284" s="33" t="n">
        <v>81</v>
      </c>
      <c r="J284" s="33" t="n">
        <f aca="false">I284-I283</f>
        <v>-21</v>
      </c>
      <c r="K284" s="2" t="s">
        <v>16</v>
      </c>
      <c r="L284" s="2" t="n">
        <f aca="false">STDEV($C$276:$C$306)</f>
        <v>5019.10787921776</v>
      </c>
      <c r="M284" s="2" t="n">
        <f aca="false">STDEV($E$276:$E$306)</f>
        <v>213.742654982902</v>
      </c>
      <c r="N284" s="2" t="n">
        <f aca="false">STDEV($G$276:$G$306)</f>
        <v>3.51296902887706</v>
      </c>
      <c r="O284" s="2" t="n">
        <f aca="false">STDEV($I$276:$I$306)</f>
        <v>48.158452624018</v>
      </c>
    </row>
    <row r="285" customFormat="false" ht="13.8" hidden="false" customHeight="false" outlineLevel="0" collapsed="false">
      <c r="A285" s="1" t="n">
        <v>284</v>
      </c>
      <c r="B285" s="32" t="n">
        <v>45575</v>
      </c>
      <c r="C285" s="33" t="n">
        <v>15416</v>
      </c>
      <c r="D285" s="33" t="n">
        <f aca="false">C285-C284</f>
        <v>7010</v>
      </c>
      <c r="E285" s="33" t="n">
        <v>654.9</v>
      </c>
      <c r="F285" s="33" t="n">
        <f aca="false">E285-E284</f>
        <v>294.8</v>
      </c>
      <c r="G285" s="33" t="n">
        <v>10.79</v>
      </c>
      <c r="H285" s="33" t="n">
        <f aca="false">G285-G284</f>
        <v>4.91</v>
      </c>
      <c r="I285" s="33" t="n">
        <v>145</v>
      </c>
      <c r="J285" s="33" t="n">
        <f aca="false">I285-I284</f>
        <v>64</v>
      </c>
      <c r="K285" s="2" t="s">
        <v>20</v>
      </c>
      <c r="L285" s="2" t="n">
        <f aca="false">KURT($C$276:$C$306)</f>
        <v>2.35643439669245</v>
      </c>
      <c r="M285" s="2" t="n">
        <f aca="false">KURT($E$276:$E$306)</f>
        <v>2.42443425875266</v>
      </c>
      <c r="N285" s="2" t="n">
        <f aca="false">KURT($G$276:$G$306)</f>
        <v>2.35122086304093</v>
      </c>
      <c r="O285" s="2" t="n">
        <f aca="false">KURT($I$276:$I$306)</f>
        <v>2.55989602721481</v>
      </c>
    </row>
    <row r="286" customFormat="false" ht="13.8" hidden="false" customHeight="false" outlineLevel="0" collapsed="false">
      <c r="A286" s="33" t="n">
        <v>285</v>
      </c>
      <c r="B286" s="32" t="n">
        <v>45576</v>
      </c>
      <c r="C286" s="33" t="n">
        <v>11057</v>
      </c>
      <c r="D286" s="33" t="n">
        <f aca="false">C286-C285</f>
        <v>-4359</v>
      </c>
      <c r="E286" s="33" t="n">
        <v>500.2</v>
      </c>
      <c r="F286" s="33" t="n">
        <f aca="false">E286-E285</f>
        <v>-154.7</v>
      </c>
      <c r="G286" s="33" t="n">
        <v>7.74</v>
      </c>
      <c r="H286" s="33" t="n">
        <f aca="false">G286-G285</f>
        <v>-3.05</v>
      </c>
      <c r="I286" s="33" t="n">
        <v>120</v>
      </c>
      <c r="J286" s="33" t="n">
        <f aca="false">I286-I285</f>
        <v>-25</v>
      </c>
      <c r="K286" s="2" t="s">
        <v>22</v>
      </c>
      <c r="L286" s="2" t="n">
        <f aca="false">SKEW($C$276:$C$306)</f>
        <v>1.11980878961831</v>
      </c>
      <c r="M286" s="2" t="n">
        <f aca="false">SKEW($E$276:$E$306)</f>
        <v>1.12095059542019</v>
      </c>
      <c r="N286" s="2" t="n">
        <f aca="false">SKEW($G$276:$G$306)</f>
        <v>1.11784000258789</v>
      </c>
      <c r="O286" s="2" t="n">
        <f aca="false">SKEW($I$276:$I$306)</f>
        <v>1.11488801899844</v>
      </c>
    </row>
    <row r="287" customFormat="false" ht="13.8" hidden="false" customHeight="false" outlineLevel="0" collapsed="false">
      <c r="A287" s="1" t="n">
        <v>286</v>
      </c>
      <c r="B287" s="32" t="n">
        <v>45577</v>
      </c>
      <c r="C287" s="33" t="n">
        <v>11336</v>
      </c>
      <c r="D287" s="33" t="n">
        <f aca="false">C287-C286</f>
        <v>279</v>
      </c>
      <c r="E287" s="33" t="n">
        <v>500.2</v>
      </c>
      <c r="F287" s="33" t="n">
        <f aca="false">E287-E286</f>
        <v>0</v>
      </c>
      <c r="G287" s="33" t="n">
        <v>7.94</v>
      </c>
      <c r="H287" s="33" t="n">
        <f aca="false">G287-G286</f>
        <v>0.2</v>
      </c>
      <c r="I287" s="33" t="n">
        <v>138</v>
      </c>
      <c r="J287" s="33" t="n">
        <f aca="false">I287-I286</f>
        <v>18</v>
      </c>
      <c r="K287" s="2" t="s">
        <v>24</v>
      </c>
      <c r="L287" s="2" t="n">
        <f aca="false">MAX($C$276:$C$306)-MIN($C$276:$C$306)</f>
        <v>23606</v>
      </c>
      <c r="M287" s="2" t="n">
        <f aca="false">MAX($E$276:$E$306)-MIN($E$276:$E$306)</f>
        <v>1013.2</v>
      </c>
      <c r="N287" s="2" t="n">
        <f aca="false">MAX($G$276:$G$306)-MIN($G$276:$G$306)</f>
        <v>16.52</v>
      </c>
      <c r="O287" s="2" t="n">
        <f aca="false">MAX($I$276:$I$306)-MIN($I$276:$I$306)</f>
        <v>231</v>
      </c>
    </row>
    <row r="288" customFormat="false" ht="13.8" hidden="false" customHeight="false" outlineLevel="0" collapsed="false">
      <c r="A288" s="33" t="n">
        <v>287</v>
      </c>
      <c r="B288" s="32" t="n">
        <v>45578</v>
      </c>
      <c r="C288" s="33" t="n">
        <v>22191</v>
      </c>
      <c r="D288" s="33" t="n">
        <f aca="false">C288-C287</f>
        <v>10855</v>
      </c>
      <c r="E288" s="33" t="n">
        <v>942.6</v>
      </c>
      <c r="F288" s="33" t="n">
        <f aca="false">E288-E287</f>
        <v>442.4</v>
      </c>
      <c r="G288" s="33" t="n">
        <v>15.53</v>
      </c>
      <c r="H288" s="33" t="n">
        <f aca="false">G288-G287</f>
        <v>7.59</v>
      </c>
      <c r="I288" s="33" t="n">
        <v>210</v>
      </c>
      <c r="J288" s="33" t="n">
        <f aca="false">I288-I287</f>
        <v>72</v>
      </c>
      <c r="K288" s="2" t="s">
        <v>26</v>
      </c>
      <c r="L288" s="2" t="n">
        <f aca="false">MIN($C$276:$C$306)</f>
        <v>6615</v>
      </c>
      <c r="M288" s="2" t="n">
        <f aca="false">MIN($E$276:$E$306)</f>
        <v>276.9</v>
      </c>
      <c r="N288" s="2" t="n">
        <f aca="false">MIN($G$276:$G$306)</f>
        <v>4.63</v>
      </c>
      <c r="O288" s="2" t="n">
        <f aca="false">MIN($I$276:$I$306)</f>
        <v>60</v>
      </c>
    </row>
    <row r="289" customFormat="false" ht="13.8" hidden="false" customHeight="false" outlineLevel="0" collapsed="false">
      <c r="A289" s="1" t="n">
        <v>288</v>
      </c>
      <c r="B289" s="32" t="n">
        <v>45579</v>
      </c>
      <c r="C289" s="33" t="n">
        <v>11751</v>
      </c>
      <c r="D289" s="33" t="n">
        <f aca="false">C289-C288</f>
        <v>-10440</v>
      </c>
      <c r="E289" s="33" t="n">
        <v>502.7</v>
      </c>
      <c r="F289" s="33" t="n">
        <f aca="false">E289-E288</f>
        <v>-439.9</v>
      </c>
      <c r="G289" s="33" t="n">
        <v>8.23</v>
      </c>
      <c r="H289" s="33" t="n">
        <f aca="false">G289-G288</f>
        <v>-7.3</v>
      </c>
      <c r="I289" s="33" t="n">
        <v>113</v>
      </c>
      <c r="J289" s="33" t="n">
        <f aca="false">I289-I288</f>
        <v>-97</v>
      </c>
      <c r="K289" s="2" t="s">
        <v>28</v>
      </c>
      <c r="L289" s="2" t="n">
        <f aca="false">MAX($C$276:$C$306)</f>
        <v>30221</v>
      </c>
      <c r="M289" s="2" t="n">
        <f aca="false">MAX($E$276:$E$306)</f>
        <v>1290.1</v>
      </c>
      <c r="N289" s="2" t="n">
        <f aca="false">MAX($G$276:$G$306)</f>
        <v>21.15</v>
      </c>
      <c r="O289" s="2" t="n">
        <f aca="false">MAX($I$276:$I$306)</f>
        <v>291</v>
      </c>
    </row>
    <row r="290" customFormat="false" ht="13.8" hidden="false" customHeight="false" outlineLevel="0" collapsed="false">
      <c r="A290" s="33" t="n">
        <v>289</v>
      </c>
      <c r="B290" s="32" t="n">
        <v>45580</v>
      </c>
      <c r="C290" s="33" t="n">
        <v>8075</v>
      </c>
      <c r="D290" s="33" t="n">
        <f aca="false">C290-C289</f>
        <v>-3676</v>
      </c>
      <c r="E290" s="33" t="n">
        <v>337.5</v>
      </c>
      <c r="F290" s="33" t="n">
        <f aca="false">E290-E289</f>
        <v>-165.2</v>
      </c>
      <c r="G290" s="33" t="n">
        <v>5.65</v>
      </c>
      <c r="H290" s="33" t="n">
        <f aca="false">G290-G289</f>
        <v>-2.58</v>
      </c>
      <c r="I290" s="33" t="n">
        <v>72</v>
      </c>
      <c r="J290" s="33" t="n">
        <f aca="false">I290-I289</f>
        <v>-41</v>
      </c>
      <c r="K290" s="2" t="s">
        <v>30</v>
      </c>
      <c r="L290" s="2" t="n">
        <f aca="false">SUM($C$276:$C$306)</f>
        <v>428338</v>
      </c>
      <c r="M290" s="2" t="n">
        <f aca="false">SUM($E$276:$E$306)</f>
        <v>18276.2</v>
      </c>
      <c r="N290" s="2" t="n">
        <f aca="false">SUM($G$276:$G$306)</f>
        <v>299.84</v>
      </c>
      <c r="O290" s="2" t="n">
        <f aca="false">SUM($I$276:$I$306)</f>
        <v>4103</v>
      </c>
    </row>
    <row r="291" customFormat="false" ht="13.8" hidden="false" customHeight="false" outlineLevel="0" collapsed="false">
      <c r="A291" s="1" t="n">
        <v>290</v>
      </c>
      <c r="B291" s="32" t="n">
        <v>45581</v>
      </c>
      <c r="C291" s="33" t="n">
        <v>9031</v>
      </c>
      <c r="D291" s="33" t="n">
        <f aca="false">C291-C290</f>
        <v>956</v>
      </c>
      <c r="E291" s="33" t="n">
        <v>385.4</v>
      </c>
      <c r="F291" s="33" t="n">
        <f aca="false">E291-E290</f>
        <v>47.9</v>
      </c>
      <c r="G291" s="33" t="n">
        <v>6.32</v>
      </c>
      <c r="H291" s="33" t="n">
        <f aca="false">G291-G290</f>
        <v>0.67</v>
      </c>
      <c r="I291" s="33" t="n">
        <v>86</v>
      </c>
      <c r="J291" s="33" t="n">
        <f aca="false">I291-I290</f>
        <v>14</v>
      </c>
      <c r="K291" s="2" t="s">
        <v>32</v>
      </c>
      <c r="L291" s="2" t="n">
        <f aca="false">COUNT($C$276:$C$306)</f>
        <v>31</v>
      </c>
      <c r="M291" s="2" t="n">
        <f aca="false">COUNT($E$276:$E$306)</f>
        <v>31</v>
      </c>
      <c r="N291" s="2" t="n">
        <f aca="false">COUNT($G$276:$G$306)</f>
        <v>31</v>
      </c>
      <c r="O291" s="2" t="n">
        <f aca="false">COUNT($I$276:$I$306)</f>
        <v>31</v>
      </c>
    </row>
    <row r="292" customFormat="false" ht="13.8" hidden="false" customHeight="false" outlineLevel="0" collapsed="false">
      <c r="A292" s="33" t="n">
        <v>291</v>
      </c>
      <c r="B292" s="32" t="n">
        <v>45582</v>
      </c>
      <c r="C292" s="33" t="n">
        <v>18740</v>
      </c>
      <c r="D292" s="33" t="n">
        <f aca="false">C292-C291</f>
        <v>9709</v>
      </c>
      <c r="E292" s="33" t="n">
        <v>782.8</v>
      </c>
      <c r="F292" s="33" t="n">
        <f aca="false">E292-E291</f>
        <v>397.4</v>
      </c>
      <c r="G292" s="33" t="n">
        <v>13.12</v>
      </c>
      <c r="H292" s="33" t="n">
        <f aca="false">G292-G291</f>
        <v>6.8</v>
      </c>
      <c r="I292" s="33" t="n">
        <v>167</v>
      </c>
      <c r="J292" s="33" t="n">
        <f aca="false">I292-I291</f>
        <v>81</v>
      </c>
    </row>
    <row r="293" customFormat="false" ht="13.8" hidden="false" customHeight="false" outlineLevel="0" collapsed="false">
      <c r="A293" s="1" t="n">
        <v>292</v>
      </c>
      <c r="B293" s="32" t="n">
        <v>45583</v>
      </c>
      <c r="C293" s="33" t="n">
        <v>7726</v>
      </c>
      <c r="D293" s="33" t="n">
        <f aca="false">C293-C292</f>
        <v>-11014</v>
      </c>
      <c r="E293" s="33" t="n">
        <v>332.1</v>
      </c>
      <c r="F293" s="33" t="n">
        <f aca="false">E293-E292</f>
        <v>-450.7</v>
      </c>
      <c r="G293" s="33" t="n">
        <v>5.41</v>
      </c>
      <c r="H293" s="33" t="n">
        <f aca="false">G293-G292</f>
        <v>-7.71</v>
      </c>
      <c r="I293" s="33" t="n">
        <v>75</v>
      </c>
      <c r="J293" s="33" t="n">
        <f aca="false">I293-I292</f>
        <v>-92</v>
      </c>
    </row>
    <row r="294" customFormat="false" ht="13.8" hidden="false" customHeight="false" outlineLevel="0" collapsed="false">
      <c r="A294" s="33" t="n">
        <v>293</v>
      </c>
      <c r="B294" s="32" t="n">
        <v>45584</v>
      </c>
      <c r="C294" s="33" t="n">
        <v>30221</v>
      </c>
      <c r="D294" s="33" t="n">
        <f aca="false">C294-C293</f>
        <v>22495</v>
      </c>
      <c r="E294" s="33" t="n">
        <v>1290.1</v>
      </c>
      <c r="F294" s="33" t="n">
        <f aca="false">E294-E293</f>
        <v>958</v>
      </c>
      <c r="G294" s="33" t="n">
        <v>21.15</v>
      </c>
      <c r="H294" s="33" t="n">
        <f aca="false">G294-G293</f>
        <v>15.74</v>
      </c>
      <c r="I294" s="33" t="n">
        <v>291</v>
      </c>
      <c r="J294" s="33" t="n">
        <f aca="false">I294-I293</f>
        <v>216</v>
      </c>
    </row>
    <row r="295" customFormat="false" ht="13.8" hidden="false" customHeight="false" outlineLevel="0" collapsed="false">
      <c r="A295" s="1" t="n">
        <v>294</v>
      </c>
      <c r="B295" s="32" t="n">
        <v>45585</v>
      </c>
      <c r="C295" s="33" t="n">
        <v>18521</v>
      </c>
      <c r="D295" s="33" t="n">
        <f aca="false">C295-C294</f>
        <v>-11700</v>
      </c>
      <c r="E295" s="33" t="n">
        <v>805.4</v>
      </c>
      <c r="F295" s="33" t="n">
        <f aca="false">E295-E294</f>
        <v>-484.7</v>
      </c>
      <c r="G295" s="33" t="n">
        <v>12.96</v>
      </c>
      <c r="H295" s="33" t="n">
        <f aca="false">G295-G294</f>
        <v>-8.19</v>
      </c>
      <c r="I295" s="33" t="n">
        <v>188</v>
      </c>
      <c r="J295" s="33" t="n">
        <f aca="false">I295-I294</f>
        <v>-103</v>
      </c>
    </row>
    <row r="296" customFormat="false" ht="13.8" hidden="false" customHeight="false" outlineLevel="0" collapsed="false">
      <c r="A296" s="33" t="n">
        <v>295</v>
      </c>
      <c r="B296" s="32" t="n">
        <v>45586</v>
      </c>
      <c r="C296" s="33" t="n">
        <v>13325</v>
      </c>
      <c r="D296" s="33" t="n">
        <f aca="false">C296-C295</f>
        <v>-5196</v>
      </c>
      <c r="E296" s="33" t="n">
        <v>569.5</v>
      </c>
      <c r="F296" s="33" t="n">
        <f aca="false">E296-E295</f>
        <v>-235.9</v>
      </c>
      <c r="G296" s="33" t="n">
        <v>9.33</v>
      </c>
      <c r="H296" s="33" t="n">
        <f aca="false">G296-G295</f>
        <v>-3.63</v>
      </c>
      <c r="I296" s="33" t="n">
        <v>129</v>
      </c>
      <c r="J296" s="33" t="n">
        <f aca="false">I296-I295</f>
        <v>-59</v>
      </c>
    </row>
    <row r="297" customFormat="false" ht="13.8" hidden="false" customHeight="false" outlineLevel="0" collapsed="false">
      <c r="A297" s="1" t="n">
        <v>296</v>
      </c>
      <c r="B297" s="32" t="n">
        <v>45587</v>
      </c>
      <c r="C297" s="33" t="n">
        <v>13755</v>
      </c>
      <c r="D297" s="33" t="n">
        <f aca="false">C297-C296</f>
        <v>430</v>
      </c>
      <c r="E297" s="33" t="n">
        <v>599.8</v>
      </c>
      <c r="F297" s="33" t="n">
        <f aca="false">E297-E296</f>
        <v>30.3</v>
      </c>
      <c r="G297" s="33" t="n">
        <v>9.63</v>
      </c>
      <c r="H297" s="33" t="n">
        <f aca="false">G297-G296</f>
        <v>0.300000000000001</v>
      </c>
      <c r="I297" s="33" t="n">
        <v>138</v>
      </c>
      <c r="J297" s="33" t="n">
        <f aca="false">I297-I296</f>
        <v>9</v>
      </c>
    </row>
    <row r="298" customFormat="false" ht="13.8" hidden="false" customHeight="false" outlineLevel="0" collapsed="false">
      <c r="A298" s="33" t="n">
        <v>297</v>
      </c>
      <c r="B298" s="32" t="n">
        <v>45588</v>
      </c>
      <c r="C298" s="33" t="n">
        <v>17480</v>
      </c>
      <c r="D298" s="33" t="n">
        <f aca="false">C298-C297</f>
        <v>3725</v>
      </c>
      <c r="E298" s="33" t="n">
        <v>746.3</v>
      </c>
      <c r="F298" s="33" t="n">
        <f aca="false">E298-E297</f>
        <v>146.5</v>
      </c>
      <c r="G298" s="33" t="n">
        <v>12.24</v>
      </c>
      <c r="H298" s="33" t="n">
        <f aca="false">G298-G297</f>
        <v>2.61</v>
      </c>
      <c r="I298" s="33" t="n">
        <v>168</v>
      </c>
      <c r="J298" s="33" t="n">
        <f aca="false">I298-I297</f>
        <v>30</v>
      </c>
    </row>
    <row r="299" customFormat="false" ht="13.8" hidden="false" customHeight="false" outlineLevel="0" collapsed="false">
      <c r="A299" s="1" t="n">
        <v>298</v>
      </c>
      <c r="B299" s="32" t="n">
        <v>45589</v>
      </c>
      <c r="C299" s="33" t="n">
        <v>17339</v>
      </c>
      <c r="D299" s="33" t="n">
        <f aca="false">C299-C298</f>
        <v>-141</v>
      </c>
      <c r="E299" s="33" t="n">
        <v>727.1</v>
      </c>
      <c r="F299" s="33" t="n">
        <f aca="false">E299-E298</f>
        <v>-19.1999999999999</v>
      </c>
      <c r="G299" s="33" t="n">
        <v>12.14</v>
      </c>
      <c r="H299" s="33" t="n">
        <f aca="false">G299-G298</f>
        <v>-0.0999999999999996</v>
      </c>
      <c r="I299" s="33" t="n">
        <v>157</v>
      </c>
      <c r="J299" s="33" t="n">
        <f aca="false">I299-I298</f>
        <v>-11</v>
      </c>
    </row>
    <row r="300" customFormat="false" ht="13.8" hidden="false" customHeight="false" outlineLevel="0" collapsed="false">
      <c r="A300" s="33" t="n">
        <v>299</v>
      </c>
      <c r="B300" s="32" t="n">
        <v>45590</v>
      </c>
      <c r="C300" s="33" t="n">
        <v>10171</v>
      </c>
      <c r="D300" s="33" t="n">
        <f aca="false">C300-C299</f>
        <v>-7168</v>
      </c>
      <c r="E300" s="33" t="n">
        <v>431.6</v>
      </c>
      <c r="F300" s="33" t="n">
        <f aca="false">E300-E299</f>
        <v>-295.5</v>
      </c>
      <c r="G300" s="33" t="n">
        <v>7.12</v>
      </c>
      <c r="H300" s="33" t="n">
        <f aca="false">G300-G299</f>
        <v>-5.02</v>
      </c>
      <c r="I300" s="33" t="n">
        <v>96</v>
      </c>
      <c r="J300" s="33" t="n">
        <f aca="false">I300-I299</f>
        <v>-61</v>
      </c>
    </row>
    <row r="301" customFormat="false" ht="13.8" hidden="false" customHeight="false" outlineLevel="0" collapsed="false">
      <c r="A301" s="1" t="n">
        <v>300</v>
      </c>
      <c r="B301" s="32" t="n">
        <v>45591</v>
      </c>
      <c r="C301" s="33" t="n">
        <v>7863</v>
      </c>
      <c r="D301" s="33" t="n">
        <f aca="false">C301-C300</f>
        <v>-2308</v>
      </c>
      <c r="E301" s="33" t="n">
        <v>336.1</v>
      </c>
      <c r="F301" s="33" t="n">
        <f aca="false">E301-E300</f>
        <v>-95.5</v>
      </c>
      <c r="G301" s="33" t="n">
        <v>5.5</v>
      </c>
      <c r="H301" s="33" t="n">
        <f aca="false">G301-G300</f>
        <v>-1.62</v>
      </c>
      <c r="I301" s="33" t="n">
        <v>75</v>
      </c>
      <c r="J301" s="33" t="n">
        <f aca="false">I301-I300</f>
        <v>-21</v>
      </c>
    </row>
    <row r="302" customFormat="false" ht="13.8" hidden="false" customHeight="false" outlineLevel="0" collapsed="false">
      <c r="A302" s="33" t="n">
        <v>301</v>
      </c>
      <c r="B302" s="32" t="n">
        <v>45592</v>
      </c>
      <c r="C302" s="33" t="n">
        <v>18117</v>
      </c>
      <c r="D302" s="33" t="n">
        <f aca="false">C302-C301</f>
        <v>10254</v>
      </c>
      <c r="E302" s="33" t="n">
        <v>775.7</v>
      </c>
      <c r="F302" s="33" t="n">
        <f aca="false">E302-E301</f>
        <v>439.6</v>
      </c>
      <c r="G302" s="33" t="n">
        <v>12.68</v>
      </c>
      <c r="H302" s="33" t="n">
        <f aca="false">G302-G301</f>
        <v>7.18</v>
      </c>
      <c r="I302" s="33" t="n">
        <v>176</v>
      </c>
      <c r="J302" s="33" t="n">
        <f aca="false">I302-I301</f>
        <v>101</v>
      </c>
    </row>
    <row r="303" customFormat="false" ht="13.8" hidden="false" customHeight="false" outlineLevel="0" collapsed="false">
      <c r="A303" s="1" t="n">
        <v>302</v>
      </c>
      <c r="B303" s="32" t="n">
        <v>45593</v>
      </c>
      <c r="C303" s="33" t="n">
        <v>11639</v>
      </c>
      <c r="D303" s="33" t="n">
        <f aca="false">C303-C302</f>
        <v>-6478</v>
      </c>
      <c r="E303" s="33" t="n">
        <v>494.2</v>
      </c>
      <c r="F303" s="33" t="n">
        <f aca="false">E303-E302</f>
        <v>-281.5</v>
      </c>
      <c r="G303" s="33" t="n">
        <v>8.15</v>
      </c>
      <c r="H303" s="33" t="n">
        <f aca="false">G303-G302</f>
        <v>-4.53</v>
      </c>
      <c r="I303" s="33" t="n">
        <v>110</v>
      </c>
      <c r="J303" s="33" t="n">
        <f aca="false">I303-I302</f>
        <v>-66</v>
      </c>
    </row>
    <row r="304" customFormat="false" ht="13.8" hidden="false" customHeight="false" outlineLevel="0" collapsed="false">
      <c r="A304" s="33" t="n">
        <v>303</v>
      </c>
      <c r="B304" s="32" t="n">
        <v>45594</v>
      </c>
      <c r="C304" s="33" t="n">
        <v>11023</v>
      </c>
      <c r="D304" s="33" t="n">
        <f aca="false">C304-C303</f>
        <v>-616</v>
      </c>
      <c r="E304" s="33" t="n">
        <v>465.5</v>
      </c>
      <c r="F304" s="33" t="n">
        <f aca="false">E304-E303</f>
        <v>-28.7</v>
      </c>
      <c r="G304" s="33" t="n">
        <v>7.72</v>
      </c>
      <c r="H304" s="33" t="n">
        <f aca="false">G304-G303</f>
        <v>-0.430000000000001</v>
      </c>
      <c r="I304" s="33" t="n">
        <v>102</v>
      </c>
      <c r="J304" s="33" t="n">
        <f aca="false">I304-I303</f>
        <v>-8</v>
      </c>
    </row>
    <row r="305" customFormat="false" ht="13.8" hidden="false" customHeight="false" outlineLevel="0" collapsed="false">
      <c r="A305" s="1" t="n">
        <v>304</v>
      </c>
      <c r="B305" s="32" t="n">
        <v>45595</v>
      </c>
      <c r="C305" s="33" t="n">
        <v>15066</v>
      </c>
      <c r="D305" s="33" t="n">
        <f aca="false">C305-C304</f>
        <v>4043</v>
      </c>
      <c r="E305" s="33" t="n">
        <v>637.2</v>
      </c>
      <c r="F305" s="33" t="n">
        <f aca="false">E305-E304</f>
        <v>171.7</v>
      </c>
      <c r="G305" s="33" t="n">
        <v>10.55</v>
      </c>
      <c r="H305" s="33" t="n">
        <f aca="false">G305-G304</f>
        <v>2.83</v>
      </c>
      <c r="I305" s="33" t="n">
        <v>140</v>
      </c>
      <c r="J305" s="33" t="n">
        <f aca="false">I305-I304</f>
        <v>38</v>
      </c>
    </row>
    <row r="306" customFormat="false" ht="13.8" hidden="false" customHeight="false" outlineLevel="0" collapsed="false">
      <c r="A306" s="33" t="n">
        <v>305</v>
      </c>
      <c r="B306" s="32" t="n">
        <v>45596</v>
      </c>
      <c r="C306" s="33" t="n">
        <v>6615</v>
      </c>
      <c r="D306" s="33" t="n">
        <f aca="false">C306-C305</f>
        <v>-8451</v>
      </c>
      <c r="E306" s="33" t="n">
        <v>276.9</v>
      </c>
      <c r="F306" s="33" t="n">
        <f aca="false">E306-E305</f>
        <v>-360.3</v>
      </c>
      <c r="G306" s="33" t="n">
        <v>4.63</v>
      </c>
      <c r="H306" s="33" t="n">
        <f aca="false">G306-G305</f>
        <v>-5.92</v>
      </c>
      <c r="I306" s="33" t="n">
        <v>60</v>
      </c>
      <c r="J306" s="33" t="n">
        <f aca="false">I306-I305</f>
        <v>-80</v>
      </c>
    </row>
    <row r="307" customFormat="false" ht="13.8" hidden="false" customHeight="false" outlineLevel="0" collapsed="false">
      <c r="A307" s="1" t="n">
        <v>306</v>
      </c>
      <c r="B307" s="32" t="n">
        <v>45597</v>
      </c>
      <c r="C307" s="33" t="n">
        <v>9827</v>
      </c>
      <c r="D307" s="33" t="n">
        <f aca="false">C307-C306</f>
        <v>3212</v>
      </c>
      <c r="E307" s="33" t="n">
        <v>418.4</v>
      </c>
      <c r="F307" s="33" t="n">
        <f aca="false">E307-E306</f>
        <v>141.5</v>
      </c>
      <c r="G307" s="33" t="n">
        <v>6.88</v>
      </c>
      <c r="H307" s="33" t="n">
        <f aca="false">G307-G306</f>
        <v>2.25</v>
      </c>
      <c r="I307" s="33" t="n">
        <v>93</v>
      </c>
      <c r="J307" s="33" t="n">
        <f aca="false">I307-I306</f>
        <v>33</v>
      </c>
      <c r="L307" s="34" t="s">
        <v>2</v>
      </c>
      <c r="M307" s="34" t="s">
        <v>179</v>
      </c>
      <c r="N307" s="34" t="s">
        <v>175</v>
      </c>
      <c r="O307" s="34" t="s">
        <v>177</v>
      </c>
    </row>
    <row r="308" customFormat="false" ht="13.8" hidden="false" customHeight="false" outlineLevel="0" collapsed="false">
      <c r="A308" s="33" t="n">
        <v>307</v>
      </c>
      <c r="B308" s="32" t="n">
        <v>45598</v>
      </c>
      <c r="C308" s="33" t="n">
        <v>13862</v>
      </c>
      <c r="D308" s="33" t="n">
        <f aca="false">C308-C307</f>
        <v>4035</v>
      </c>
      <c r="E308" s="33" t="n">
        <v>595.8</v>
      </c>
      <c r="F308" s="33" t="n">
        <f aca="false">E308-E307</f>
        <v>177.4</v>
      </c>
      <c r="G308" s="33" t="n">
        <v>9.7</v>
      </c>
      <c r="H308" s="33" t="n">
        <f aca="false">G308-G307</f>
        <v>2.82</v>
      </c>
      <c r="I308" s="33" t="n">
        <v>136</v>
      </c>
      <c r="J308" s="33" t="n">
        <f aca="false">I308-I307</f>
        <v>43</v>
      </c>
      <c r="K308" s="2" t="s">
        <v>8</v>
      </c>
      <c r="L308" s="2" t="n">
        <f aca="false">AVERAGE($C$307:$C$336)</f>
        <v>14086.7666666667</v>
      </c>
      <c r="M308" s="2" t="n">
        <f aca="false">AVERAGE($E$307:$E$336)</f>
        <v>598.706666666667</v>
      </c>
      <c r="N308" s="2" t="n">
        <f aca="false">AVERAGE($G$307:$G$336)</f>
        <v>9.86166666666667</v>
      </c>
      <c r="O308" s="2" t="n">
        <f aca="false">AVERAGE($I$307:$I$336)</f>
        <v>133.166666666667</v>
      </c>
    </row>
    <row r="309" customFormat="false" ht="13.8" hidden="false" customHeight="false" outlineLevel="0" collapsed="false">
      <c r="A309" s="1" t="n">
        <v>308</v>
      </c>
      <c r="B309" s="32" t="n">
        <v>45599</v>
      </c>
      <c r="C309" s="33" t="n">
        <v>13377</v>
      </c>
      <c r="D309" s="33" t="n">
        <f aca="false">C309-C308</f>
        <v>-485</v>
      </c>
      <c r="E309" s="33" t="n">
        <v>568.2</v>
      </c>
      <c r="F309" s="33" t="n">
        <f aca="false">E309-E308</f>
        <v>-27.5999999999999</v>
      </c>
      <c r="G309" s="33" t="n">
        <v>9.36</v>
      </c>
      <c r="H309" s="33" t="n">
        <f aca="false">G309-G308</f>
        <v>-0.34</v>
      </c>
      <c r="I309" s="33" t="n">
        <v>126</v>
      </c>
      <c r="J309" s="33" t="n">
        <f aca="false">I309-I308</f>
        <v>-10</v>
      </c>
      <c r="K309" s="2" t="s">
        <v>10</v>
      </c>
      <c r="L309" s="2" t="n">
        <f aca="false">SQRT(VAR($C$307:$C$336)/COUNT($C$307:$C$336))</f>
        <v>879.539333033202</v>
      </c>
      <c r="M309" s="2" t="n">
        <f aca="false">SQRT(VAR($E$307:$E$336)/COUNT($E$307:$E$336))</f>
        <v>36.8594824535464</v>
      </c>
      <c r="N309" s="2" t="n">
        <f aca="false">SQRT(VAR($G$307:$G$336)/COUNT($G$307:$G$336))</f>
        <v>0.615668048215814</v>
      </c>
      <c r="O309" s="2" t="n">
        <f aca="false">SQRT(VAR($I$307:$I$336)/COUNT($I$307:$I$336))</f>
        <v>8.08874389369436</v>
      </c>
    </row>
    <row r="310" customFormat="false" ht="13.8" hidden="false" customHeight="false" outlineLevel="0" collapsed="false">
      <c r="A310" s="33" t="n">
        <v>309</v>
      </c>
      <c r="B310" s="32" t="n">
        <v>45600</v>
      </c>
      <c r="C310" s="33" t="n">
        <v>24629</v>
      </c>
      <c r="D310" s="33" t="n">
        <f aca="false">C310-C309</f>
        <v>11252</v>
      </c>
      <c r="E310" s="33" t="n">
        <v>1058.3</v>
      </c>
      <c r="F310" s="33" t="n">
        <f aca="false">E310-E309</f>
        <v>490.1</v>
      </c>
      <c r="G310" s="33" t="n">
        <v>17.24</v>
      </c>
      <c r="H310" s="33" t="n">
        <f aca="false">G310-G309</f>
        <v>7.88</v>
      </c>
      <c r="I310" s="33" t="n">
        <v>241</v>
      </c>
      <c r="J310" s="33" t="n">
        <f aca="false">I310-I309</f>
        <v>115</v>
      </c>
      <c r="K310" s="2" t="s">
        <v>14</v>
      </c>
      <c r="L310" s="2" t="e">
        <f aca="false">MODE($C$307:$C$336)</f>
        <v>#VALUE!</v>
      </c>
      <c r="M310" s="2" t="e">
        <f aca="false">MODE($E$307:$E$336)</f>
        <v>#VALUE!</v>
      </c>
      <c r="N310" s="2" t="n">
        <f aca="false">MODE($G$307:$G$336)</f>
        <v>12.92</v>
      </c>
      <c r="O310" s="2" t="n">
        <f aca="false">MODE($I$307:$I$336)</f>
        <v>128</v>
      </c>
    </row>
    <row r="311" customFormat="false" ht="13.8" hidden="false" customHeight="false" outlineLevel="0" collapsed="false">
      <c r="A311" s="1" t="n">
        <v>310</v>
      </c>
      <c r="B311" s="32" t="n">
        <v>45601</v>
      </c>
      <c r="C311" s="33" t="n">
        <v>13381</v>
      </c>
      <c r="D311" s="33" t="n">
        <f aca="false">C311-C310</f>
        <v>-11248</v>
      </c>
      <c r="E311" s="33" t="n">
        <v>570.4</v>
      </c>
      <c r="F311" s="33" t="n">
        <f aca="false">E311-E310</f>
        <v>-487.9</v>
      </c>
      <c r="G311" s="33" t="n">
        <v>9.37</v>
      </c>
      <c r="H311" s="33" t="n">
        <f aca="false">G311-G310</f>
        <v>-7.87</v>
      </c>
      <c r="I311" s="33" t="n">
        <v>128</v>
      </c>
      <c r="J311" s="33" t="n">
        <f aca="false">I311-I310</f>
        <v>-113</v>
      </c>
      <c r="K311" s="2" t="s">
        <v>12</v>
      </c>
      <c r="L311" s="2" t="n">
        <f aca="false">MEDIAN($C$307:$C$336)</f>
        <v>14796</v>
      </c>
      <c r="M311" s="2" t="n">
        <f aca="false">MEDIAN($E$307:$E$336)</f>
        <v>626.55</v>
      </c>
      <c r="N311" s="2" t="n">
        <f aca="false">MEDIAN($G$307:$G$336)</f>
        <v>10.36</v>
      </c>
      <c r="O311" s="2" t="n">
        <f aca="false">MEDIAN($I$307:$I$336)</f>
        <v>139</v>
      </c>
    </row>
    <row r="312" customFormat="false" ht="13.8" hidden="false" customHeight="false" outlineLevel="0" collapsed="false">
      <c r="A312" s="33" t="n">
        <v>311</v>
      </c>
      <c r="B312" s="32" t="n">
        <v>45602</v>
      </c>
      <c r="C312" s="33" t="n">
        <v>20808</v>
      </c>
      <c r="D312" s="33" t="n">
        <f aca="false">C312-C311</f>
        <v>7427</v>
      </c>
      <c r="E312" s="33" t="n">
        <v>875.8</v>
      </c>
      <c r="F312" s="33" t="n">
        <f aca="false">E312-E311</f>
        <v>305.4</v>
      </c>
      <c r="G312" s="33" t="n">
        <v>14.57</v>
      </c>
      <c r="H312" s="33" t="n">
        <f aca="false">G312-G311</f>
        <v>5.2</v>
      </c>
      <c r="I312" s="33" t="n">
        <v>192</v>
      </c>
      <c r="J312" s="33" t="n">
        <f aca="false">I312-I311</f>
        <v>64</v>
      </c>
      <c r="K312" s="2" t="s">
        <v>195</v>
      </c>
      <c r="L312" s="2" t="n">
        <f aca="false">QUARTILE($C$307:$C$336, 1)</f>
        <v>9770</v>
      </c>
      <c r="M312" s="2" t="n">
        <f aca="false">QUARTILE($E$307:$E$336, 1)</f>
        <v>420.55</v>
      </c>
      <c r="N312" s="2" t="n">
        <f aca="false">QUARTILE($G$307:$G$336, 1)</f>
        <v>6.8425</v>
      </c>
      <c r="O312" s="2" t="n">
        <f aca="false">QUARTILE($I$307:$I$336, 1)</f>
        <v>94.5</v>
      </c>
    </row>
    <row r="313" customFormat="false" ht="13.8" hidden="false" customHeight="false" outlineLevel="0" collapsed="false">
      <c r="A313" s="1" t="n">
        <v>312</v>
      </c>
      <c r="B313" s="32" t="n">
        <v>45603</v>
      </c>
      <c r="C313" s="33" t="n">
        <v>14526</v>
      </c>
      <c r="D313" s="33" t="n">
        <f aca="false">C313-C312</f>
        <v>-6282</v>
      </c>
      <c r="E313" s="33" t="n">
        <v>605</v>
      </c>
      <c r="F313" s="33" t="n">
        <f aca="false">E313-E312</f>
        <v>-270.8</v>
      </c>
      <c r="G313" s="33" t="n">
        <v>10.17</v>
      </c>
      <c r="H313" s="33" t="n">
        <f aca="false">G313-G312</f>
        <v>-4.4</v>
      </c>
      <c r="I313" s="33" t="n">
        <v>128</v>
      </c>
      <c r="J313" s="33" t="n">
        <f aca="false">I313-I312</f>
        <v>-64</v>
      </c>
      <c r="K313" s="2" t="s">
        <v>181</v>
      </c>
      <c r="L313" s="2" t="n">
        <f aca="false">QUARTILE($C$307:$C$336, 3)</f>
        <v>16342.5</v>
      </c>
      <c r="M313" s="2" t="n">
        <f aca="false">QUARTILE($E$307:$E$336, 3)</f>
        <v>692.025</v>
      </c>
      <c r="N313" s="2" t="n">
        <f aca="false">QUARTILE($G$307:$G$336, 3)</f>
        <v>11.4375</v>
      </c>
      <c r="O313" s="2" t="n">
        <f aca="false">QUARTILE($I$307:$I$336, 3)</f>
        <v>153.5</v>
      </c>
    </row>
    <row r="314" customFormat="false" ht="13.8" hidden="false" customHeight="false" outlineLevel="0" collapsed="false">
      <c r="A314" s="33" t="n">
        <v>313</v>
      </c>
      <c r="B314" s="32" t="n">
        <v>45604</v>
      </c>
      <c r="C314" s="33" t="n">
        <v>15900</v>
      </c>
      <c r="D314" s="33" t="n">
        <f aca="false">C314-C313</f>
        <v>1374</v>
      </c>
      <c r="E314" s="33" t="n">
        <v>681.9</v>
      </c>
      <c r="F314" s="33" t="n">
        <f aca="false">E314-E313</f>
        <v>76.9</v>
      </c>
      <c r="G314" s="33" t="n">
        <v>11.13</v>
      </c>
      <c r="H314" s="33" t="n">
        <f aca="false">G314-G313</f>
        <v>0.960000000000001</v>
      </c>
      <c r="I314" s="33" t="n">
        <v>155</v>
      </c>
      <c r="J314" s="33" t="n">
        <f aca="false">I314-I313</f>
        <v>27</v>
      </c>
      <c r="K314" s="2" t="s">
        <v>182</v>
      </c>
      <c r="L314" s="2" t="n">
        <f aca="false">VAR($C$307:$C$336)</f>
        <v>23207683.1505747</v>
      </c>
      <c r="M314" s="2" t="n">
        <f aca="false">VAR($E$307:$E$336)</f>
        <v>40758.6434022989</v>
      </c>
      <c r="N314" s="2" t="n">
        <f aca="false">VAR($G$307:$G$336)</f>
        <v>11.3714143678161</v>
      </c>
      <c r="O314" s="2" t="n">
        <f aca="false">VAR($I$307:$I$336)</f>
        <v>1962.83333333333</v>
      </c>
    </row>
    <row r="315" customFormat="false" ht="13.8" hidden="false" customHeight="false" outlineLevel="0" collapsed="false">
      <c r="A315" s="1" t="n">
        <v>314</v>
      </c>
      <c r="B315" s="32" t="n">
        <v>45605</v>
      </c>
      <c r="C315" s="33" t="n">
        <v>9751</v>
      </c>
      <c r="D315" s="33" t="n">
        <f aca="false">C315-C314</f>
        <v>-6149</v>
      </c>
      <c r="E315" s="33" t="n">
        <v>427</v>
      </c>
      <c r="F315" s="33" t="n">
        <f aca="false">E315-E314</f>
        <v>-254.9</v>
      </c>
      <c r="G315" s="33" t="n">
        <v>6.83</v>
      </c>
      <c r="H315" s="33" t="n">
        <f aca="false">G315-G314</f>
        <v>-4.3</v>
      </c>
      <c r="I315" s="33" t="n">
        <v>99</v>
      </c>
      <c r="J315" s="33" t="n">
        <f aca="false">I315-I314</f>
        <v>-56</v>
      </c>
      <c r="K315" s="2" t="s">
        <v>16</v>
      </c>
      <c r="L315" s="2" t="n">
        <f aca="false">STDEV($C$307:$C$336)</f>
        <v>4817.43532915334</v>
      </c>
      <c r="M315" s="2" t="n">
        <f aca="false">STDEV($E$307:$E$336)</f>
        <v>201.887699977732</v>
      </c>
      <c r="N315" s="2" t="n">
        <f aca="false">STDEV($G$307:$G$336)</f>
        <v>3.37215277942979</v>
      </c>
      <c r="O315" s="2" t="n">
        <f aca="false">STDEV($I$307:$I$336)</f>
        <v>44.3038749245857</v>
      </c>
    </row>
    <row r="316" customFormat="false" ht="13.8" hidden="false" customHeight="false" outlineLevel="0" collapsed="false">
      <c r="A316" s="33" t="n">
        <v>315</v>
      </c>
      <c r="B316" s="32" t="n">
        <v>45606</v>
      </c>
      <c r="C316" s="33" t="n">
        <v>8938</v>
      </c>
      <c r="D316" s="33" t="n">
        <f aca="false">C316-C315</f>
        <v>-813</v>
      </c>
      <c r="E316" s="33" t="n">
        <v>390.1</v>
      </c>
      <c r="F316" s="33" t="n">
        <f aca="false">E316-E315</f>
        <v>-36.9</v>
      </c>
      <c r="G316" s="33" t="n">
        <v>6.26</v>
      </c>
      <c r="H316" s="33" t="n">
        <f aca="false">G316-G315</f>
        <v>-0.57</v>
      </c>
      <c r="I316" s="33" t="n">
        <v>91</v>
      </c>
      <c r="J316" s="33" t="n">
        <f aca="false">I316-I315</f>
        <v>-8</v>
      </c>
      <c r="K316" s="2" t="s">
        <v>20</v>
      </c>
      <c r="L316" s="2" t="n">
        <f aca="false">KURT($C$307:$C$336)</f>
        <v>-0.391509540899417</v>
      </c>
      <c r="M316" s="2" t="n">
        <f aca="false">KURT($E$307:$E$336)</f>
        <v>-0.281241776548267</v>
      </c>
      <c r="N316" s="2" t="n">
        <f aca="false">KURT($G$307:$G$336)</f>
        <v>-0.391136222894914</v>
      </c>
      <c r="O316" s="2" t="n">
        <f aca="false">KURT($I$307:$I$336)</f>
        <v>-0.0458770517194229</v>
      </c>
    </row>
    <row r="317" customFormat="false" ht="13.8" hidden="false" customHeight="false" outlineLevel="0" collapsed="false">
      <c r="A317" s="1" t="n">
        <v>316</v>
      </c>
      <c r="B317" s="32" t="n">
        <v>45607</v>
      </c>
      <c r="C317" s="33" t="n">
        <v>15856</v>
      </c>
      <c r="D317" s="33" t="n">
        <f aca="false">C317-C316</f>
        <v>6918</v>
      </c>
      <c r="E317" s="33" t="n">
        <v>671.9</v>
      </c>
      <c r="F317" s="33" t="n">
        <f aca="false">E317-E316</f>
        <v>281.8</v>
      </c>
      <c r="G317" s="33" t="n">
        <v>11.1</v>
      </c>
      <c r="H317" s="33" t="n">
        <f aca="false">G317-G316</f>
        <v>4.84</v>
      </c>
      <c r="I317" s="33" t="n">
        <v>149</v>
      </c>
      <c r="J317" s="33" t="n">
        <f aca="false">I317-I316</f>
        <v>58</v>
      </c>
      <c r="K317" s="2" t="s">
        <v>22</v>
      </c>
      <c r="L317" s="2" t="n">
        <f aca="false">SKEW($C$307:$C$336)</f>
        <v>0.131948842357474</v>
      </c>
      <c r="M317" s="2" t="n">
        <f aca="false">SKEW($E$307:$E$336)</f>
        <v>0.182879331464178</v>
      </c>
      <c r="N317" s="2" t="n">
        <f aca="false">SKEW($G$307:$G$336)</f>
        <v>0.132207369529052</v>
      </c>
      <c r="O317" s="2" t="n">
        <f aca="false">SKEW($I$307:$I$336)</f>
        <v>0.30743047480391</v>
      </c>
    </row>
    <row r="318" customFormat="false" ht="13.8" hidden="false" customHeight="false" outlineLevel="0" collapsed="false">
      <c r="A318" s="33" t="n">
        <v>317</v>
      </c>
      <c r="B318" s="32" t="n">
        <v>45608</v>
      </c>
      <c r="C318" s="33" t="n">
        <v>15910</v>
      </c>
      <c r="D318" s="33" t="n">
        <f aca="false">C318-C317</f>
        <v>54</v>
      </c>
      <c r="E318" s="33" t="n">
        <v>664.3</v>
      </c>
      <c r="F318" s="33" t="n">
        <f aca="false">E318-E317</f>
        <v>-7.60000000000002</v>
      </c>
      <c r="G318" s="33" t="n">
        <v>11.14</v>
      </c>
      <c r="H318" s="33" t="n">
        <f aca="false">G318-G317</f>
        <v>0.0400000000000009</v>
      </c>
      <c r="I318" s="33" t="n">
        <v>142</v>
      </c>
      <c r="J318" s="33" t="n">
        <f aca="false">I318-I317</f>
        <v>-7</v>
      </c>
      <c r="K318" s="2" t="s">
        <v>24</v>
      </c>
      <c r="L318" s="2" t="n">
        <f aca="false">MAX($C$307:$C$336)-MIN($C$307:$C$336)</f>
        <v>18589</v>
      </c>
      <c r="M318" s="2" t="n">
        <f aca="false">MAX($E$307:$E$336)-MIN($E$307:$E$336)</f>
        <v>795.5</v>
      </c>
      <c r="N318" s="2" t="n">
        <f aca="false">MAX($G$307:$G$336)-MIN($G$307:$G$336)</f>
        <v>13.01</v>
      </c>
      <c r="O318" s="2" t="n">
        <f aca="false">MAX($I$307:$I$336)-MIN($I$307:$I$336)</f>
        <v>180</v>
      </c>
    </row>
    <row r="319" customFormat="false" ht="13.8" hidden="false" customHeight="false" outlineLevel="0" collapsed="false">
      <c r="A319" s="1" t="n">
        <v>318</v>
      </c>
      <c r="B319" s="32" t="n">
        <v>45609</v>
      </c>
      <c r="C319" s="33" t="n">
        <v>19374</v>
      </c>
      <c r="D319" s="33" t="n">
        <f aca="false">C319-C318</f>
        <v>3464</v>
      </c>
      <c r="E319" s="33" t="n">
        <v>810.1</v>
      </c>
      <c r="F319" s="33" t="n">
        <f aca="false">E319-E318</f>
        <v>145.8</v>
      </c>
      <c r="G319" s="33" t="n">
        <v>13.56</v>
      </c>
      <c r="H319" s="33" t="n">
        <f aca="false">G319-G318</f>
        <v>2.42</v>
      </c>
      <c r="I319" s="33" t="n">
        <v>175</v>
      </c>
      <c r="J319" s="33" t="n">
        <f aca="false">I319-I318</f>
        <v>33</v>
      </c>
      <c r="K319" s="2" t="s">
        <v>26</v>
      </c>
      <c r="L319" s="2" t="n">
        <f aca="false">MIN($C$307:$C$336)</f>
        <v>6040</v>
      </c>
      <c r="M319" s="2" t="n">
        <f aca="false">MIN($E$307:$E$336)</f>
        <v>262.8</v>
      </c>
      <c r="N319" s="2" t="n">
        <f aca="false">MIN($G$307:$G$336)</f>
        <v>4.23</v>
      </c>
      <c r="O319" s="2" t="n">
        <f aca="false">MIN($I$307:$I$336)</f>
        <v>61</v>
      </c>
    </row>
    <row r="320" customFormat="false" ht="13.8" hidden="false" customHeight="false" outlineLevel="0" collapsed="false">
      <c r="A320" s="33" t="n">
        <v>319</v>
      </c>
      <c r="B320" s="32" t="n">
        <v>45610</v>
      </c>
      <c r="C320" s="33" t="n">
        <v>15352</v>
      </c>
      <c r="D320" s="33" t="n">
        <f aca="false">C320-C319</f>
        <v>-4022</v>
      </c>
      <c r="E320" s="33" t="n">
        <v>648.1</v>
      </c>
      <c r="F320" s="33" t="n">
        <f aca="false">E320-E319</f>
        <v>-162</v>
      </c>
      <c r="G320" s="33" t="n">
        <v>10.75</v>
      </c>
      <c r="H320" s="33" t="n">
        <f aca="false">G320-G319</f>
        <v>-2.81</v>
      </c>
      <c r="I320" s="33" t="n">
        <v>142</v>
      </c>
      <c r="J320" s="33" t="n">
        <f aca="false">I320-I319</f>
        <v>-33</v>
      </c>
      <c r="K320" s="2" t="s">
        <v>28</v>
      </c>
      <c r="L320" s="2" t="n">
        <f aca="false">MAX($C$307:$C$336)</f>
        <v>24629</v>
      </c>
      <c r="M320" s="2" t="n">
        <f aca="false">MAX($E$307:$E$336)</f>
        <v>1058.3</v>
      </c>
      <c r="N320" s="2" t="n">
        <f aca="false">MAX($G$307:$G$336)</f>
        <v>17.24</v>
      </c>
      <c r="O320" s="2" t="n">
        <f aca="false">MAX($I$307:$I$336)</f>
        <v>241</v>
      </c>
    </row>
    <row r="321" customFormat="false" ht="13.8" hidden="false" customHeight="false" outlineLevel="0" collapsed="false">
      <c r="A321" s="1" t="n">
        <v>320</v>
      </c>
      <c r="B321" s="32" t="n">
        <v>45611</v>
      </c>
      <c r="C321" s="33" t="n">
        <v>16732</v>
      </c>
      <c r="D321" s="33" t="n">
        <f aca="false">C321-C320</f>
        <v>1380</v>
      </c>
      <c r="E321" s="33" t="n">
        <v>699.9</v>
      </c>
      <c r="F321" s="33" t="n">
        <f aca="false">E321-E320</f>
        <v>51.8</v>
      </c>
      <c r="G321" s="33" t="n">
        <v>11.71</v>
      </c>
      <c r="H321" s="33" t="n">
        <f aca="false">G321-G320</f>
        <v>0.960000000000001</v>
      </c>
      <c r="I321" s="33" t="n">
        <v>150</v>
      </c>
      <c r="J321" s="33" t="n">
        <f aca="false">I321-I320</f>
        <v>8</v>
      </c>
      <c r="K321" s="2" t="s">
        <v>30</v>
      </c>
      <c r="L321" s="2" t="n">
        <f aca="false">SUM($C$307:$C$336)</f>
        <v>422603</v>
      </c>
      <c r="M321" s="2" t="n">
        <f aca="false">SUM($E$307:$E$336)</f>
        <v>17961.2</v>
      </c>
      <c r="N321" s="2" t="n">
        <f aca="false">SUM($G$307:$G$336)</f>
        <v>295.85</v>
      </c>
      <c r="O321" s="2" t="n">
        <f aca="false">SUM($I$307:$I$336)</f>
        <v>3995</v>
      </c>
    </row>
    <row r="322" customFormat="false" ht="13.8" hidden="false" customHeight="false" outlineLevel="0" collapsed="false">
      <c r="A322" s="33" t="n">
        <v>321</v>
      </c>
      <c r="B322" s="32" t="n">
        <v>45612</v>
      </c>
      <c r="C322" s="33" t="n">
        <v>7421</v>
      </c>
      <c r="D322" s="33" t="n">
        <f aca="false">C322-C321</f>
        <v>-9311</v>
      </c>
      <c r="E322" s="33" t="n">
        <v>315.2</v>
      </c>
      <c r="F322" s="33" t="n">
        <f aca="false">E322-E321</f>
        <v>-384.7</v>
      </c>
      <c r="G322" s="33" t="n">
        <v>5.19</v>
      </c>
      <c r="H322" s="33" t="n">
        <f aca="false">G322-G321</f>
        <v>-6.52</v>
      </c>
      <c r="I322" s="33" t="n">
        <v>70</v>
      </c>
      <c r="J322" s="33" t="n">
        <f aca="false">I322-I321</f>
        <v>-80</v>
      </c>
      <c r="K322" s="2" t="s">
        <v>32</v>
      </c>
      <c r="L322" s="2" t="n">
        <f aca="false">COUNT($C$307:$C$336)</f>
        <v>30</v>
      </c>
      <c r="M322" s="2" t="n">
        <f aca="false">COUNT($E$307:$E$336)</f>
        <v>30</v>
      </c>
      <c r="N322" s="2" t="n">
        <f aca="false">COUNT($G$307:$G$336)</f>
        <v>30</v>
      </c>
      <c r="O322" s="2" t="n">
        <f aca="false">COUNT($I$307:$I$336)</f>
        <v>30</v>
      </c>
    </row>
    <row r="323" customFormat="false" ht="13.8" hidden="false" customHeight="false" outlineLevel="0" collapsed="false">
      <c r="A323" s="1" t="n">
        <v>322</v>
      </c>
      <c r="B323" s="32" t="n">
        <v>45613</v>
      </c>
      <c r="C323" s="33" t="n">
        <v>16461</v>
      </c>
      <c r="D323" s="33" t="n">
        <f aca="false">C323-C322</f>
        <v>9040</v>
      </c>
      <c r="E323" s="33" t="n">
        <v>695.4</v>
      </c>
      <c r="F323" s="33" t="n">
        <f aca="false">E323-E322</f>
        <v>380.2</v>
      </c>
      <c r="G323" s="33" t="n">
        <v>11.52</v>
      </c>
      <c r="H323" s="33" t="n">
        <f aca="false">G323-G322</f>
        <v>6.33</v>
      </c>
      <c r="I323" s="33" t="n">
        <v>154</v>
      </c>
      <c r="J323" s="33" t="n">
        <f aca="false">I323-I322</f>
        <v>84</v>
      </c>
    </row>
    <row r="324" customFormat="false" ht="13.8" hidden="false" customHeight="false" outlineLevel="0" collapsed="false">
      <c r="A324" s="33" t="n">
        <v>323</v>
      </c>
      <c r="B324" s="32" t="n">
        <v>45614</v>
      </c>
      <c r="C324" s="33" t="n">
        <v>18451</v>
      </c>
      <c r="D324" s="33" t="n">
        <f aca="false">C324-C323</f>
        <v>1990</v>
      </c>
      <c r="E324" s="33" t="n">
        <v>781.5</v>
      </c>
      <c r="F324" s="33" t="n">
        <f aca="false">E324-E323</f>
        <v>86.1</v>
      </c>
      <c r="G324" s="33" t="n">
        <v>12.92</v>
      </c>
      <c r="H324" s="33" t="n">
        <f aca="false">G324-G323</f>
        <v>1.4</v>
      </c>
      <c r="I324" s="33" t="n">
        <v>173</v>
      </c>
      <c r="J324" s="33" t="n">
        <f aca="false">I324-I323</f>
        <v>19</v>
      </c>
    </row>
    <row r="325" customFormat="false" ht="13.8" hidden="false" customHeight="false" outlineLevel="0" collapsed="false">
      <c r="A325" s="1" t="n">
        <v>324</v>
      </c>
      <c r="B325" s="32" t="n">
        <v>45615</v>
      </c>
      <c r="C325" s="33" t="n">
        <v>13113</v>
      </c>
      <c r="D325" s="33" t="n">
        <f aca="false">C325-C324</f>
        <v>-5338</v>
      </c>
      <c r="E325" s="33" t="n">
        <v>552.3</v>
      </c>
      <c r="F325" s="33" t="n">
        <f aca="false">E325-E324</f>
        <v>-229.2</v>
      </c>
      <c r="G325" s="33" t="n">
        <v>9.18</v>
      </c>
      <c r="H325" s="33" t="n">
        <f aca="false">G325-G324</f>
        <v>-3.74</v>
      </c>
      <c r="I325" s="33" t="n">
        <v>121</v>
      </c>
      <c r="J325" s="33" t="n">
        <f aca="false">I325-I324</f>
        <v>-52</v>
      </c>
    </row>
    <row r="326" customFormat="false" ht="13.8" hidden="false" customHeight="false" outlineLevel="0" collapsed="false">
      <c r="A326" s="33" t="n">
        <v>325</v>
      </c>
      <c r="B326" s="32" t="n">
        <v>45616</v>
      </c>
      <c r="C326" s="33" t="n">
        <v>15066</v>
      </c>
      <c r="D326" s="33" t="n">
        <f aca="false">C326-C325</f>
        <v>1953</v>
      </c>
      <c r="E326" s="33" t="n">
        <v>656.4</v>
      </c>
      <c r="F326" s="33" t="n">
        <f aca="false">E326-E325</f>
        <v>104.1</v>
      </c>
      <c r="G326" s="33" t="n">
        <v>10.55</v>
      </c>
      <c r="H326" s="33" t="n">
        <f aca="false">G326-G325</f>
        <v>1.37</v>
      </c>
      <c r="I326" s="33" t="n">
        <v>152</v>
      </c>
      <c r="J326" s="33" t="n">
        <f aca="false">I326-I325</f>
        <v>31</v>
      </c>
    </row>
    <row r="327" customFormat="false" ht="13.8" hidden="false" customHeight="false" outlineLevel="0" collapsed="false">
      <c r="A327" s="1" t="n">
        <v>326</v>
      </c>
      <c r="B327" s="32" t="n">
        <v>45617</v>
      </c>
      <c r="C327" s="33" t="n">
        <v>7993</v>
      </c>
      <c r="D327" s="33" t="n">
        <f aca="false">C327-C326</f>
        <v>-7073</v>
      </c>
      <c r="E327" s="33" t="n">
        <v>346.8</v>
      </c>
      <c r="F327" s="33" t="n">
        <f aca="false">E327-E326</f>
        <v>-309.6</v>
      </c>
      <c r="G327" s="33" t="n">
        <v>5.6</v>
      </c>
      <c r="H327" s="33" t="n">
        <f aca="false">G327-G326</f>
        <v>-4.95</v>
      </c>
      <c r="I327" s="33" t="n">
        <v>80</v>
      </c>
      <c r="J327" s="33" t="n">
        <f aca="false">I327-I326</f>
        <v>-72</v>
      </c>
    </row>
    <row r="328" customFormat="false" ht="13.8" hidden="false" customHeight="false" outlineLevel="0" collapsed="false">
      <c r="A328" s="33" t="n">
        <v>327</v>
      </c>
      <c r="B328" s="32" t="n">
        <v>45618</v>
      </c>
      <c r="C328" s="33" t="n">
        <v>7761</v>
      </c>
      <c r="D328" s="33" t="n">
        <f aca="false">C328-C327</f>
        <v>-232</v>
      </c>
      <c r="E328" s="33" t="n">
        <v>327.2</v>
      </c>
      <c r="F328" s="33" t="n">
        <f aca="false">E328-E327</f>
        <v>-19.6</v>
      </c>
      <c r="G328" s="33" t="n">
        <v>5.43</v>
      </c>
      <c r="H328" s="33" t="n">
        <f aca="false">G328-G327</f>
        <v>-0.17</v>
      </c>
      <c r="I328" s="33" t="n">
        <v>72</v>
      </c>
      <c r="J328" s="33" t="n">
        <f aca="false">I328-I327</f>
        <v>-8</v>
      </c>
    </row>
    <row r="329" customFormat="false" ht="13.8" hidden="false" customHeight="false" outlineLevel="0" collapsed="false">
      <c r="A329" s="1" t="n">
        <v>328</v>
      </c>
      <c r="B329" s="32" t="n">
        <v>45619</v>
      </c>
      <c r="C329" s="33" t="n">
        <v>23110</v>
      </c>
      <c r="D329" s="33" t="n">
        <f aca="false">C329-C328</f>
        <v>15349</v>
      </c>
      <c r="E329" s="33" t="n">
        <v>976</v>
      </c>
      <c r="F329" s="33" t="n">
        <f aca="false">E329-E328</f>
        <v>648.8</v>
      </c>
      <c r="G329" s="33" t="n">
        <v>16.18</v>
      </c>
      <c r="H329" s="33" t="n">
        <f aca="false">G329-G328</f>
        <v>10.75</v>
      </c>
      <c r="I329" s="33" t="n">
        <v>216</v>
      </c>
      <c r="J329" s="33" t="n">
        <f aca="false">I329-I328</f>
        <v>144</v>
      </c>
    </row>
    <row r="330" customFormat="false" ht="13.8" hidden="false" customHeight="false" outlineLevel="0" collapsed="false">
      <c r="A330" s="33" t="n">
        <v>329</v>
      </c>
      <c r="B330" s="32" t="n">
        <v>45620</v>
      </c>
      <c r="C330" s="33" t="n">
        <v>18458</v>
      </c>
      <c r="D330" s="33" t="n">
        <f aca="false">C330-C329</f>
        <v>-4652</v>
      </c>
      <c r="E330" s="33" t="n">
        <v>785.7</v>
      </c>
      <c r="F330" s="33" t="n">
        <f aca="false">E330-E329</f>
        <v>-190.3</v>
      </c>
      <c r="G330" s="33" t="n">
        <v>12.92</v>
      </c>
      <c r="H330" s="33" t="n">
        <f aca="false">G330-G329</f>
        <v>-3.26</v>
      </c>
      <c r="I330" s="33" t="n">
        <v>177</v>
      </c>
      <c r="J330" s="33" t="n">
        <f aca="false">I330-I329</f>
        <v>-39</v>
      </c>
    </row>
    <row r="331" customFormat="false" ht="13.8" hidden="false" customHeight="false" outlineLevel="0" collapsed="false">
      <c r="A331" s="1" t="n">
        <v>330</v>
      </c>
      <c r="B331" s="32" t="n">
        <v>45621</v>
      </c>
      <c r="C331" s="33" t="n">
        <v>15987</v>
      </c>
      <c r="D331" s="33" t="n">
        <f aca="false">C331-C330</f>
        <v>-2471</v>
      </c>
      <c r="E331" s="33" t="n">
        <v>678</v>
      </c>
      <c r="F331" s="33" t="n">
        <f aca="false">E331-E330</f>
        <v>-107.7</v>
      </c>
      <c r="G331" s="33" t="n">
        <v>11.19</v>
      </c>
      <c r="H331" s="33" t="n">
        <f aca="false">G331-G330</f>
        <v>-1.73</v>
      </c>
      <c r="I331" s="33" t="n">
        <v>150</v>
      </c>
      <c r="J331" s="33" t="n">
        <f aca="false">I331-I330</f>
        <v>-27</v>
      </c>
    </row>
    <row r="332" customFormat="false" ht="13.8" hidden="false" customHeight="false" outlineLevel="0" collapsed="false">
      <c r="A332" s="33" t="n">
        <v>331</v>
      </c>
      <c r="B332" s="32" t="n">
        <v>45622</v>
      </c>
      <c r="C332" s="33" t="n">
        <v>15586</v>
      </c>
      <c r="D332" s="33" t="n">
        <f aca="false">C332-C331</f>
        <v>-401</v>
      </c>
      <c r="E332" s="33" t="n">
        <v>663.8</v>
      </c>
      <c r="F332" s="33" t="n">
        <f aca="false">E332-E331</f>
        <v>-14.2</v>
      </c>
      <c r="G332" s="33" t="n">
        <v>10.91</v>
      </c>
      <c r="H332" s="33" t="n">
        <f aca="false">G332-G331</f>
        <v>-0.279999999999999</v>
      </c>
      <c r="I332" s="33" t="n">
        <v>149</v>
      </c>
      <c r="J332" s="33" t="n">
        <f aca="false">I332-I331</f>
        <v>-1</v>
      </c>
    </row>
    <row r="333" customFormat="false" ht="13.8" hidden="false" customHeight="false" outlineLevel="0" collapsed="false">
      <c r="A333" s="1" t="n">
        <v>332</v>
      </c>
      <c r="B333" s="32" t="n">
        <v>45623</v>
      </c>
      <c r="C333" s="33" t="n">
        <v>13668</v>
      </c>
      <c r="D333" s="33" t="n">
        <f aca="false">C333-C332</f>
        <v>-1918</v>
      </c>
      <c r="E333" s="33" t="n">
        <v>569.1</v>
      </c>
      <c r="F333" s="33" t="n">
        <f aca="false">E333-E332</f>
        <v>-94.6999999999999</v>
      </c>
      <c r="G333" s="33" t="n">
        <v>9.57</v>
      </c>
      <c r="H333" s="33" t="n">
        <f aca="false">G333-G332</f>
        <v>-1.34</v>
      </c>
      <c r="I333" s="33" t="n">
        <v>119</v>
      </c>
      <c r="J333" s="33" t="n">
        <f aca="false">I333-I332</f>
        <v>-30</v>
      </c>
    </row>
    <row r="334" customFormat="false" ht="13.8" hidden="false" customHeight="false" outlineLevel="0" collapsed="false">
      <c r="A334" s="33" t="n">
        <v>333</v>
      </c>
      <c r="B334" s="32" t="n">
        <v>45624</v>
      </c>
      <c r="C334" s="33" t="n">
        <v>6040</v>
      </c>
      <c r="D334" s="33" t="n">
        <f aca="false">C334-C333</f>
        <v>-7628</v>
      </c>
      <c r="E334" s="33" t="n">
        <v>262.8</v>
      </c>
      <c r="F334" s="33" t="n">
        <f aca="false">E334-E333</f>
        <v>-306.3</v>
      </c>
      <c r="G334" s="33" t="n">
        <v>4.23</v>
      </c>
      <c r="H334" s="33" t="n">
        <f aca="false">G334-G333</f>
        <v>-5.34</v>
      </c>
      <c r="I334" s="33" t="n">
        <v>61</v>
      </c>
      <c r="J334" s="33" t="n">
        <f aca="false">I334-I333</f>
        <v>-58</v>
      </c>
    </row>
    <row r="335" customFormat="false" ht="13.8" hidden="false" customHeight="false" outlineLevel="0" collapsed="false">
      <c r="A335" s="1" t="n">
        <v>334</v>
      </c>
      <c r="B335" s="32" t="n">
        <v>45625</v>
      </c>
      <c r="C335" s="33" t="n">
        <v>8840</v>
      </c>
      <c r="D335" s="33" t="n">
        <f aca="false">C335-C334</f>
        <v>2800</v>
      </c>
      <c r="E335" s="33" t="n">
        <v>378.2</v>
      </c>
      <c r="F335" s="33" t="n">
        <f aca="false">E335-E334</f>
        <v>115.4</v>
      </c>
      <c r="G335" s="33" t="n">
        <v>6.19</v>
      </c>
      <c r="H335" s="33" t="n">
        <f aca="false">G335-G334</f>
        <v>1.96</v>
      </c>
      <c r="I335" s="33" t="n">
        <v>85</v>
      </c>
      <c r="J335" s="33" t="n">
        <f aca="false">I335-I334</f>
        <v>24</v>
      </c>
    </row>
    <row r="336" customFormat="false" ht="13.8" hidden="false" customHeight="false" outlineLevel="0" collapsed="false">
      <c r="A336" s="33" t="n">
        <v>335</v>
      </c>
      <c r="B336" s="32" t="n">
        <v>45626</v>
      </c>
      <c r="C336" s="33" t="n">
        <v>6425</v>
      </c>
      <c r="D336" s="33" t="n">
        <f aca="false">C336-C335</f>
        <v>-2415</v>
      </c>
      <c r="E336" s="33" t="n">
        <v>287.6</v>
      </c>
      <c r="F336" s="33" t="n">
        <f aca="false">E336-E335</f>
        <v>-90.6</v>
      </c>
      <c r="G336" s="33" t="n">
        <v>4.5</v>
      </c>
      <c r="H336" s="33" t="n">
        <f aca="false">G336-G335</f>
        <v>-1.69</v>
      </c>
      <c r="I336" s="33" t="n">
        <v>69</v>
      </c>
      <c r="J336" s="33" t="n">
        <f aca="false">I336-I335</f>
        <v>-16</v>
      </c>
    </row>
    <row r="337" customFormat="false" ht="13.8" hidden="false" customHeight="false" outlineLevel="0" collapsed="false">
      <c r="A337" s="1" t="n">
        <v>336</v>
      </c>
      <c r="B337" s="32" t="n">
        <v>45627</v>
      </c>
      <c r="C337" s="33" t="n">
        <v>7259</v>
      </c>
      <c r="D337" s="33" t="n">
        <f aca="false">C337-C336</f>
        <v>834</v>
      </c>
      <c r="E337" s="33" t="n">
        <v>310.8</v>
      </c>
      <c r="F337" s="33" t="n">
        <f aca="false">E337-E336</f>
        <v>23.2</v>
      </c>
      <c r="G337" s="33" t="n">
        <v>5.08</v>
      </c>
      <c r="H337" s="33" t="n">
        <f aca="false">G337-G336</f>
        <v>0.58</v>
      </c>
      <c r="I337" s="33" t="n">
        <v>69</v>
      </c>
      <c r="J337" s="33" t="n">
        <f aca="false">I337-I336</f>
        <v>0</v>
      </c>
      <c r="L337" s="34" t="s">
        <v>2</v>
      </c>
      <c r="M337" s="34" t="s">
        <v>179</v>
      </c>
      <c r="N337" s="34" t="s">
        <v>175</v>
      </c>
      <c r="O337" s="34" t="s">
        <v>177</v>
      </c>
    </row>
    <row r="338" customFormat="false" ht="13.8" hidden="false" customHeight="false" outlineLevel="0" collapsed="false">
      <c r="A338" s="33" t="n">
        <v>337</v>
      </c>
      <c r="B338" s="32" t="n">
        <v>45628</v>
      </c>
      <c r="C338" s="33" t="n">
        <v>11017</v>
      </c>
      <c r="D338" s="33" t="n">
        <f aca="false">C338-C337</f>
        <v>3758</v>
      </c>
      <c r="E338" s="33" t="n">
        <v>465.9</v>
      </c>
      <c r="F338" s="33" t="n">
        <f aca="false">E338-E337</f>
        <v>155.1</v>
      </c>
      <c r="G338" s="33" t="n">
        <v>7.71</v>
      </c>
      <c r="H338" s="33" t="n">
        <f aca="false">G338-G337</f>
        <v>2.63</v>
      </c>
      <c r="I338" s="33" t="n">
        <v>103</v>
      </c>
      <c r="J338" s="33" t="n">
        <f aca="false">I338-I337</f>
        <v>34</v>
      </c>
      <c r="K338" s="2" t="s">
        <v>8</v>
      </c>
      <c r="L338" s="2" t="n">
        <f aca="false">AVERAGE($C$337:$C$367)</f>
        <v>10792</v>
      </c>
      <c r="M338" s="2" t="n">
        <f aca="false">AVERAGE($E$337:$E$367)</f>
        <v>463.677419354839</v>
      </c>
      <c r="N338" s="2" t="n">
        <f aca="false">AVERAGE($G$337:$G$367)</f>
        <v>7.55451612903226</v>
      </c>
      <c r="O338" s="2" t="n">
        <f aca="false">AVERAGE($I$337:$I$367)</f>
        <v>105.096774193548</v>
      </c>
    </row>
    <row r="339" customFormat="false" ht="13.8" hidden="false" customHeight="false" outlineLevel="0" collapsed="false">
      <c r="A339" s="1" t="n">
        <v>338</v>
      </c>
      <c r="B339" s="32" t="n">
        <v>45629</v>
      </c>
      <c r="C339" s="33" t="n">
        <v>14017</v>
      </c>
      <c r="D339" s="33" t="n">
        <f aca="false">C339-C338</f>
        <v>3000</v>
      </c>
      <c r="E339" s="33" t="n">
        <v>605.6</v>
      </c>
      <c r="F339" s="33" t="n">
        <f aca="false">E339-E338</f>
        <v>139.7</v>
      </c>
      <c r="G339" s="33" t="n">
        <v>9.81</v>
      </c>
      <c r="H339" s="33" t="n">
        <f aca="false">G339-G338</f>
        <v>2.1</v>
      </c>
      <c r="I339" s="33" t="n">
        <v>139</v>
      </c>
      <c r="J339" s="33" t="n">
        <f aca="false">I339-I338</f>
        <v>36</v>
      </c>
      <c r="K339" s="2" t="s">
        <v>10</v>
      </c>
      <c r="L339" s="2" t="n">
        <f aca="false">SQRT(VAR($C$337:$C$367)/COUNT($C$337:$C$367))</f>
        <v>620.06341160288</v>
      </c>
      <c r="M339" s="2" t="n">
        <f aca="false">SQRT(VAR($E$337:$E$367)/COUNT($E$337:$E$367))</f>
        <v>26.2822364106586</v>
      </c>
      <c r="N339" s="2" t="n">
        <f aca="false">SQRT(VAR($G$337:$G$367)/COUNT($G$337:$G$367))</f>
        <v>0.434309447855679</v>
      </c>
      <c r="O339" s="2" t="n">
        <f aca="false">SQRT(VAR($I$337:$I$367)/COUNT($I$337:$I$367))</f>
        <v>5.95021547250754</v>
      </c>
    </row>
    <row r="340" customFormat="false" ht="13.8" hidden="false" customHeight="false" outlineLevel="0" collapsed="false">
      <c r="A340" s="33" t="n">
        <v>339</v>
      </c>
      <c r="B340" s="32" t="n">
        <v>45630</v>
      </c>
      <c r="C340" s="33" t="n">
        <v>14463</v>
      </c>
      <c r="D340" s="33" t="n">
        <f aca="false">C340-C339</f>
        <v>446</v>
      </c>
      <c r="E340" s="33" t="n">
        <v>615.1</v>
      </c>
      <c r="F340" s="33" t="n">
        <f aca="false">E340-E339</f>
        <v>9.5</v>
      </c>
      <c r="G340" s="33" t="n">
        <v>10.12</v>
      </c>
      <c r="H340" s="33" t="n">
        <f aca="false">G340-G339</f>
        <v>0.309999999999999</v>
      </c>
      <c r="I340" s="33" t="n">
        <v>138</v>
      </c>
      <c r="J340" s="33" t="n">
        <f aca="false">I340-I339</f>
        <v>-1</v>
      </c>
      <c r="K340" s="2" t="s">
        <v>14</v>
      </c>
      <c r="L340" s="2" t="e">
        <f aca="false">MODE($C$337:$C$367)</f>
        <v>#VALUE!</v>
      </c>
      <c r="M340" s="2" t="e">
        <f aca="false">MODE($E$337:$E$367)</f>
        <v>#VALUE!</v>
      </c>
      <c r="N340" s="2" t="e">
        <f aca="false">MODE($G$337:$G$367)</f>
        <v>#VALUE!</v>
      </c>
      <c r="O340" s="2" t="n">
        <f aca="false">MODE($I$337:$I$367)</f>
        <v>65</v>
      </c>
    </row>
    <row r="341" customFormat="false" ht="13.8" hidden="false" customHeight="false" outlineLevel="0" collapsed="false">
      <c r="A341" s="1" t="n">
        <v>340</v>
      </c>
      <c r="B341" s="32" t="n">
        <v>45631</v>
      </c>
      <c r="C341" s="33" t="n">
        <v>6673</v>
      </c>
      <c r="D341" s="33" t="n">
        <f aca="false">C341-C340</f>
        <v>-7790</v>
      </c>
      <c r="E341" s="33" t="n">
        <v>282.5</v>
      </c>
      <c r="F341" s="33" t="n">
        <f aca="false">E341-E340</f>
        <v>-332.6</v>
      </c>
      <c r="G341" s="33" t="n">
        <v>4.67</v>
      </c>
      <c r="H341" s="33" t="n">
        <f aca="false">G341-G340</f>
        <v>-5.45</v>
      </c>
      <c r="I341" s="33" t="n">
        <v>62</v>
      </c>
      <c r="J341" s="33" t="n">
        <f aca="false">I341-I340</f>
        <v>-76</v>
      </c>
      <c r="K341" s="2" t="s">
        <v>12</v>
      </c>
      <c r="L341" s="2" t="n">
        <f aca="false">MEDIAN($C$337:$C$367)</f>
        <v>9961</v>
      </c>
      <c r="M341" s="2" t="n">
        <f aca="false">MEDIAN($E$337:$E$367)</f>
        <v>427.2</v>
      </c>
      <c r="N341" s="2" t="n">
        <f aca="false">MEDIAN($G$337:$G$367)</f>
        <v>6.97</v>
      </c>
      <c r="O341" s="2" t="n">
        <f aca="false">MEDIAN($I$337:$I$367)</f>
        <v>97</v>
      </c>
    </row>
    <row r="342" customFormat="false" ht="13.8" hidden="false" customHeight="false" outlineLevel="0" collapsed="false">
      <c r="A342" s="33" t="n">
        <v>341</v>
      </c>
      <c r="B342" s="32" t="n">
        <v>45632</v>
      </c>
      <c r="C342" s="33" t="n">
        <v>9317</v>
      </c>
      <c r="D342" s="33" t="n">
        <f aca="false">C342-C341</f>
        <v>2644</v>
      </c>
      <c r="E342" s="33" t="n">
        <v>400.6</v>
      </c>
      <c r="F342" s="33" t="n">
        <f aca="false">E342-E341</f>
        <v>118.1</v>
      </c>
      <c r="G342" s="33" t="n">
        <v>6.52</v>
      </c>
      <c r="H342" s="33" t="n">
        <f aca="false">G342-G341</f>
        <v>1.85</v>
      </c>
      <c r="I342" s="33" t="n">
        <v>91</v>
      </c>
      <c r="J342" s="33" t="n">
        <f aca="false">I342-I341</f>
        <v>29</v>
      </c>
      <c r="K342" s="2" t="s">
        <v>195</v>
      </c>
      <c r="L342" s="2" t="n">
        <f aca="false">QUARTILE($C$337:$C$367, 1)</f>
        <v>7787.5</v>
      </c>
      <c r="M342" s="2" t="n">
        <f aca="false">QUARTILE($E$337:$E$367, 1)</f>
        <v>335.75</v>
      </c>
      <c r="N342" s="2" t="n">
        <f aca="false">QUARTILE($G$337:$G$367, 1)</f>
        <v>5.45</v>
      </c>
      <c r="O342" s="2" t="n">
        <f aca="false">QUARTILE($I$337:$I$367, 1)</f>
        <v>76</v>
      </c>
    </row>
    <row r="343" customFormat="false" ht="13.8" hidden="false" customHeight="false" outlineLevel="0" collapsed="false">
      <c r="A343" s="1" t="n">
        <v>342</v>
      </c>
      <c r="B343" s="32" t="n">
        <v>45633</v>
      </c>
      <c r="C343" s="33" t="n">
        <v>10205</v>
      </c>
      <c r="D343" s="33" t="n">
        <f aca="false">C343-C342</f>
        <v>888</v>
      </c>
      <c r="E343" s="33" t="n">
        <v>438.6</v>
      </c>
      <c r="F343" s="33" t="n">
        <f aca="false">E343-E342</f>
        <v>38</v>
      </c>
      <c r="G343" s="33" t="n">
        <v>7.14</v>
      </c>
      <c r="H343" s="33" t="n">
        <f aca="false">G343-G342</f>
        <v>0.62</v>
      </c>
      <c r="I343" s="33" t="n">
        <v>100</v>
      </c>
      <c r="J343" s="33" t="n">
        <f aca="false">I343-I342</f>
        <v>9</v>
      </c>
      <c r="K343" s="2" t="s">
        <v>181</v>
      </c>
      <c r="L343" s="2" t="n">
        <f aca="false">QUARTILE($C$337:$C$367, 3)</f>
        <v>13945.5</v>
      </c>
      <c r="M343" s="2" t="n">
        <f aca="false">QUARTILE($E$337:$E$367, 3)</f>
        <v>591.15</v>
      </c>
      <c r="N343" s="2" t="n">
        <f aca="false">QUARTILE($G$337:$G$367, 3)</f>
        <v>9.76</v>
      </c>
      <c r="O343" s="2" t="n">
        <f aca="false">QUARTILE($I$337:$I$367, 3)</f>
        <v>133.5</v>
      </c>
    </row>
    <row r="344" customFormat="false" ht="13.8" hidden="false" customHeight="false" outlineLevel="0" collapsed="false">
      <c r="A344" s="33" t="n">
        <v>343</v>
      </c>
      <c r="B344" s="32" t="n">
        <v>45634</v>
      </c>
      <c r="C344" s="33" t="n">
        <v>17066</v>
      </c>
      <c r="D344" s="33" t="n">
        <f aca="false">C344-C343</f>
        <v>6861</v>
      </c>
      <c r="E344" s="33" t="n">
        <v>735.5</v>
      </c>
      <c r="F344" s="33" t="n">
        <f aca="false">E344-E343</f>
        <v>296.9</v>
      </c>
      <c r="G344" s="33" t="n">
        <v>11.95</v>
      </c>
      <c r="H344" s="33" t="n">
        <f aca="false">G344-G343</f>
        <v>4.81</v>
      </c>
      <c r="I344" s="33" t="n">
        <v>168</v>
      </c>
      <c r="J344" s="33" t="n">
        <f aca="false">I344-I343</f>
        <v>68</v>
      </c>
      <c r="K344" s="2" t="s">
        <v>182</v>
      </c>
      <c r="L344" s="2" t="n">
        <f aca="false">VAR($C$337:$C$367)</f>
        <v>11918837.6666667</v>
      </c>
      <c r="M344" s="2" t="n">
        <f aca="false">VAR($E$337:$E$367)</f>
        <v>21413.4344731183</v>
      </c>
      <c r="N344" s="2" t="n">
        <f aca="false">VAR($G$337:$G$367)</f>
        <v>5.84736559139785</v>
      </c>
      <c r="O344" s="2" t="n">
        <f aca="false">VAR($I$337:$I$367)</f>
        <v>1097.55698924731</v>
      </c>
    </row>
    <row r="345" customFormat="false" ht="13.8" hidden="false" customHeight="false" outlineLevel="0" collapsed="false">
      <c r="A345" s="1" t="n">
        <v>344</v>
      </c>
      <c r="B345" s="32" t="n">
        <v>45635</v>
      </c>
      <c r="C345" s="33" t="n">
        <v>13353</v>
      </c>
      <c r="D345" s="33" t="n">
        <f aca="false">C345-C344</f>
        <v>-3713</v>
      </c>
      <c r="E345" s="33" t="n">
        <v>569.4</v>
      </c>
      <c r="F345" s="33" t="n">
        <f aca="false">E345-E344</f>
        <v>-166.1</v>
      </c>
      <c r="G345" s="33" t="n">
        <v>9.35</v>
      </c>
      <c r="H345" s="33" t="n">
        <f aca="false">G345-G344</f>
        <v>-2.6</v>
      </c>
      <c r="I345" s="33" t="n">
        <v>128</v>
      </c>
      <c r="J345" s="33" t="n">
        <f aca="false">I345-I344</f>
        <v>-40</v>
      </c>
      <c r="K345" s="2" t="s">
        <v>16</v>
      </c>
      <c r="L345" s="2" t="n">
        <f aca="false">STDEV($C$337:$C$367)</f>
        <v>3452.36696581732</v>
      </c>
      <c r="M345" s="2" t="n">
        <f aca="false">STDEV($E$337:$E$367)</f>
        <v>146.333299262739</v>
      </c>
      <c r="N345" s="2" t="n">
        <f aca="false">STDEV($G$337:$G$367)</f>
        <v>2.41813266621123</v>
      </c>
      <c r="O345" s="2" t="n">
        <f aca="false">STDEV($I$337:$I$367)</f>
        <v>33.1293976589873</v>
      </c>
    </row>
    <row r="346" customFormat="false" ht="13.8" hidden="false" customHeight="false" outlineLevel="0" collapsed="false">
      <c r="A346" s="33" t="n">
        <v>345</v>
      </c>
      <c r="B346" s="32" t="n">
        <v>45636</v>
      </c>
      <c r="C346" s="33" t="n">
        <v>14165</v>
      </c>
      <c r="D346" s="33" t="n">
        <f aca="false">C346-C345</f>
        <v>812</v>
      </c>
      <c r="E346" s="33" t="n">
        <v>597</v>
      </c>
      <c r="F346" s="33" t="n">
        <f aca="false">E346-E345</f>
        <v>27.6</v>
      </c>
      <c r="G346" s="33" t="n">
        <v>9.92</v>
      </c>
      <c r="H346" s="33" t="n">
        <f aca="false">G346-G345</f>
        <v>0.57</v>
      </c>
      <c r="I346" s="33" t="n">
        <v>131</v>
      </c>
      <c r="J346" s="33" t="n">
        <f aca="false">I346-I345</f>
        <v>3</v>
      </c>
      <c r="K346" s="2" t="s">
        <v>20</v>
      </c>
      <c r="L346" s="2" t="n">
        <f aca="false">KURT($C$337:$C$367)</f>
        <v>-0.80386937603474</v>
      </c>
      <c r="M346" s="2" t="n">
        <f aca="false">KURT($E$337:$E$367)</f>
        <v>-0.824177299362431</v>
      </c>
      <c r="N346" s="2" t="n">
        <f aca="false">KURT($G$337:$G$367)</f>
        <v>-0.802751034977318</v>
      </c>
      <c r="O346" s="2" t="n">
        <f aca="false">KURT($I$337:$I$367)</f>
        <v>-0.825216378373781</v>
      </c>
    </row>
    <row r="347" customFormat="false" ht="13.8" hidden="false" customHeight="false" outlineLevel="0" collapsed="false">
      <c r="A347" s="1" t="n">
        <v>346</v>
      </c>
      <c r="B347" s="32" t="n">
        <v>45637</v>
      </c>
      <c r="C347" s="33" t="n">
        <v>15024</v>
      </c>
      <c r="D347" s="33" t="n">
        <f aca="false">C347-C346</f>
        <v>859</v>
      </c>
      <c r="E347" s="33" t="n">
        <v>631.3</v>
      </c>
      <c r="F347" s="33" t="n">
        <f aca="false">E347-E346</f>
        <v>34.3</v>
      </c>
      <c r="G347" s="33" t="n">
        <v>10.52</v>
      </c>
      <c r="H347" s="33" t="n">
        <f aca="false">G347-G346</f>
        <v>0.6</v>
      </c>
      <c r="I347" s="33" t="n">
        <v>137</v>
      </c>
      <c r="J347" s="33" t="n">
        <f aca="false">I347-I346</f>
        <v>6</v>
      </c>
      <c r="K347" s="2" t="s">
        <v>22</v>
      </c>
      <c r="L347" s="2" t="n">
        <f aca="false">SKEW($C$337:$C$367)</f>
        <v>0.462205545061079</v>
      </c>
      <c r="M347" s="2" t="n">
        <f aca="false">SKEW($E$337:$E$367)</f>
        <v>0.446071495538486</v>
      </c>
      <c r="N347" s="2" t="n">
        <f aca="false">SKEW($G$337:$G$367)</f>
        <v>0.462517604680001</v>
      </c>
      <c r="O347" s="2" t="n">
        <f aca="false">SKEW($I$337:$I$367)</f>
        <v>0.42909412823438</v>
      </c>
    </row>
    <row r="348" customFormat="false" ht="13.8" hidden="false" customHeight="false" outlineLevel="0" collapsed="false">
      <c r="A348" s="33" t="n">
        <v>347</v>
      </c>
      <c r="B348" s="32" t="n">
        <v>45638</v>
      </c>
      <c r="C348" s="33" t="n">
        <v>7356</v>
      </c>
      <c r="D348" s="33" t="n">
        <f aca="false">C348-C347</f>
        <v>-7668</v>
      </c>
      <c r="E348" s="33" t="n">
        <v>313.4</v>
      </c>
      <c r="F348" s="33" t="n">
        <f aca="false">E348-E347</f>
        <v>-317.9</v>
      </c>
      <c r="G348" s="33" t="n">
        <v>5.15</v>
      </c>
      <c r="H348" s="33" t="n">
        <f aca="false">G348-G347</f>
        <v>-5.37</v>
      </c>
      <c r="I348" s="33" t="n">
        <v>70</v>
      </c>
      <c r="J348" s="33" t="n">
        <f aca="false">I348-I347</f>
        <v>-67</v>
      </c>
      <c r="K348" s="2" t="s">
        <v>24</v>
      </c>
      <c r="L348" s="2" t="n">
        <f aca="false">MAX($C$337:$C$367)-MIN($C$337:$C$367)</f>
        <v>12374</v>
      </c>
      <c r="M348" s="2" t="n">
        <f aca="false">MAX($E$337:$E$367)-MIN($E$337:$E$367)</f>
        <v>505.8</v>
      </c>
      <c r="N348" s="2" t="n">
        <f aca="false">MAX($G$337:$G$367)-MIN($G$337:$G$367)</f>
        <v>8.67</v>
      </c>
      <c r="O348" s="2" t="n">
        <f aca="false">MAX($I$337:$I$367)-MIN($I$337:$I$367)</f>
        <v>114</v>
      </c>
    </row>
    <row r="349" customFormat="false" ht="13.8" hidden="false" customHeight="false" outlineLevel="0" collapsed="false">
      <c r="A349" s="1" t="n">
        <v>348</v>
      </c>
      <c r="B349" s="32" t="n">
        <v>45639</v>
      </c>
      <c r="C349" s="33" t="n">
        <v>6865</v>
      </c>
      <c r="D349" s="33" t="n">
        <f aca="false">C349-C348</f>
        <v>-491</v>
      </c>
      <c r="E349" s="33" t="n">
        <v>291.4</v>
      </c>
      <c r="F349" s="33" t="n">
        <f aca="false">E349-E348</f>
        <v>-22</v>
      </c>
      <c r="G349" s="33" t="n">
        <v>4.81</v>
      </c>
      <c r="H349" s="33" t="n">
        <f aca="false">G349-G348</f>
        <v>-0.340000000000001</v>
      </c>
      <c r="I349" s="33" t="n">
        <v>65</v>
      </c>
      <c r="J349" s="33" t="n">
        <f aca="false">I349-I348</f>
        <v>-5</v>
      </c>
      <c r="K349" s="2" t="s">
        <v>26</v>
      </c>
      <c r="L349" s="2" t="n">
        <f aca="false">MIN($C$337:$C$367)</f>
        <v>6092</v>
      </c>
      <c r="M349" s="2" t="n">
        <f aca="false">MIN($E$337:$E$367)</f>
        <v>278.4</v>
      </c>
      <c r="N349" s="2" t="n">
        <f aca="false">MIN($G$337:$G$367)</f>
        <v>4.26</v>
      </c>
      <c r="O349" s="2" t="n">
        <f aca="false">MIN($I$337:$I$367)</f>
        <v>62</v>
      </c>
    </row>
    <row r="350" customFormat="false" ht="13.8" hidden="false" customHeight="false" outlineLevel="0" collapsed="false">
      <c r="A350" s="33" t="n">
        <v>349</v>
      </c>
      <c r="B350" s="32" t="n">
        <v>45640</v>
      </c>
      <c r="C350" s="33" t="n">
        <v>18466</v>
      </c>
      <c r="D350" s="33" t="n">
        <f aca="false">C350-C349</f>
        <v>11601</v>
      </c>
      <c r="E350" s="33" t="n">
        <v>784.2</v>
      </c>
      <c r="F350" s="33" t="n">
        <f aca="false">E350-E349</f>
        <v>492.8</v>
      </c>
      <c r="G350" s="33" t="n">
        <v>12.93</v>
      </c>
      <c r="H350" s="33" t="n">
        <f aca="false">G350-G349</f>
        <v>8.12</v>
      </c>
      <c r="I350" s="33" t="n">
        <v>176</v>
      </c>
      <c r="J350" s="33" t="n">
        <f aca="false">I350-I349</f>
        <v>111</v>
      </c>
      <c r="K350" s="2" t="s">
        <v>28</v>
      </c>
      <c r="L350" s="2" t="n">
        <f aca="false">MAX($C$337:$C$367)</f>
        <v>18466</v>
      </c>
      <c r="M350" s="2" t="n">
        <f aca="false">MAX($E$337:$E$367)</f>
        <v>784.2</v>
      </c>
      <c r="N350" s="2" t="n">
        <f aca="false">MAX($G$337:$G$367)</f>
        <v>12.93</v>
      </c>
      <c r="O350" s="2" t="n">
        <f aca="false">MAX($I$337:$I$367)</f>
        <v>176</v>
      </c>
    </row>
    <row r="351" customFormat="false" ht="13.8" hidden="false" customHeight="false" outlineLevel="0" collapsed="false">
      <c r="A351" s="1" t="n">
        <v>350</v>
      </c>
      <c r="B351" s="32" t="n">
        <v>45641</v>
      </c>
      <c r="C351" s="33" t="n">
        <v>13874</v>
      </c>
      <c r="D351" s="33" t="n">
        <f aca="false">C351-C350</f>
        <v>-4592</v>
      </c>
      <c r="E351" s="33" t="n">
        <v>585.3</v>
      </c>
      <c r="F351" s="33" t="n">
        <f aca="false">E351-E350</f>
        <v>-198.9</v>
      </c>
      <c r="G351" s="33" t="n">
        <v>9.71</v>
      </c>
      <c r="H351" s="33" t="n">
        <f aca="false">G351-G350</f>
        <v>-3.22</v>
      </c>
      <c r="I351" s="33" t="n">
        <v>129</v>
      </c>
      <c r="J351" s="33" t="n">
        <f aca="false">I351-I350</f>
        <v>-47</v>
      </c>
      <c r="K351" s="2" t="s">
        <v>30</v>
      </c>
      <c r="L351" s="2" t="n">
        <f aca="false">SUM($C$337:$C$367)</f>
        <v>334552</v>
      </c>
      <c r="M351" s="2" t="n">
        <f aca="false">SUM($E$337:$E$367)</f>
        <v>14374</v>
      </c>
      <c r="N351" s="2" t="n">
        <f aca="false">SUM($G$337:$G$367)</f>
        <v>234.19</v>
      </c>
      <c r="O351" s="2" t="n">
        <f aca="false">SUM($I$337:$I$367)</f>
        <v>3258</v>
      </c>
    </row>
    <row r="352" customFormat="false" ht="13.8" hidden="false" customHeight="false" outlineLevel="0" collapsed="false">
      <c r="A352" s="33" t="n">
        <v>351</v>
      </c>
      <c r="B352" s="32" t="n">
        <v>45642</v>
      </c>
      <c r="C352" s="33" t="n">
        <v>15536</v>
      </c>
      <c r="D352" s="33" t="n">
        <f aca="false">C352-C351</f>
        <v>1662</v>
      </c>
      <c r="E352" s="33" t="n">
        <v>673.7</v>
      </c>
      <c r="F352" s="33" t="n">
        <f aca="false">E352-E351</f>
        <v>88.4000000000001</v>
      </c>
      <c r="G352" s="33" t="n">
        <v>10.88</v>
      </c>
      <c r="H352" s="33" t="n">
        <f aca="false">G352-G351</f>
        <v>1.17</v>
      </c>
      <c r="I352" s="33" t="n">
        <v>156</v>
      </c>
      <c r="J352" s="33" t="n">
        <f aca="false">I352-I351</f>
        <v>27</v>
      </c>
      <c r="K352" s="2" t="s">
        <v>32</v>
      </c>
      <c r="L352" s="2" t="n">
        <f aca="false">COUNT($C$337:$C$367)</f>
        <v>31</v>
      </c>
      <c r="M352" s="2" t="n">
        <f aca="false">COUNT($E$337:$E$367)</f>
        <v>31</v>
      </c>
      <c r="N352" s="2" t="n">
        <f aca="false">COUNT($G$337:$G$367)</f>
        <v>31</v>
      </c>
      <c r="O352" s="2" t="n">
        <f aca="false">COUNT($I$337:$I$367)</f>
        <v>31</v>
      </c>
    </row>
    <row r="353" customFormat="false" ht="13.8" hidden="false" customHeight="false" outlineLevel="0" collapsed="false">
      <c r="A353" s="1" t="n">
        <v>352</v>
      </c>
      <c r="B353" s="32" t="n">
        <v>45643</v>
      </c>
      <c r="C353" s="33" t="n">
        <v>14293</v>
      </c>
      <c r="D353" s="33" t="n">
        <f aca="false">C353-C352</f>
        <v>-1243</v>
      </c>
      <c r="E353" s="33" t="n">
        <v>609</v>
      </c>
      <c r="F353" s="33" t="n">
        <f aca="false">E353-E352</f>
        <v>-64.7000000000001</v>
      </c>
      <c r="G353" s="33" t="n">
        <v>10.01</v>
      </c>
      <c r="H353" s="33" t="n">
        <f aca="false">G353-G352</f>
        <v>-0.870000000000001</v>
      </c>
      <c r="I353" s="33" t="n">
        <v>136</v>
      </c>
      <c r="J353" s="33" t="n">
        <f aca="false">I353-I352</f>
        <v>-20</v>
      </c>
    </row>
    <row r="354" customFormat="false" ht="13.8" hidden="false" customHeight="false" outlineLevel="0" collapsed="false">
      <c r="A354" s="33" t="n">
        <v>353</v>
      </c>
      <c r="B354" s="32" t="n">
        <v>45644</v>
      </c>
      <c r="C354" s="33" t="n">
        <v>7090</v>
      </c>
      <c r="D354" s="33" t="n">
        <f aca="false">C354-C353</f>
        <v>-7203</v>
      </c>
      <c r="E354" s="33" t="n">
        <v>297.9</v>
      </c>
      <c r="F354" s="33" t="n">
        <f aca="false">E354-E353</f>
        <v>-311.1</v>
      </c>
      <c r="G354" s="33" t="n">
        <v>4.96</v>
      </c>
      <c r="H354" s="33" t="n">
        <f aca="false">G354-G353</f>
        <v>-5.05</v>
      </c>
      <c r="I354" s="33" t="n">
        <v>65</v>
      </c>
      <c r="J354" s="33" t="n">
        <f aca="false">I354-I353</f>
        <v>-71</v>
      </c>
    </row>
    <row r="355" customFormat="false" ht="13.8" hidden="false" customHeight="false" outlineLevel="0" collapsed="false">
      <c r="A355" s="1" t="n">
        <v>354</v>
      </c>
      <c r="B355" s="32" t="n">
        <v>45645</v>
      </c>
      <c r="C355" s="33" t="n">
        <v>9440</v>
      </c>
      <c r="D355" s="33" t="n">
        <f aca="false">C355-C354</f>
        <v>2350</v>
      </c>
      <c r="E355" s="33" t="n">
        <v>400.5</v>
      </c>
      <c r="F355" s="33" t="n">
        <f aca="false">E355-E354</f>
        <v>102.6</v>
      </c>
      <c r="G355" s="33" t="n">
        <v>6.61</v>
      </c>
      <c r="H355" s="33" t="n">
        <f aca="false">G355-G354</f>
        <v>1.65</v>
      </c>
      <c r="I355" s="33" t="n">
        <v>89</v>
      </c>
      <c r="J355" s="33" t="n">
        <f aca="false">I355-I354</f>
        <v>24</v>
      </c>
    </row>
    <row r="356" customFormat="false" ht="13.8" hidden="false" customHeight="false" outlineLevel="0" collapsed="false">
      <c r="A356" s="33" t="n">
        <v>355</v>
      </c>
      <c r="B356" s="32" t="n">
        <v>45646</v>
      </c>
      <c r="C356" s="33" t="n">
        <v>6320</v>
      </c>
      <c r="D356" s="33" t="n">
        <f aca="false">C356-C355</f>
        <v>-3120</v>
      </c>
      <c r="E356" s="33" t="n">
        <v>278.7</v>
      </c>
      <c r="F356" s="33" t="n">
        <f aca="false">E356-E355</f>
        <v>-121.8</v>
      </c>
      <c r="G356" s="33" t="n">
        <v>4.42</v>
      </c>
      <c r="H356" s="33" t="n">
        <f aca="false">G356-G355</f>
        <v>-2.19</v>
      </c>
      <c r="I356" s="33" t="n">
        <v>66</v>
      </c>
      <c r="J356" s="33" t="n">
        <f aca="false">I356-I355</f>
        <v>-23</v>
      </c>
    </row>
    <row r="357" customFormat="false" ht="13.8" hidden="false" customHeight="false" outlineLevel="0" collapsed="false">
      <c r="A357" s="1" t="n">
        <v>356</v>
      </c>
      <c r="B357" s="32" t="n">
        <v>45647</v>
      </c>
      <c r="C357" s="33" t="n">
        <v>6092</v>
      </c>
      <c r="D357" s="33" t="n">
        <f aca="false">C357-C356</f>
        <v>-228</v>
      </c>
      <c r="E357" s="33" t="n">
        <v>278.4</v>
      </c>
      <c r="F357" s="33" t="n">
        <f aca="false">E357-E356</f>
        <v>-0.300000000000011</v>
      </c>
      <c r="G357" s="33" t="n">
        <v>4.26</v>
      </c>
      <c r="H357" s="33" t="n">
        <f aca="false">G357-G356</f>
        <v>-0.16</v>
      </c>
      <c r="I357" s="33" t="n">
        <v>69</v>
      </c>
      <c r="J357" s="33" t="n">
        <f aca="false">I357-I356</f>
        <v>3</v>
      </c>
    </row>
    <row r="358" customFormat="false" ht="13.8" hidden="false" customHeight="false" outlineLevel="0" collapsed="false">
      <c r="A358" s="33" t="n">
        <v>357</v>
      </c>
      <c r="B358" s="32" t="n">
        <v>45648</v>
      </c>
      <c r="C358" s="33" t="n">
        <v>8219</v>
      </c>
      <c r="D358" s="33" t="n">
        <f aca="false">C358-C357</f>
        <v>2127</v>
      </c>
      <c r="E358" s="33" t="n">
        <v>358.1</v>
      </c>
      <c r="F358" s="33" t="n">
        <f aca="false">E358-E357</f>
        <v>79.7000000000001</v>
      </c>
      <c r="G358" s="33" t="n">
        <v>5.75</v>
      </c>
      <c r="H358" s="33" t="n">
        <f aca="false">G358-G357</f>
        <v>1.49</v>
      </c>
      <c r="I358" s="33" t="n">
        <v>82</v>
      </c>
      <c r="J358" s="33" t="n">
        <f aca="false">I358-I357</f>
        <v>13</v>
      </c>
    </row>
    <row r="359" customFormat="false" ht="13.8" hidden="false" customHeight="false" outlineLevel="0" collapsed="false">
      <c r="A359" s="1" t="n">
        <v>358</v>
      </c>
      <c r="B359" s="32" t="n">
        <v>45649</v>
      </c>
      <c r="C359" s="33" t="n">
        <v>6818</v>
      </c>
      <c r="D359" s="33" t="n">
        <f aca="false">C359-C358</f>
        <v>-1401</v>
      </c>
      <c r="E359" s="33" t="n">
        <v>289.3</v>
      </c>
      <c r="F359" s="33" t="n">
        <f aca="false">E359-E358</f>
        <v>-68.8</v>
      </c>
      <c r="G359" s="33" t="n">
        <v>4.77</v>
      </c>
      <c r="H359" s="33" t="n">
        <f aca="false">G359-G358</f>
        <v>-0.98</v>
      </c>
      <c r="I359" s="33" t="n">
        <v>63</v>
      </c>
      <c r="J359" s="33" t="n">
        <f aca="false">I359-I358</f>
        <v>-19</v>
      </c>
    </row>
    <row r="360" customFormat="false" ht="13.8" hidden="false" customHeight="false" outlineLevel="0" collapsed="false">
      <c r="A360" s="33" t="n">
        <v>359</v>
      </c>
      <c r="B360" s="32" t="n">
        <v>45650</v>
      </c>
      <c r="C360" s="33" t="n">
        <v>10071</v>
      </c>
      <c r="D360" s="33" t="n">
        <f aca="false">C360-C359</f>
        <v>3253</v>
      </c>
      <c r="E360" s="33" t="n">
        <v>440.4</v>
      </c>
      <c r="F360" s="33" t="n">
        <f aca="false">E360-E359</f>
        <v>151.1</v>
      </c>
      <c r="G360" s="33" t="n">
        <v>7.05</v>
      </c>
      <c r="H360" s="33" t="n">
        <f aca="false">G360-G359</f>
        <v>2.28</v>
      </c>
      <c r="I360" s="33" t="n">
        <v>102</v>
      </c>
      <c r="J360" s="33" t="n">
        <f aca="false">I360-I359</f>
        <v>39</v>
      </c>
    </row>
    <row r="361" customFormat="false" ht="13.8" hidden="false" customHeight="false" outlineLevel="0" collapsed="false">
      <c r="A361" s="1" t="n">
        <v>360</v>
      </c>
      <c r="B361" s="32" t="n">
        <v>45651</v>
      </c>
      <c r="C361" s="33" t="n">
        <v>11986</v>
      </c>
      <c r="D361" s="33" t="n">
        <f aca="false">C361-C360</f>
        <v>1915</v>
      </c>
      <c r="E361" s="33" t="n">
        <v>550.7</v>
      </c>
      <c r="F361" s="33" t="n">
        <f aca="false">E361-E360</f>
        <v>110.3</v>
      </c>
      <c r="G361" s="33" t="n">
        <v>8.39</v>
      </c>
      <c r="H361" s="33" t="n">
        <f aca="false">G361-G360</f>
        <v>1.34</v>
      </c>
      <c r="I361" s="33" t="n">
        <v>137</v>
      </c>
      <c r="J361" s="33" t="n">
        <f aca="false">I361-I360</f>
        <v>35</v>
      </c>
    </row>
    <row r="362" customFormat="false" ht="13.8" hidden="false" customHeight="false" outlineLevel="0" collapsed="false">
      <c r="A362" s="33" t="n">
        <v>361</v>
      </c>
      <c r="B362" s="32" t="n">
        <v>45652</v>
      </c>
      <c r="C362" s="33" t="n">
        <v>8552</v>
      </c>
      <c r="D362" s="33" t="n">
        <f aca="false">C362-C361</f>
        <v>-3434</v>
      </c>
      <c r="E362" s="33" t="n">
        <v>387.8</v>
      </c>
      <c r="F362" s="33" t="n">
        <f aca="false">E362-E361</f>
        <v>-162.9</v>
      </c>
      <c r="G362" s="33" t="n">
        <v>5.99</v>
      </c>
      <c r="H362" s="33" t="n">
        <f aca="false">G362-G361</f>
        <v>-2.4</v>
      </c>
      <c r="I362" s="33" t="n">
        <v>95</v>
      </c>
      <c r="J362" s="33" t="n">
        <f aca="false">I362-I361</f>
        <v>-42</v>
      </c>
    </row>
    <row r="363" customFormat="false" ht="13.8" hidden="false" customHeight="false" outlineLevel="0" collapsed="false">
      <c r="A363" s="1" t="n">
        <v>362</v>
      </c>
      <c r="B363" s="32" t="n">
        <v>45653</v>
      </c>
      <c r="C363" s="33" t="n">
        <v>9571</v>
      </c>
      <c r="D363" s="33" t="n">
        <f aca="false">C363-C362</f>
        <v>1019</v>
      </c>
      <c r="E363" s="33" t="n">
        <v>415.8</v>
      </c>
      <c r="F363" s="33" t="n">
        <f aca="false">E363-E362</f>
        <v>28</v>
      </c>
      <c r="G363" s="33" t="n">
        <v>6.7</v>
      </c>
      <c r="H363" s="33" t="n">
        <f aca="false">G363-G362</f>
        <v>0.71</v>
      </c>
      <c r="I363" s="33" t="n">
        <v>96</v>
      </c>
      <c r="J363" s="33" t="n">
        <f aca="false">I363-I362</f>
        <v>1</v>
      </c>
    </row>
    <row r="364" customFormat="false" ht="13.8" hidden="false" customHeight="false" outlineLevel="0" collapsed="false">
      <c r="A364" s="33" t="n">
        <v>363</v>
      </c>
      <c r="B364" s="32" t="n">
        <v>45654</v>
      </c>
      <c r="C364" s="33" t="n">
        <v>9939</v>
      </c>
      <c r="D364" s="33" t="n">
        <f aca="false">C364-C363</f>
        <v>368</v>
      </c>
      <c r="E364" s="33" t="n">
        <v>425.6</v>
      </c>
      <c r="F364" s="33" t="n">
        <f aca="false">E364-E363</f>
        <v>9.80000000000001</v>
      </c>
      <c r="G364" s="33" t="n">
        <v>6.96</v>
      </c>
      <c r="H364" s="33" t="n">
        <f aca="false">G364-G363</f>
        <v>0.26</v>
      </c>
      <c r="I364" s="33" t="n">
        <v>96</v>
      </c>
      <c r="J364" s="33" t="n">
        <f aca="false">I364-I363</f>
        <v>0</v>
      </c>
    </row>
    <row r="365" customFormat="false" ht="13.8" hidden="false" customHeight="false" outlineLevel="0" collapsed="false">
      <c r="A365" s="1" t="n">
        <v>364</v>
      </c>
      <c r="B365" s="32" t="n">
        <v>45655</v>
      </c>
      <c r="C365" s="33" t="n">
        <v>9961</v>
      </c>
      <c r="D365" s="33" t="n">
        <f aca="false">C365-C364</f>
        <v>22</v>
      </c>
      <c r="E365" s="33" t="n">
        <v>427.2</v>
      </c>
      <c r="F365" s="33" t="n">
        <f aca="false">E365-E364</f>
        <v>1.59999999999997</v>
      </c>
      <c r="G365" s="33" t="n">
        <v>6.97</v>
      </c>
      <c r="H365" s="33" t="n">
        <f aca="false">G365-G364</f>
        <v>0.00999999999999979</v>
      </c>
      <c r="I365" s="33" t="n">
        <v>97</v>
      </c>
      <c r="J365" s="33" t="n">
        <f aca="false">I365-I364</f>
        <v>1</v>
      </c>
    </row>
    <row r="366" customFormat="false" ht="13.8" hidden="false" customHeight="false" outlineLevel="0" collapsed="false">
      <c r="A366" s="33" t="n">
        <v>365</v>
      </c>
      <c r="B366" s="32" t="n">
        <v>45656</v>
      </c>
      <c r="C366" s="33" t="n">
        <v>12529</v>
      </c>
      <c r="D366" s="33" t="n">
        <f aca="false">C366-C365</f>
        <v>2568</v>
      </c>
      <c r="E366" s="33" t="n">
        <v>534.5</v>
      </c>
      <c r="F366" s="33" t="n">
        <f aca="false">E366-E365</f>
        <v>107.3</v>
      </c>
      <c r="G366" s="33" t="n">
        <v>8.77</v>
      </c>
      <c r="H366" s="33" t="n">
        <f aca="false">G366-G365</f>
        <v>1.8</v>
      </c>
      <c r="I366" s="33" t="n">
        <v>121</v>
      </c>
      <c r="J366" s="33" t="n">
        <f aca="false">I366-I365</f>
        <v>24</v>
      </c>
    </row>
    <row r="367" customFormat="false" ht="13.8" hidden="false" customHeight="false" outlineLevel="0" collapsed="false">
      <c r="A367" s="1" t="n">
        <v>366</v>
      </c>
      <c r="B367" s="32" t="n">
        <v>45657</v>
      </c>
      <c r="C367" s="33" t="n">
        <v>9015</v>
      </c>
      <c r="D367" s="33" t="n">
        <f aca="false">C367-C366</f>
        <v>-3514</v>
      </c>
      <c r="E367" s="33" t="n">
        <v>379.8</v>
      </c>
      <c r="F367" s="33" t="n">
        <f aca="false">E367-E366</f>
        <v>-154.7</v>
      </c>
      <c r="G367" s="33" t="n">
        <v>6.31</v>
      </c>
      <c r="H367" s="33" t="n">
        <f aca="false">G367-G366</f>
        <v>-2.46</v>
      </c>
      <c r="I367" s="33" t="n">
        <v>82</v>
      </c>
      <c r="J367" s="33" t="n">
        <f aca="false">I367-I366</f>
        <v>-39</v>
      </c>
    </row>
    <row r="369" customFormat="false" ht="13.8" hidden="false" customHeight="false" outlineLevel="0" collapsed="false"/>
    <row r="370" customFormat="false" ht="13.8" hidden="false" customHeight="false" outlineLevel="0" collapsed="false"/>
    <row r="371" customFormat="false" ht="13.8" hidden="false" customHeight="false" outlineLevel="0" collapsed="false"/>
    <row r="372" customFormat="false" ht="13.8" hidden="false" customHeight="false" outlineLevel="0" collapsed="false"/>
    <row r="373" customFormat="false" ht="13.8" hidden="false" customHeight="false" outlineLevel="0" collapsed="false"/>
    <row r="374" customFormat="false" ht="13.8" hidden="false" customHeight="false" outlineLevel="0" collapsed="false"/>
    <row r="375" customFormat="false" ht="13.8" hidden="false" customHeight="false" outlineLevel="0" collapsed="false"/>
    <row r="376" customFormat="false" ht="13.8" hidden="false" customHeight="false" outlineLevel="0" collapsed="false"/>
    <row r="377" customFormat="false" ht="13.8" hidden="false" customHeight="false" outlineLevel="0" collapsed="false"/>
    <row r="378" customFormat="false" ht="13.8" hidden="false" customHeight="false" outlineLevel="0" collapsed="false"/>
    <row r="379" customFormat="false" ht="13.8" hidden="false" customHeight="false" outlineLevel="0" collapsed="false"/>
    <row r="380" customFormat="false" ht="13.8" hidden="false" customHeight="false" outlineLevel="0" collapsed="false"/>
    <row r="381" customFormat="false" ht="13.8" hidden="false" customHeight="false" outlineLevel="0" collapsed="false"/>
    <row r="382" customFormat="false" ht="13.8" hidden="false" customHeight="false" outlineLevel="0" collapsed="false"/>
    <row r="383" customFormat="false" ht="13.8" hidden="false" customHeight="false" outlineLevel="0" collapsed="false"/>
    <row r="384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66" activeCellId="0" sqref="I366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2" t="s">
        <v>1</v>
      </c>
      <c r="B1" s="31" t="s">
        <v>2</v>
      </c>
      <c r="C1" s="31" t="s">
        <v>3</v>
      </c>
      <c r="D1" s="31" t="s">
        <v>179</v>
      </c>
      <c r="E1" s="31" t="s">
        <v>174</v>
      </c>
      <c r="F1" s="31" t="s">
        <v>175</v>
      </c>
      <c r="G1" s="31" t="s">
        <v>176</v>
      </c>
      <c r="H1" s="31" t="s">
        <v>177</v>
      </c>
      <c r="I1" s="31" t="s">
        <v>178</v>
      </c>
    </row>
    <row r="2" customFormat="false" ht="13.8" hidden="false" customHeight="false" outlineLevel="0" collapsed="false">
      <c r="A2" s="32" t="n">
        <v>45658</v>
      </c>
      <c r="B2" s="33" t="n">
        <v>13784</v>
      </c>
      <c r="C2" s="33"/>
      <c r="D2" s="33" t="n">
        <v>599.5</v>
      </c>
      <c r="E2" s="33"/>
      <c r="F2" s="33" t="n">
        <v>9.65</v>
      </c>
      <c r="G2" s="33"/>
      <c r="H2" s="33" t="n">
        <v>140</v>
      </c>
      <c r="I2" s="33"/>
      <c r="K2" s="34" t="s">
        <v>2</v>
      </c>
      <c r="L2" s="34" t="s">
        <v>179</v>
      </c>
      <c r="M2" s="34" t="s">
        <v>175</v>
      </c>
      <c r="N2" s="34" t="s">
        <v>177</v>
      </c>
    </row>
    <row r="3" customFormat="false" ht="13.8" hidden="false" customHeight="false" outlineLevel="0" collapsed="false">
      <c r="A3" s="32" t="n">
        <v>45659</v>
      </c>
      <c r="B3" s="33" t="n">
        <v>6818</v>
      </c>
      <c r="C3" s="33" t="n">
        <f aca="false">B3-B2</f>
        <v>-6966</v>
      </c>
      <c r="D3" s="33" t="n">
        <v>296.9</v>
      </c>
      <c r="E3" s="33" t="n">
        <f aca="false">D3-D2</f>
        <v>-302.6</v>
      </c>
      <c r="F3" s="33" t="n">
        <v>4.77</v>
      </c>
      <c r="G3" s="33" t="n">
        <f aca="false">F3-F2</f>
        <v>-4.88</v>
      </c>
      <c r="H3" s="33" t="n">
        <v>69</v>
      </c>
      <c r="I3" s="33" t="n">
        <f aca="false">H3-H2</f>
        <v>-71</v>
      </c>
      <c r="J3" s="2" t="s">
        <v>8</v>
      </c>
      <c r="K3" s="2" t="n">
        <f aca="false">AVERAGE($B$2:$B$32)</f>
        <v>11892.3548387097</v>
      </c>
      <c r="L3" s="2" t="n">
        <f aca="false">AVERAGE($D$2:$D$32)</f>
        <v>510.187096774194</v>
      </c>
      <c r="M3" s="2" t="n">
        <f aca="false">AVERAGE($F$2:$F$32)</f>
        <v>8.32451612903226</v>
      </c>
      <c r="N3" s="2" t="n">
        <f aca="false">AVERAGE($H$2:$H$32)</f>
        <v>115.322580645161</v>
      </c>
    </row>
    <row r="4" customFormat="false" ht="13.8" hidden="false" customHeight="false" outlineLevel="0" collapsed="false">
      <c r="A4" s="32" t="n">
        <v>45660</v>
      </c>
      <c r="B4" s="33" t="n">
        <v>6024</v>
      </c>
      <c r="C4" s="33" t="n">
        <f aca="false">B4-B3</f>
        <v>-794</v>
      </c>
      <c r="D4" s="33" t="n">
        <v>281.3</v>
      </c>
      <c r="E4" s="33" t="n">
        <f aca="false">D4-D3</f>
        <v>-15.6</v>
      </c>
      <c r="F4" s="33" t="n">
        <v>4.22</v>
      </c>
      <c r="G4" s="33" t="n">
        <f aca="false">F4-F3</f>
        <v>-0.55</v>
      </c>
      <c r="H4" s="33" t="n">
        <v>71</v>
      </c>
      <c r="I4" s="33" t="n">
        <f aca="false">H4-H3</f>
        <v>2</v>
      </c>
      <c r="J4" s="2" t="s">
        <v>10</v>
      </c>
      <c r="K4" s="2" t="n">
        <f aca="false">SQRT(VAR($B$2:$B$32)/COUNT($B$2:$B$32))</f>
        <v>793.65844546697</v>
      </c>
      <c r="L4" s="2" t="n">
        <f aca="false">SQRT(VAR($D$2:$D$32)/COUNT($D$2:$D$32))</f>
        <v>33.9644535062336</v>
      </c>
      <c r="M4" s="2" t="n">
        <f aca="false">SQRT(VAR($F$2:$F$32)/COUNT($F$2:$F$32))</f>
        <v>0.555589358435151</v>
      </c>
      <c r="N4" s="2" t="n">
        <f aca="false">SQRT(VAR($H$2:$H$32)/COUNT($H$2:$H$32))</f>
        <v>7.74976754375962</v>
      </c>
    </row>
    <row r="5" customFormat="false" ht="13.8" hidden="false" customHeight="false" outlineLevel="0" collapsed="false">
      <c r="A5" s="32" t="n">
        <v>45661</v>
      </c>
      <c r="B5" s="33" t="n">
        <v>10736</v>
      </c>
      <c r="C5" s="33" t="n">
        <f aca="false">B5-B4</f>
        <v>4712</v>
      </c>
      <c r="D5" s="33" t="n">
        <v>461</v>
      </c>
      <c r="E5" s="33" t="n">
        <f aca="false">D5-D4</f>
        <v>179.7</v>
      </c>
      <c r="F5" s="33" t="n">
        <v>7.52</v>
      </c>
      <c r="G5" s="33" t="n">
        <f aca="false">F5-F4</f>
        <v>3.3</v>
      </c>
      <c r="H5" s="33" t="n">
        <v>105</v>
      </c>
      <c r="I5" s="33" t="n">
        <f aca="false">H5-H4</f>
        <v>34</v>
      </c>
      <c r="J5" s="2" t="s">
        <v>14</v>
      </c>
      <c r="K5" s="2" t="e">
        <f aca="false">MODE($B$2:$B$32)</f>
        <v>#VALUE!</v>
      </c>
      <c r="L5" s="2" t="e">
        <f aca="false">MODE($D$2:$D$32)</f>
        <v>#VALUE!</v>
      </c>
      <c r="M5" s="2" t="n">
        <f aca="false">MODE($F$2:$F$32)</f>
        <v>10.62</v>
      </c>
      <c r="N5" s="2" t="n">
        <f aca="false">MODE($H$2:$H$32)</f>
        <v>79</v>
      </c>
    </row>
    <row r="6" customFormat="false" ht="13.8" hidden="false" customHeight="false" outlineLevel="0" collapsed="false">
      <c r="A6" s="32" t="n">
        <v>45662</v>
      </c>
      <c r="B6" s="33" t="n">
        <v>12505</v>
      </c>
      <c r="C6" s="33" t="n">
        <f aca="false">B6-B5</f>
        <v>1769</v>
      </c>
      <c r="D6" s="33" t="n">
        <v>534.9</v>
      </c>
      <c r="E6" s="33" t="n">
        <f aca="false">D6-D5</f>
        <v>73.9</v>
      </c>
      <c r="F6" s="33" t="n">
        <v>8.75</v>
      </c>
      <c r="G6" s="33" t="n">
        <f aca="false">F6-F5</f>
        <v>1.23</v>
      </c>
      <c r="H6" s="33" t="n">
        <v>121</v>
      </c>
      <c r="I6" s="33" t="n">
        <f aca="false">H6-H5</f>
        <v>16</v>
      </c>
      <c r="J6" s="2" t="s">
        <v>12</v>
      </c>
      <c r="K6" s="2" t="n">
        <f aca="false">MEDIAN($B$2:$B$32)</f>
        <v>11461</v>
      </c>
      <c r="L6" s="2" t="n">
        <f aca="false">MEDIAN($D$2:$D$32)</f>
        <v>487</v>
      </c>
      <c r="M6" s="2" t="n">
        <f aca="false">MEDIAN($F$2:$F$32)</f>
        <v>8.02</v>
      </c>
      <c r="N6" s="2" t="n">
        <f aca="false">MEDIAN($H$2:$H$32)</f>
        <v>106</v>
      </c>
    </row>
    <row r="7" customFormat="false" ht="13.8" hidden="false" customHeight="false" outlineLevel="0" collapsed="false">
      <c r="A7" s="32" t="n">
        <v>45663</v>
      </c>
      <c r="B7" s="33" t="n">
        <v>9593</v>
      </c>
      <c r="C7" s="33" t="n">
        <f aca="false">B7-B6</f>
        <v>-2912</v>
      </c>
      <c r="D7" s="33" t="n">
        <v>411</v>
      </c>
      <c r="E7" s="33" t="n">
        <f aca="false">D7-D6</f>
        <v>-123.9</v>
      </c>
      <c r="F7" s="33" t="n">
        <v>6.72</v>
      </c>
      <c r="G7" s="33" t="n">
        <f aca="false">F7-F6</f>
        <v>-2.03</v>
      </c>
      <c r="H7" s="33" t="n">
        <v>92</v>
      </c>
      <c r="I7" s="33" t="n">
        <f aca="false">H7-H6</f>
        <v>-29</v>
      </c>
      <c r="J7" s="2" t="s">
        <v>195</v>
      </c>
      <c r="K7" s="2" t="n">
        <f aca="false">QUARTILE($B$2:$B$32, 1)</f>
        <v>8104</v>
      </c>
      <c r="L7" s="2" t="n">
        <f aca="false">QUARTILE($D$2:$D$32, 1)</f>
        <v>347.1</v>
      </c>
      <c r="M7" s="2" t="n">
        <f aca="false">QUARTILE($F$2:$F$32, 1)</f>
        <v>5.675</v>
      </c>
      <c r="N7" s="2" t="n">
        <f aca="false">QUARTILE($H$2:$H$32, 1)</f>
        <v>78</v>
      </c>
    </row>
    <row r="8" customFormat="false" ht="13.8" hidden="false" customHeight="false" outlineLevel="0" collapsed="false">
      <c r="A8" s="32" t="n">
        <v>45664</v>
      </c>
      <c r="B8" s="33" t="n">
        <v>20928</v>
      </c>
      <c r="C8" s="33" t="n">
        <f aca="false">B8-B7</f>
        <v>11335</v>
      </c>
      <c r="D8" s="33" t="n">
        <v>878.3</v>
      </c>
      <c r="E8" s="33" t="n">
        <f aca="false">D8-D7</f>
        <v>467.3</v>
      </c>
      <c r="F8" s="33" t="n">
        <v>14.65</v>
      </c>
      <c r="G8" s="33" t="n">
        <f aca="false">F8-F7</f>
        <v>7.93</v>
      </c>
      <c r="H8" s="33" t="n">
        <v>192</v>
      </c>
      <c r="I8" s="33" t="n">
        <f aca="false">H8-H7</f>
        <v>100</v>
      </c>
      <c r="J8" s="2" t="s">
        <v>181</v>
      </c>
      <c r="K8" s="2" t="n">
        <f aca="false">QUARTILE($B$2:$B$32, 3)</f>
        <v>15167.5</v>
      </c>
      <c r="L8" s="2" t="n">
        <f aca="false">QUARTILE($D$2:$D$32, 3)</f>
        <v>644.85</v>
      </c>
      <c r="M8" s="2" t="n">
        <f aca="false">QUARTILE($F$2:$F$32, 3)</f>
        <v>10.62</v>
      </c>
      <c r="N8" s="2" t="n">
        <f aca="false">QUARTILE($H$2:$H$32, 3)</f>
        <v>147</v>
      </c>
    </row>
    <row r="9" customFormat="false" ht="13.8" hidden="false" customHeight="false" outlineLevel="0" collapsed="false">
      <c r="A9" s="32" t="n">
        <v>45665</v>
      </c>
      <c r="B9" s="33" t="n">
        <v>16517</v>
      </c>
      <c r="C9" s="33" t="n">
        <f aca="false">B9-B8</f>
        <v>-4411</v>
      </c>
      <c r="D9" s="33" t="n">
        <v>722.6</v>
      </c>
      <c r="E9" s="33" t="n">
        <f aca="false">D9-D8</f>
        <v>-155.7</v>
      </c>
      <c r="F9" s="33" t="n">
        <v>11.56</v>
      </c>
      <c r="G9" s="33" t="n">
        <f aca="false">F9-F8</f>
        <v>-3.09</v>
      </c>
      <c r="H9" s="33" t="n">
        <v>169</v>
      </c>
      <c r="I9" s="33" t="n">
        <f aca="false">H9-H8</f>
        <v>-23</v>
      </c>
      <c r="J9" s="2" t="s">
        <v>182</v>
      </c>
      <c r="K9" s="2" t="n">
        <f aca="false">VAR($B$2:$B$32)</f>
        <v>19526705.5698925</v>
      </c>
      <c r="L9" s="2" t="n">
        <f aca="false">VAR($D$2:$D$32)</f>
        <v>35761.1071612903</v>
      </c>
      <c r="M9" s="2" t="n">
        <f aca="false">VAR($F$2:$F$32)</f>
        <v>9.56906559139785</v>
      </c>
      <c r="N9" s="2" t="n">
        <f aca="false">VAR($H$2:$H$32)</f>
        <v>1861.82580645161</v>
      </c>
    </row>
    <row r="10" customFormat="false" ht="13.8" hidden="false" customHeight="false" outlineLevel="0" collapsed="false">
      <c r="A10" s="32" t="n">
        <v>45666</v>
      </c>
      <c r="B10" s="33" t="n">
        <v>7215</v>
      </c>
      <c r="C10" s="33" t="n">
        <f aca="false">B10-B9</f>
        <v>-9302</v>
      </c>
      <c r="D10" s="33" t="n">
        <v>309.4</v>
      </c>
      <c r="E10" s="33" t="n">
        <f aca="false">D10-D9</f>
        <v>-413.2</v>
      </c>
      <c r="F10" s="33" t="n">
        <v>5.05</v>
      </c>
      <c r="G10" s="33" t="n">
        <f aca="false">F10-F9</f>
        <v>-6.51</v>
      </c>
      <c r="H10" s="33" t="n">
        <v>70</v>
      </c>
      <c r="I10" s="33" t="n">
        <f aca="false">H10-H9</f>
        <v>-99</v>
      </c>
      <c r="J10" s="2" t="s">
        <v>16</v>
      </c>
      <c r="K10" s="2" t="n">
        <f aca="false">STDEV($B$2:$B$32)</f>
        <v>4418.90320893007</v>
      </c>
      <c r="L10" s="2" t="n">
        <f aca="false">STDEV($D$2:$D$32)</f>
        <v>189.106073835005</v>
      </c>
      <c r="M10" s="2" t="n">
        <f aca="false">STDEV($F$2:$F$32)</f>
        <v>3.09339063026283</v>
      </c>
      <c r="N10" s="2" t="n">
        <f aca="false">STDEV($H$2:$H$32)</f>
        <v>43.1488795503616</v>
      </c>
    </row>
    <row r="11" customFormat="false" ht="13.8" hidden="false" customHeight="false" outlineLevel="0" collapsed="false">
      <c r="A11" s="32" t="n">
        <v>45667</v>
      </c>
      <c r="B11" s="33" t="n">
        <v>15165</v>
      </c>
      <c r="C11" s="33" t="n">
        <f aca="false">B11-B10</f>
        <v>7950</v>
      </c>
      <c r="D11" s="33" t="n">
        <v>640.2</v>
      </c>
      <c r="E11" s="33" t="n">
        <f aca="false">D11-D10</f>
        <v>330.8</v>
      </c>
      <c r="F11" s="33" t="n">
        <v>10.62</v>
      </c>
      <c r="G11" s="33" t="n">
        <f aca="false">F11-F10</f>
        <v>5.57</v>
      </c>
      <c r="H11" s="33" t="n">
        <v>141</v>
      </c>
      <c r="I11" s="33" t="n">
        <f aca="false">H11-H10</f>
        <v>71</v>
      </c>
      <c r="J11" s="2" t="s">
        <v>20</v>
      </c>
      <c r="K11" s="2" t="n">
        <f aca="false">KURT($B$2:$B$32)</f>
        <v>-0.902911949042282</v>
      </c>
      <c r="L11" s="2" t="n">
        <f aca="false">KURT($D$2:$D$32)</f>
        <v>-0.852298659202391</v>
      </c>
      <c r="M11" s="2" t="n">
        <f aca="false">KURT($F$2:$F$32)</f>
        <v>-0.901609149538506</v>
      </c>
      <c r="N11" s="2" t="n">
        <f aca="false">KURT($H$2:$H$32)</f>
        <v>-0.626225339534246</v>
      </c>
    </row>
    <row r="12" customFormat="false" ht="13.8" hidden="false" customHeight="false" outlineLevel="0" collapsed="false">
      <c r="A12" s="32" t="n">
        <v>45668</v>
      </c>
      <c r="B12" s="33" t="n">
        <v>8721</v>
      </c>
      <c r="C12" s="33" t="n">
        <f aca="false">B12-B11</f>
        <v>-6444</v>
      </c>
      <c r="D12" s="33" t="n">
        <v>365.5</v>
      </c>
      <c r="E12" s="33" t="n">
        <f aca="false">D12-D11</f>
        <v>-274.7</v>
      </c>
      <c r="F12" s="33" t="n">
        <v>6.1</v>
      </c>
      <c r="G12" s="33" t="n">
        <f aca="false">F12-F11</f>
        <v>-4.52</v>
      </c>
      <c r="H12" s="33" t="n">
        <v>79</v>
      </c>
      <c r="I12" s="33" t="n">
        <f aca="false">H12-H11</f>
        <v>-62</v>
      </c>
      <c r="J12" s="2" t="s">
        <v>22</v>
      </c>
      <c r="K12" s="2" t="n">
        <f aca="false">SKEW($B$2:$B$32)</f>
        <v>0.347766568157684</v>
      </c>
      <c r="L12" s="2" t="n">
        <f aca="false">SKEW($D$2:$D$32)</f>
        <v>0.403700619866665</v>
      </c>
      <c r="M12" s="2" t="n">
        <f aca="false">SKEW($F$2:$F$32)</f>
        <v>0.347751033588089</v>
      </c>
      <c r="N12" s="2" t="n">
        <f aca="false">SKEW($H$2:$H$32)</f>
        <v>0.531505928130136</v>
      </c>
    </row>
    <row r="13" customFormat="false" ht="13.8" hidden="false" customHeight="false" outlineLevel="0" collapsed="false">
      <c r="A13" s="32" t="n">
        <v>45669</v>
      </c>
      <c r="B13" s="33" t="n">
        <v>9639</v>
      </c>
      <c r="C13" s="33" t="n">
        <f aca="false">B13-B12</f>
        <v>918</v>
      </c>
      <c r="D13" s="33" t="n">
        <v>401.4</v>
      </c>
      <c r="E13" s="33" t="n">
        <f aca="false">D13-D12</f>
        <v>35.9</v>
      </c>
      <c r="F13" s="33" t="n">
        <v>6.75</v>
      </c>
      <c r="G13" s="33" t="n">
        <f aca="false">F13-F12</f>
        <v>0.65</v>
      </c>
      <c r="H13" s="33" t="n">
        <v>85</v>
      </c>
      <c r="I13" s="33" t="n">
        <f aca="false">H13-H12</f>
        <v>6</v>
      </c>
      <c r="J13" s="2" t="s">
        <v>24</v>
      </c>
      <c r="K13" s="2" t="n">
        <f aca="false">MAX($B$2:$B$32)-MIN($B$2:$B$32)</f>
        <v>14904</v>
      </c>
      <c r="L13" s="2" t="n">
        <f aca="false">MAX($D$2:$D$32)-MIN($D$2:$D$32)</f>
        <v>649.7</v>
      </c>
      <c r="M13" s="2" t="n">
        <f aca="false">MAX($F$2:$F$32)-MIN($F$2:$F$32)</f>
        <v>10.43</v>
      </c>
      <c r="N13" s="2" t="n">
        <f aca="false">MAX($H$2:$H$32)-MIN($H$2:$H$32)</f>
        <v>158</v>
      </c>
    </row>
    <row r="14" customFormat="false" ht="13.8" hidden="false" customHeight="false" outlineLevel="0" collapsed="false">
      <c r="A14" s="32" t="n">
        <v>45670</v>
      </c>
      <c r="B14" s="33" t="n">
        <v>10770</v>
      </c>
      <c r="C14" s="33" t="n">
        <f aca="false">B14-B13</f>
        <v>1131</v>
      </c>
      <c r="D14" s="33" t="n">
        <v>459.2</v>
      </c>
      <c r="E14" s="33" t="n">
        <f aca="false">D14-D13</f>
        <v>57.8</v>
      </c>
      <c r="F14" s="33" t="n">
        <v>7.54</v>
      </c>
      <c r="G14" s="33" t="n">
        <f aca="false">F14-F13</f>
        <v>0.79</v>
      </c>
      <c r="H14" s="33" t="n">
        <v>103</v>
      </c>
      <c r="I14" s="33" t="n">
        <f aca="false">H14-H13</f>
        <v>18</v>
      </c>
      <c r="J14" s="2" t="s">
        <v>26</v>
      </c>
      <c r="K14" s="2" t="n">
        <f aca="false">MIN($B$2:$B$32)</f>
        <v>6024</v>
      </c>
      <c r="L14" s="2" t="n">
        <f aca="false">MIN($D$2:$D$32)</f>
        <v>260.6</v>
      </c>
      <c r="M14" s="2" t="n">
        <f aca="false">MIN($F$2:$F$32)</f>
        <v>4.22</v>
      </c>
      <c r="N14" s="2" t="n">
        <f aca="false">MIN($H$2:$H$32)</f>
        <v>59</v>
      </c>
    </row>
    <row r="15" customFormat="false" ht="13.8" hidden="false" customHeight="false" outlineLevel="0" collapsed="false">
      <c r="A15" s="32" t="n">
        <v>45671</v>
      </c>
      <c r="B15" s="33" t="n">
        <v>13917</v>
      </c>
      <c r="C15" s="33" t="n">
        <f aca="false">B15-B14</f>
        <v>3147</v>
      </c>
      <c r="D15" s="33" t="n">
        <v>581.3</v>
      </c>
      <c r="E15" s="33" t="n">
        <f aca="false">D15-D14</f>
        <v>122.1</v>
      </c>
      <c r="F15" s="33" t="n">
        <v>9.74</v>
      </c>
      <c r="G15" s="33" t="n">
        <f aca="false">F15-F14</f>
        <v>2.2</v>
      </c>
      <c r="H15" s="33" t="n">
        <v>125</v>
      </c>
      <c r="I15" s="33" t="n">
        <f aca="false">H15-H14</f>
        <v>22</v>
      </c>
      <c r="J15" s="2" t="s">
        <v>28</v>
      </c>
      <c r="K15" s="2" t="n">
        <f aca="false">MAX($B$2:$B$32)</f>
        <v>20928</v>
      </c>
      <c r="L15" s="2" t="n">
        <f aca="false">MAX($D$2:$D$32)</f>
        <v>910.3</v>
      </c>
      <c r="M15" s="2" t="n">
        <f aca="false">MAX($F$2:$F$32)</f>
        <v>14.65</v>
      </c>
      <c r="N15" s="2" t="n">
        <f aca="false">MAX($H$2:$H$32)</f>
        <v>217</v>
      </c>
    </row>
    <row r="16" customFormat="false" ht="13.8" hidden="false" customHeight="false" outlineLevel="0" collapsed="false">
      <c r="A16" s="32" t="n">
        <v>45672</v>
      </c>
      <c r="B16" s="33" t="n">
        <v>16078</v>
      </c>
      <c r="C16" s="33" t="n">
        <f aca="false">B16-B15</f>
        <v>2161</v>
      </c>
      <c r="D16" s="33" t="n">
        <v>678.2</v>
      </c>
      <c r="E16" s="33" t="n">
        <f aca="false">D16-D15</f>
        <v>96.9000000000001</v>
      </c>
      <c r="F16" s="33" t="n">
        <v>11.25</v>
      </c>
      <c r="G16" s="33" t="n">
        <f aca="false">F16-F15</f>
        <v>1.51</v>
      </c>
      <c r="H16" s="33" t="n">
        <v>147</v>
      </c>
      <c r="I16" s="33" t="n">
        <f aca="false">H16-H15</f>
        <v>22</v>
      </c>
      <c r="J16" s="2" t="s">
        <v>30</v>
      </c>
      <c r="K16" s="2" t="n">
        <f aca="false">SUM($B$2:$B$32)</f>
        <v>368663</v>
      </c>
      <c r="L16" s="2" t="n">
        <f aca="false">SUM($D$2:$D$32)</f>
        <v>15815.8</v>
      </c>
      <c r="M16" s="2" t="n">
        <f aca="false">SUM($F$2:$F$32)</f>
        <v>258.06</v>
      </c>
      <c r="N16" s="2" t="n">
        <f aca="false">SUM($H$2:$H$32)</f>
        <v>3575</v>
      </c>
    </row>
    <row r="17" customFormat="false" ht="13.8" hidden="false" customHeight="false" outlineLevel="0" collapsed="false">
      <c r="A17" s="32" t="n">
        <v>45673</v>
      </c>
      <c r="B17" s="33" t="n">
        <v>8257</v>
      </c>
      <c r="C17" s="33" t="n">
        <f aca="false">B17-B16</f>
        <v>-7821</v>
      </c>
      <c r="D17" s="33" t="n">
        <v>350.5</v>
      </c>
      <c r="E17" s="33" t="n">
        <f aca="false">D17-D16</f>
        <v>-327.7</v>
      </c>
      <c r="F17" s="33" t="n">
        <v>5.78</v>
      </c>
      <c r="G17" s="33" t="n">
        <f aca="false">F17-F16</f>
        <v>-5.47</v>
      </c>
      <c r="H17" s="33" t="n">
        <v>77</v>
      </c>
      <c r="I17" s="33" t="n">
        <f aca="false">H17-H16</f>
        <v>-70</v>
      </c>
      <c r="J17" s="2" t="s">
        <v>32</v>
      </c>
      <c r="K17" s="2" t="n">
        <f aca="false">COUNT($B$2:$B$32)</f>
        <v>31</v>
      </c>
      <c r="L17" s="2" t="n">
        <f aca="false">COUNT($D$2:$D$32)</f>
        <v>31</v>
      </c>
      <c r="M17" s="2" t="n">
        <f aca="false">COUNT($F$2:$F$32)</f>
        <v>31</v>
      </c>
      <c r="N17" s="2" t="n">
        <f aca="false">COUNT($H$2:$H$32)</f>
        <v>31</v>
      </c>
    </row>
    <row r="18" customFormat="false" ht="13.8" hidden="false" customHeight="false" outlineLevel="0" collapsed="false">
      <c r="A18" s="32" t="n">
        <v>45674</v>
      </c>
      <c r="B18" s="33" t="n">
        <v>6805</v>
      </c>
      <c r="C18" s="33" t="n">
        <f aca="false">B18-B17</f>
        <v>-1452</v>
      </c>
      <c r="D18" s="33" t="n">
        <v>294.8</v>
      </c>
      <c r="E18" s="33" t="n">
        <f aca="false">D18-D17</f>
        <v>-55.7</v>
      </c>
      <c r="F18" s="33" t="n">
        <v>4.76</v>
      </c>
      <c r="G18" s="33" t="n">
        <f aca="false">F18-F17</f>
        <v>-1.02</v>
      </c>
      <c r="H18" s="33" t="n">
        <v>67</v>
      </c>
      <c r="I18" s="33" t="n">
        <f aca="false">H18-H17</f>
        <v>-10</v>
      </c>
    </row>
    <row r="19" customFormat="false" ht="13.8" hidden="false" customHeight="false" outlineLevel="0" collapsed="false">
      <c r="A19" s="32" t="n">
        <v>45675</v>
      </c>
      <c r="B19" s="33" t="n">
        <v>15713</v>
      </c>
      <c r="C19" s="33" t="n">
        <f aca="false">B19-B18</f>
        <v>8908</v>
      </c>
      <c r="D19" s="33" t="n">
        <v>682.6</v>
      </c>
      <c r="E19" s="33" t="n">
        <f aca="false">D19-D18</f>
        <v>387.8</v>
      </c>
      <c r="F19" s="33" t="n">
        <v>11</v>
      </c>
      <c r="G19" s="33" t="n">
        <f aca="false">F19-F18</f>
        <v>6.24</v>
      </c>
      <c r="H19" s="33" t="n">
        <v>158</v>
      </c>
      <c r="I19" s="33" t="n">
        <f aca="false">H19-H18</f>
        <v>91</v>
      </c>
    </row>
    <row r="20" customFormat="false" ht="13.8" hidden="false" customHeight="false" outlineLevel="0" collapsed="false">
      <c r="A20" s="32" t="n">
        <v>45676</v>
      </c>
      <c r="B20" s="33" t="n">
        <v>11461</v>
      </c>
      <c r="C20" s="33" t="n">
        <f aca="false">B20-B19</f>
        <v>-4252</v>
      </c>
      <c r="D20" s="33" t="n">
        <v>487</v>
      </c>
      <c r="E20" s="33" t="n">
        <f aca="false">D20-D19</f>
        <v>-195.6</v>
      </c>
      <c r="F20" s="33" t="n">
        <v>8.02</v>
      </c>
      <c r="G20" s="33" t="n">
        <f aca="false">F20-F19</f>
        <v>-2.98</v>
      </c>
      <c r="H20" s="33" t="n">
        <v>106</v>
      </c>
      <c r="I20" s="33" t="n">
        <f aca="false">H20-H19</f>
        <v>-52</v>
      </c>
    </row>
    <row r="21" customFormat="false" ht="13.8" hidden="false" customHeight="false" outlineLevel="0" collapsed="false">
      <c r="A21" s="32" t="n">
        <v>45677</v>
      </c>
      <c r="B21" s="33" t="n">
        <v>15170</v>
      </c>
      <c r="C21" s="33" t="n">
        <f aca="false">B21-B20</f>
        <v>3709</v>
      </c>
      <c r="D21" s="33" t="n">
        <v>649.5</v>
      </c>
      <c r="E21" s="33" t="n">
        <f aca="false">D21-D20</f>
        <v>162.5</v>
      </c>
      <c r="F21" s="33" t="n">
        <v>10.62</v>
      </c>
      <c r="G21" s="33" t="n">
        <f aca="false">F21-F20</f>
        <v>2.6</v>
      </c>
      <c r="H21" s="33" t="n">
        <v>147</v>
      </c>
      <c r="I21" s="33" t="n">
        <f aca="false">H21-H20</f>
        <v>41</v>
      </c>
    </row>
    <row r="22" customFormat="false" ht="13.8" hidden="false" customHeight="false" outlineLevel="0" collapsed="false">
      <c r="A22" s="32" t="n">
        <v>45678</v>
      </c>
      <c r="B22" s="33" t="n">
        <v>18385</v>
      </c>
      <c r="C22" s="33" t="n">
        <f aca="false">B22-B21</f>
        <v>3215</v>
      </c>
      <c r="D22" s="33" t="n">
        <v>795.6</v>
      </c>
      <c r="E22" s="33" t="n">
        <f aca="false">D22-D21</f>
        <v>146.1</v>
      </c>
      <c r="F22" s="33" t="n">
        <v>12.87</v>
      </c>
      <c r="G22" s="33" t="n">
        <f aca="false">F22-F21</f>
        <v>2.25</v>
      </c>
      <c r="H22" s="33" t="n">
        <v>183</v>
      </c>
      <c r="I22" s="33" t="n">
        <f aca="false">H22-H21</f>
        <v>36</v>
      </c>
    </row>
    <row r="23" customFormat="false" ht="13.8" hidden="false" customHeight="false" outlineLevel="0" collapsed="false">
      <c r="A23" s="32" t="n">
        <v>45679</v>
      </c>
      <c r="B23" s="33" t="n">
        <v>16906</v>
      </c>
      <c r="C23" s="33" t="n">
        <f aca="false">B23-B22</f>
        <v>-1479</v>
      </c>
      <c r="D23" s="33" t="n">
        <v>712.7</v>
      </c>
      <c r="E23" s="33" t="n">
        <f aca="false">D23-D22</f>
        <v>-82.9</v>
      </c>
      <c r="F23" s="33" t="n">
        <v>11.83</v>
      </c>
      <c r="G23" s="33" t="n">
        <f aca="false">F23-F22</f>
        <v>-1.04</v>
      </c>
      <c r="H23" s="33" t="n">
        <v>156</v>
      </c>
      <c r="I23" s="33" t="n">
        <f aca="false">H23-H22</f>
        <v>-27</v>
      </c>
    </row>
    <row r="24" customFormat="false" ht="13.8" hidden="false" customHeight="false" outlineLevel="0" collapsed="false">
      <c r="A24" s="32" t="n">
        <v>45680</v>
      </c>
      <c r="B24" s="33" t="n">
        <v>13181</v>
      </c>
      <c r="C24" s="33" t="n">
        <f aca="false">B24-B23</f>
        <v>-3725</v>
      </c>
      <c r="D24" s="33" t="n">
        <v>563.1</v>
      </c>
      <c r="E24" s="33" t="n">
        <f aca="false">D24-D23</f>
        <v>-149.6</v>
      </c>
      <c r="F24" s="33" t="n">
        <v>9.23</v>
      </c>
      <c r="G24" s="33" t="n">
        <f aca="false">F24-F23</f>
        <v>-2.6</v>
      </c>
      <c r="H24" s="33" t="n">
        <v>128</v>
      </c>
      <c r="I24" s="33" t="n">
        <f aca="false">H24-H23</f>
        <v>-28</v>
      </c>
    </row>
    <row r="25" customFormat="false" ht="13.8" hidden="false" customHeight="false" outlineLevel="0" collapsed="false">
      <c r="A25" s="32" t="n">
        <v>45681</v>
      </c>
      <c r="B25" s="33" t="n">
        <v>7951</v>
      </c>
      <c r="C25" s="33" t="n">
        <f aca="false">B25-B24</f>
        <v>-5230</v>
      </c>
      <c r="D25" s="33" t="n">
        <v>343.7</v>
      </c>
      <c r="E25" s="33" t="n">
        <f aca="false">D25-D24</f>
        <v>-219.4</v>
      </c>
      <c r="F25" s="33" t="n">
        <v>5.57</v>
      </c>
      <c r="G25" s="33" t="n">
        <f aca="false">F25-F24</f>
        <v>-3.66</v>
      </c>
      <c r="H25" s="33" t="n">
        <v>79</v>
      </c>
      <c r="I25" s="33" t="n">
        <f aca="false">H25-H24</f>
        <v>-49</v>
      </c>
    </row>
    <row r="26" customFormat="false" ht="13.8" hidden="false" customHeight="false" outlineLevel="0" collapsed="false">
      <c r="A26" s="32" t="n">
        <v>45682</v>
      </c>
      <c r="B26" s="33" t="n">
        <v>8283</v>
      </c>
      <c r="C26" s="33" t="n">
        <f aca="false">B26-B25</f>
        <v>332</v>
      </c>
      <c r="D26" s="33" t="n">
        <v>354</v>
      </c>
      <c r="E26" s="33" t="n">
        <f aca="false">D26-D25</f>
        <v>10.3</v>
      </c>
      <c r="F26" s="33" t="n">
        <v>5.8</v>
      </c>
      <c r="G26" s="33" t="n">
        <f aca="false">F26-F25</f>
        <v>0.23</v>
      </c>
      <c r="H26" s="33" t="n">
        <v>79</v>
      </c>
      <c r="I26" s="33" t="n">
        <f aca="false">H26-H25</f>
        <v>0</v>
      </c>
    </row>
    <row r="27" customFormat="false" ht="13.8" hidden="false" customHeight="false" outlineLevel="0" collapsed="false">
      <c r="A27" s="32" t="n">
        <v>45683</v>
      </c>
      <c r="B27" s="33" t="n">
        <v>20581</v>
      </c>
      <c r="C27" s="33" t="n">
        <f aca="false">B27-B26</f>
        <v>12298</v>
      </c>
      <c r="D27" s="33" t="n">
        <v>910.3</v>
      </c>
      <c r="E27" s="33" t="n">
        <f aca="false">D27-D26</f>
        <v>556.3</v>
      </c>
      <c r="F27" s="33" t="n">
        <v>14.41</v>
      </c>
      <c r="G27" s="33" t="n">
        <f aca="false">F27-F26</f>
        <v>8.61</v>
      </c>
      <c r="H27" s="33" t="n">
        <v>217</v>
      </c>
      <c r="I27" s="33" t="n">
        <f aca="false">H27-H26</f>
        <v>138</v>
      </c>
    </row>
    <row r="28" customFormat="false" ht="13.8" hidden="false" customHeight="false" outlineLevel="0" collapsed="false">
      <c r="A28" s="32" t="n">
        <v>45684</v>
      </c>
      <c r="B28" s="33" t="n">
        <v>13949</v>
      </c>
      <c r="C28" s="33" t="n">
        <f aca="false">B28-B27</f>
        <v>-6632</v>
      </c>
      <c r="D28" s="33" t="n">
        <v>587.4</v>
      </c>
      <c r="E28" s="33" t="n">
        <f aca="false">D28-D27</f>
        <v>-322.9</v>
      </c>
      <c r="F28" s="33" t="n">
        <v>9.76</v>
      </c>
      <c r="G28" s="33" t="n">
        <f aca="false">F28-F27</f>
        <v>-4.65</v>
      </c>
      <c r="H28" s="33" t="n">
        <v>128</v>
      </c>
      <c r="I28" s="33" t="n">
        <f aca="false">H28-H27</f>
        <v>-89</v>
      </c>
    </row>
    <row r="29" customFormat="false" ht="13.8" hidden="false" customHeight="false" outlineLevel="0" collapsed="false">
      <c r="A29" s="32" t="n">
        <v>45685</v>
      </c>
      <c r="B29" s="33" t="n">
        <v>14572</v>
      </c>
      <c r="C29" s="33" t="n">
        <f aca="false">B29-B28</f>
        <v>623</v>
      </c>
      <c r="D29" s="33" t="n">
        <v>638.6</v>
      </c>
      <c r="E29" s="33" t="n">
        <f aca="false">D29-D28</f>
        <v>51.2</v>
      </c>
      <c r="F29" s="33" t="n">
        <v>10.2</v>
      </c>
      <c r="G29" s="33" t="n">
        <f aca="false">F29-F28</f>
        <v>0.44</v>
      </c>
      <c r="H29" s="33" t="n">
        <v>150</v>
      </c>
      <c r="I29" s="33" t="n">
        <f aca="false">H29-H28</f>
        <v>22</v>
      </c>
    </row>
    <row r="30" customFormat="false" ht="13.8" hidden="false" customHeight="false" outlineLevel="0" collapsed="false">
      <c r="A30" s="32" t="n">
        <v>45686</v>
      </c>
      <c r="B30" s="33" t="n">
        <v>6474</v>
      </c>
      <c r="C30" s="33" t="n">
        <f aca="false">B30-B29</f>
        <v>-8098</v>
      </c>
      <c r="D30" s="33" t="n">
        <v>284</v>
      </c>
      <c r="E30" s="33" t="n">
        <f aca="false">D30-D29</f>
        <v>-354.6</v>
      </c>
      <c r="F30" s="33" t="n">
        <v>4.53</v>
      </c>
      <c r="G30" s="33" t="n">
        <f aca="false">F30-F29</f>
        <v>-5.67</v>
      </c>
      <c r="H30" s="33" t="n">
        <v>67</v>
      </c>
      <c r="I30" s="33" t="n">
        <f aca="false">H30-H29</f>
        <v>-83</v>
      </c>
    </row>
    <row r="31" customFormat="false" ht="13.8" hidden="false" customHeight="false" outlineLevel="0" collapsed="false">
      <c r="A31" s="32" t="n">
        <v>45687</v>
      </c>
      <c r="B31" s="33" t="n">
        <v>6464</v>
      </c>
      <c r="C31" s="33" t="n">
        <f aca="false">B31-B30</f>
        <v>-10</v>
      </c>
      <c r="D31" s="33" t="n">
        <v>280.7</v>
      </c>
      <c r="E31" s="33" t="n">
        <f aca="false">D31-D30</f>
        <v>-3.30000000000001</v>
      </c>
      <c r="F31" s="33" t="n">
        <v>4.52</v>
      </c>
      <c r="G31" s="33" t="n">
        <f aca="false">F31-F30</f>
        <v>-0.0100000000000007</v>
      </c>
      <c r="H31" s="33" t="n">
        <v>65</v>
      </c>
      <c r="I31" s="33" t="n">
        <f aca="false">H31-H30</f>
        <v>-2</v>
      </c>
    </row>
    <row r="32" customFormat="false" ht="13.8" hidden="false" customHeight="false" outlineLevel="0" collapsed="false">
      <c r="A32" s="32" t="n">
        <v>45688</v>
      </c>
      <c r="B32" s="33" t="n">
        <v>6101</v>
      </c>
      <c r="C32" s="33" t="n">
        <f aca="false">B32-B31</f>
        <v>-363</v>
      </c>
      <c r="D32" s="33" t="n">
        <v>260.6</v>
      </c>
      <c r="E32" s="33" t="n">
        <f aca="false">D32-D31</f>
        <v>-20.1</v>
      </c>
      <c r="F32" s="33" t="n">
        <v>4.27</v>
      </c>
      <c r="G32" s="33" t="n">
        <f aca="false">F32-F31</f>
        <v>-0.25</v>
      </c>
      <c r="H32" s="33" t="n">
        <v>59</v>
      </c>
      <c r="I32" s="33" t="n">
        <f aca="false">H32-H31</f>
        <v>-6</v>
      </c>
    </row>
    <row r="33" customFormat="false" ht="13.8" hidden="false" customHeight="false" outlineLevel="0" collapsed="false">
      <c r="A33" s="32" t="n">
        <v>45689</v>
      </c>
      <c r="B33" s="33" t="n">
        <v>13120</v>
      </c>
      <c r="C33" s="33" t="n">
        <f aca="false">B33-B32</f>
        <v>7019</v>
      </c>
      <c r="D33" s="33" t="n">
        <v>555.2</v>
      </c>
      <c r="E33" s="33" t="n">
        <f aca="false">D33-D32</f>
        <v>294.6</v>
      </c>
      <c r="F33" s="33" t="n">
        <v>9.18</v>
      </c>
      <c r="G33" s="33" t="n">
        <f aca="false">F33-F32</f>
        <v>4.91</v>
      </c>
      <c r="H33" s="33" t="n">
        <v>123</v>
      </c>
      <c r="I33" s="33" t="n">
        <f aca="false">H33-H32</f>
        <v>64</v>
      </c>
      <c r="K33" s="34" t="s">
        <v>2</v>
      </c>
      <c r="L33" s="34" t="s">
        <v>179</v>
      </c>
      <c r="M33" s="34" t="s">
        <v>175</v>
      </c>
      <c r="N33" s="34" t="s">
        <v>177</v>
      </c>
    </row>
    <row r="34" customFormat="false" ht="13.8" hidden="false" customHeight="false" outlineLevel="0" collapsed="false">
      <c r="A34" s="32" t="n">
        <v>45690</v>
      </c>
      <c r="B34" s="33" t="n">
        <v>11592</v>
      </c>
      <c r="C34" s="33" t="n">
        <f aca="false">B34-B33</f>
        <v>-1528</v>
      </c>
      <c r="D34" s="33" t="n">
        <v>493.2</v>
      </c>
      <c r="E34" s="33" t="n">
        <f aca="false">D34-D33</f>
        <v>-62.0000000000001</v>
      </c>
      <c r="F34" s="33" t="n">
        <v>8.11</v>
      </c>
      <c r="G34" s="33" t="n">
        <f aca="false">F34-F33</f>
        <v>-1.07</v>
      </c>
      <c r="H34" s="33" t="n">
        <v>110</v>
      </c>
      <c r="I34" s="33" t="n">
        <f aca="false">H34-H33</f>
        <v>-13</v>
      </c>
      <c r="J34" s="2" t="s">
        <v>8</v>
      </c>
      <c r="K34" s="2" t="n">
        <f aca="false">AVERAGE($B$33:$B$60)</f>
        <v>10307.9642857143</v>
      </c>
      <c r="L34" s="2" t="n">
        <f aca="false">AVERAGE($D$33:$D$60)</f>
        <v>441.767857142857</v>
      </c>
      <c r="M34" s="2" t="n">
        <f aca="false">AVERAGE($F$33:$F$60)</f>
        <v>7.21464285714286</v>
      </c>
      <c r="N34" s="2" t="n">
        <f aca="false">AVERAGE($H$33:$H$60)</f>
        <v>99.2857142857143</v>
      </c>
    </row>
    <row r="35" customFormat="false" ht="13.8" hidden="false" customHeight="false" outlineLevel="0" collapsed="false">
      <c r="A35" s="32" t="n">
        <v>45691</v>
      </c>
      <c r="B35" s="33" t="n">
        <v>10837</v>
      </c>
      <c r="C35" s="33" t="n">
        <f aca="false">B35-B34</f>
        <v>-755</v>
      </c>
      <c r="D35" s="33" t="n">
        <v>457.5</v>
      </c>
      <c r="E35" s="33" t="n">
        <f aca="false">D35-D34</f>
        <v>-35.7</v>
      </c>
      <c r="F35" s="33" t="n">
        <v>7.59</v>
      </c>
      <c r="G35" s="33" t="n">
        <f aca="false">F35-F34</f>
        <v>-0.52</v>
      </c>
      <c r="H35" s="33" t="n">
        <v>101</v>
      </c>
      <c r="I35" s="33" t="n">
        <f aca="false">H35-H34</f>
        <v>-9</v>
      </c>
      <c r="J35" s="2" t="s">
        <v>10</v>
      </c>
      <c r="K35" s="2" t="n">
        <f aca="false">SQRT(VAR($B$33:$B$60)/COUNT($B$33:$B$60))</f>
        <v>1223.2735923328</v>
      </c>
      <c r="L35" s="2" t="n">
        <f aca="false">SQRT(VAR($D$33:$D$60)/COUNT($D$33:$D$60))</f>
        <v>52.3129292580219</v>
      </c>
      <c r="M35" s="2" t="n">
        <f aca="false">SQRT(VAR($F$33:$F$60)/COUNT($F$33:$F$60))</f>
        <v>0.856365749468759</v>
      </c>
      <c r="N35" s="2" t="n">
        <f aca="false">SQRT(VAR($H$33:$H$60)/COUNT($H$33:$H$60))</f>
        <v>11.7874537757522</v>
      </c>
    </row>
    <row r="36" customFormat="false" ht="13.8" hidden="false" customHeight="false" outlineLevel="0" collapsed="false">
      <c r="A36" s="32" t="n">
        <v>45692</v>
      </c>
      <c r="B36" s="33" t="n">
        <v>8603</v>
      </c>
      <c r="C36" s="33" t="n">
        <f aca="false">B36-B35</f>
        <v>-2234</v>
      </c>
      <c r="D36" s="33" t="n">
        <v>363.7</v>
      </c>
      <c r="E36" s="33" t="n">
        <f aca="false">D36-D35</f>
        <v>-93.8</v>
      </c>
      <c r="F36" s="33" t="n">
        <v>6.02</v>
      </c>
      <c r="G36" s="33" t="n">
        <f aca="false">F36-F35</f>
        <v>-1.57</v>
      </c>
      <c r="H36" s="33" t="n">
        <v>80</v>
      </c>
      <c r="I36" s="33" t="n">
        <f aca="false">H36-H35</f>
        <v>-21</v>
      </c>
      <c r="J36" s="2" t="s">
        <v>14</v>
      </c>
      <c r="K36" s="2" t="e">
        <f aca="false">MODE($B$33:$B$60)</f>
        <v>#VALUE!</v>
      </c>
      <c r="L36" s="2" t="e">
        <f aca="false">MODE($D$33:$D$60)</f>
        <v>#VALUE!</v>
      </c>
      <c r="M36" s="2" t="e">
        <f aca="false">MODE($F$33:$F$60)</f>
        <v>#VALUE!</v>
      </c>
      <c r="N36" s="2" t="n">
        <f aca="false">MODE($H$33:$H$60)</f>
        <v>98</v>
      </c>
    </row>
    <row r="37" customFormat="false" ht="13.8" hidden="false" customHeight="false" outlineLevel="0" collapsed="false">
      <c r="A37" s="32" t="n">
        <v>45693</v>
      </c>
      <c r="B37" s="33" t="n">
        <v>10684</v>
      </c>
      <c r="C37" s="33" t="n">
        <f aca="false">B37-B36</f>
        <v>2081</v>
      </c>
      <c r="D37" s="33" t="n">
        <v>450.4</v>
      </c>
      <c r="E37" s="33" t="n">
        <f aca="false">D37-D36</f>
        <v>86.7</v>
      </c>
      <c r="F37" s="33" t="n">
        <v>7.48</v>
      </c>
      <c r="G37" s="33" t="n">
        <f aca="false">F37-F36</f>
        <v>1.46</v>
      </c>
      <c r="H37" s="33" t="n">
        <v>98</v>
      </c>
      <c r="I37" s="33" t="n">
        <f aca="false">H37-H36</f>
        <v>18</v>
      </c>
      <c r="J37" s="2" t="s">
        <v>12</v>
      </c>
      <c r="K37" s="2" t="n">
        <f aca="false">MEDIAN($B$33:$B$60)</f>
        <v>9976</v>
      </c>
      <c r="L37" s="2" t="n">
        <f aca="false">MEDIAN($D$33:$D$60)</f>
        <v>438.85</v>
      </c>
      <c r="M37" s="2" t="n">
        <f aca="false">MEDIAN($F$33:$F$60)</f>
        <v>6.98</v>
      </c>
      <c r="N37" s="2" t="n">
        <f aca="false">MEDIAN($H$33:$H$60)</f>
        <v>98</v>
      </c>
    </row>
    <row r="38" customFormat="false" ht="13.8" hidden="false" customHeight="false" outlineLevel="0" collapsed="false">
      <c r="A38" s="32" t="n">
        <v>45694</v>
      </c>
      <c r="B38" s="33" t="n">
        <v>11122</v>
      </c>
      <c r="C38" s="33" t="n">
        <f aca="false">B38-B37</f>
        <v>438</v>
      </c>
      <c r="D38" s="33" t="n">
        <v>465.9</v>
      </c>
      <c r="E38" s="33" t="n">
        <f aca="false">D38-D37</f>
        <v>15.5</v>
      </c>
      <c r="F38" s="33" t="n">
        <v>7.79</v>
      </c>
      <c r="G38" s="33" t="n">
        <f aca="false">F38-F37</f>
        <v>0.31</v>
      </c>
      <c r="H38" s="33" t="n">
        <v>101</v>
      </c>
      <c r="I38" s="33" t="n">
        <f aca="false">H38-H37</f>
        <v>3</v>
      </c>
      <c r="J38" s="2" t="s">
        <v>195</v>
      </c>
      <c r="K38" s="2" t="n">
        <f aca="false">QUARTILE($B$33:$B$60, 1)</f>
        <v>6753</v>
      </c>
      <c r="L38" s="2" t="n">
        <f aca="false">QUARTILE($D$33:$D$60, 1)</f>
        <v>291.425</v>
      </c>
      <c r="M38" s="2" t="n">
        <f aca="false">QUARTILE($F$33:$F$60, 1)</f>
        <v>4.725</v>
      </c>
      <c r="N38" s="2" t="n">
        <f aca="false">QUARTILE($H$33:$H$60, 1)</f>
        <v>66.75</v>
      </c>
    </row>
    <row r="39" customFormat="false" ht="13.8" hidden="false" customHeight="false" outlineLevel="0" collapsed="false">
      <c r="A39" s="32" t="n">
        <v>45695</v>
      </c>
      <c r="B39" s="33" t="n">
        <v>6974</v>
      </c>
      <c r="C39" s="33" t="n">
        <f aca="false">B39-B38</f>
        <v>-4148</v>
      </c>
      <c r="D39" s="33" t="n">
        <v>300.7</v>
      </c>
      <c r="E39" s="33" t="n">
        <f aca="false">D39-D38</f>
        <v>-165.2</v>
      </c>
      <c r="F39" s="33" t="n">
        <v>4.88</v>
      </c>
      <c r="G39" s="33" t="n">
        <f aca="false">F39-F38</f>
        <v>-2.91</v>
      </c>
      <c r="H39" s="33" t="n">
        <v>69</v>
      </c>
      <c r="I39" s="33" t="n">
        <f aca="false">H39-H38</f>
        <v>-32</v>
      </c>
      <c r="J39" s="2" t="s">
        <v>181</v>
      </c>
      <c r="K39" s="2" t="n">
        <f aca="false">QUARTILE($B$33:$B$60, 3)</f>
        <v>11948.5</v>
      </c>
      <c r="L39" s="2" t="n">
        <f aca="false">QUARTILE($D$33:$D$60, 3)</f>
        <v>507.05</v>
      </c>
      <c r="M39" s="2" t="n">
        <f aca="false">QUARTILE($F$33:$F$60, 3)</f>
        <v>8.3625</v>
      </c>
      <c r="N39" s="2" t="n">
        <f aca="false">QUARTILE($H$33:$H$60, 3)</f>
        <v>110.5</v>
      </c>
    </row>
    <row r="40" customFormat="false" ht="13.8" hidden="false" customHeight="false" outlineLevel="0" collapsed="false">
      <c r="A40" s="32" t="n">
        <v>45696</v>
      </c>
      <c r="B40" s="33" t="n">
        <v>9575</v>
      </c>
      <c r="C40" s="33" t="n">
        <f aca="false">B40-B39</f>
        <v>2601</v>
      </c>
      <c r="D40" s="33" t="n">
        <v>410</v>
      </c>
      <c r="E40" s="33" t="n">
        <f aca="false">D40-D39</f>
        <v>109.3</v>
      </c>
      <c r="F40" s="33" t="n">
        <v>6.7</v>
      </c>
      <c r="G40" s="33" t="n">
        <f aca="false">F40-F39</f>
        <v>1.82</v>
      </c>
      <c r="H40" s="33" t="n">
        <v>92</v>
      </c>
      <c r="I40" s="33" t="n">
        <f aca="false">H40-H39</f>
        <v>23</v>
      </c>
      <c r="J40" s="2" t="s">
        <v>182</v>
      </c>
      <c r="K40" s="2" t="n">
        <f aca="false">VAR($B$33:$B$60)</f>
        <v>41899151.8875661</v>
      </c>
      <c r="L40" s="2" t="n">
        <f aca="false">VAR($D$33:$D$60)</f>
        <v>76625.9918915344</v>
      </c>
      <c r="M40" s="2" t="n">
        <f aca="false">VAR($F$33:$F$60)</f>
        <v>20.5341443121693</v>
      </c>
      <c r="N40" s="2" t="n">
        <f aca="false">VAR($H$33:$H$60)</f>
        <v>3890.43386243386</v>
      </c>
    </row>
    <row r="41" customFormat="false" ht="13.8" hidden="false" customHeight="false" outlineLevel="0" collapsed="false">
      <c r="A41" s="32" t="n">
        <v>45697</v>
      </c>
      <c r="B41" s="33" t="n">
        <v>15107</v>
      </c>
      <c r="C41" s="33" t="n">
        <f aca="false">B41-B40</f>
        <v>5532</v>
      </c>
      <c r="D41" s="33" t="n">
        <v>639.2</v>
      </c>
      <c r="E41" s="33" t="n">
        <f aca="false">D41-D40</f>
        <v>229.2</v>
      </c>
      <c r="F41" s="33" t="n">
        <v>10.57</v>
      </c>
      <c r="G41" s="33" t="n">
        <f aca="false">F41-F40</f>
        <v>3.87</v>
      </c>
      <c r="H41" s="33" t="n">
        <v>140</v>
      </c>
      <c r="I41" s="33" t="n">
        <f aca="false">H41-H40</f>
        <v>48</v>
      </c>
      <c r="J41" s="2" t="s">
        <v>16</v>
      </c>
      <c r="K41" s="2" t="n">
        <f aca="false">STDEV($B$33:$B$60)</f>
        <v>6472.95542141039</v>
      </c>
      <c r="L41" s="2" t="n">
        <f aca="false">STDEV($D$33:$D$60)</f>
        <v>276.814002340081</v>
      </c>
      <c r="M41" s="2" t="n">
        <f aca="false">STDEV($F$33:$F$60)</f>
        <v>4.53146160881556</v>
      </c>
      <c r="N41" s="2" t="n">
        <f aca="false">STDEV($H$33:$H$60)</f>
        <v>62.3733425626194</v>
      </c>
    </row>
    <row r="42" customFormat="false" ht="13.8" hidden="false" customHeight="false" outlineLevel="0" collapsed="false">
      <c r="A42" s="32" t="n">
        <v>45698</v>
      </c>
      <c r="B42" s="33" t="n">
        <v>10005</v>
      </c>
      <c r="C42" s="33" t="n">
        <f aca="false">B42-B41</f>
        <v>-5102</v>
      </c>
      <c r="D42" s="33" t="n">
        <v>431.6</v>
      </c>
      <c r="E42" s="33" t="n">
        <f aca="false">D42-D41</f>
        <v>-207.6</v>
      </c>
      <c r="F42" s="33" t="n">
        <v>7</v>
      </c>
      <c r="G42" s="33" t="n">
        <f aca="false">F42-F41</f>
        <v>-3.57</v>
      </c>
      <c r="H42" s="33" t="n">
        <v>98</v>
      </c>
      <c r="I42" s="33" t="n">
        <f aca="false">H42-H41</f>
        <v>-42</v>
      </c>
      <c r="J42" s="2" t="s">
        <v>20</v>
      </c>
      <c r="K42" s="2" t="n">
        <f aca="false">KURT($B$33:$B$60)</f>
        <v>7.21717824753411</v>
      </c>
      <c r="L42" s="2" t="n">
        <f aca="false">KURT($D$33:$D$60)</f>
        <v>7.97581749331631</v>
      </c>
      <c r="M42" s="2" t="n">
        <f aca="false">KURT($F$33:$F$60)</f>
        <v>7.21889581854432</v>
      </c>
      <c r="N42" s="2" t="n">
        <f aca="false">KURT($H$33:$H$60)</f>
        <v>9.28382433764176</v>
      </c>
    </row>
    <row r="43" customFormat="false" ht="13.8" hidden="false" customHeight="false" outlineLevel="0" collapsed="false">
      <c r="A43" s="32" t="n">
        <v>45699</v>
      </c>
      <c r="B43" s="33" t="n">
        <v>12169</v>
      </c>
      <c r="C43" s="33" t="n">
        <f aca="false">B43-B42</f>
        <v>2164</v>
      </c>
      <c r="D43" s="33" t="n">
        <v>509.3</v>
      </c>
      <c r="E43" s="33" t="n">
        <f aca="false">D43-D42</f>
        <v>77.7</v>
      </c>
      <c r="F43" s="33" t="n">
        <v>8.52</v>
      </c>
      <c r="G43" s="33" t="n">
        <f aca="false">F43-F42</f>
        <v>1.52</v>
      </c>
      <c r="H43" s="33" t="n">
        <v>108</v>
      </c>
      <c r="I43" s="33" t="n">
        <f aca="false">H43-H42</f>
        <v>10</v>
      </c>
      <c r="J43" s="2" t="s">
        <v>22</v>
      </c>
      <c r="K43" s="2" t="n">
        <f aca="false">SKEW($B$33:$B$60)</f>
        <v>2.03108158681639</v>
      </c>
      <c r="L43" s="2" t="n">
        <f aca="false">SKEW($D$33:$D$60)</f>
        <v>2.16718765830728</v>
      </c>
      <c r="M43" s="2" t="n">
        <f aca="false">SKEW($F$33:$F$60)</f>
        <v>2.03143714222077</v>
      </c>
      <c r="N43" s="2" t="n">
        <f aca="false">SKEW($H$33:$H$60)</f>
        <v>2.39362258957347</v>
      </c>
    </row>
    <row r="44" customFormat="false" ht="13.8" hidden="false" customHeight="false" outlineLevel="0" collapsed="false">
      <c r="A44" s="32" t="n">
        <v>45700</v>
      </c>
      <c r="B44" s="33" t="n">
        <v>6090</v>
      </c>
      <c r="C44" s="33" t="n">
        <f aca="false">B44-B43</f>
        <v>-6079</v>
      </c>
      <c r="D44" s="33" t="n">
        <v>263.6</v>
      </c>
      <c r="E44" s="33" t="n">
        <f aca="false">D44-D43</f>
        <v>-245.7</v>
      </c>
      <c r="F44" s="33" t="n">
        <v>4.26</v>
      </c>
      <c r="G44" s="33" t="n">
        <f aca="false">F44-F43</f>
        <v>-4.26</v>
      </c>
      <c r="H44" s="33" t="n">
        <v>60</v>
      </c>
      <c r="I44" s="33" t="n">
        <f aca="false">H44-H43</f>
        <v>-48</v>
      </c>
      <c r="J44" s="2" t="s">
        <v>24</v>
      </c>
      <c r="K44" s="2" t="n">
        <f aca="false">MAX($B$33:$B$60)-MIN($B$33:$B$60)</f>
        <v>33496</v>
      </c>
      <c r="L44" s="2" t="n">
        <f aca="false">MAX($D$33:$D$60)-MIN($D$33:$D$60)</f>
        <v>1449.4</v>
      </c>
      <c r="M44" s="2" t="n">
        <f aca="false">MAX($F$33:$F$60)-MIN($F$33:$F$60)</f>
        <v>23.45</v>
      </c>
      <c r="N44" s="2" t="n">
        <f aca="false">MAX($H$33:$H$60)-MIN($H$33:$H$60)</f>
        <v>333</v>
      </c>
    </row>
    <row r="45" customFormat="false" ht="13.8" hidden="false" customHeight="false" outlineLevel="0" collapsed="false">
      <c r="A45" s="32" t="n">
        <v>45701</v>
      </c>
      <c r="B45" s="33" t="n">
        <v>3470</v>
      </c>
      <c r="C45" s="33" t="n">
        <f aca="false">B45-B44</f>
        <v>-2620</v>
      </c>
      <c r="D45" s="33" t="n">
        <v>158.6</v>
      </c>
      <c r="E45" s="33" t="n">
        <f aca="false">D45-D44</f>
        <v>-105</v>
      </c>
      <c r="F45" s="33" t="n">
        <v>2.43</v>
      </c>
      <c r="G45" s="33" t="n">
        <f aca="false">F45-F44</f>
        <v>-1.83</v>
      </c>
      <c r="H45" s="33" t="n">
        <v>39</v>
      </c>
      <c r="I45" s="33" t="n">
        <f aca="false">H45-H44</f>
        <v>-21</v>
      </c>
      <c r="J45" s="2" t="s">
        <v>26</v>
      </c>
      <c r="K45" s="2" t="n">
        <f aca="false">MIN($B$33:$B$60)</f>
        <v>1545</v>
      </c>
      <c r="L45" s="2" t="n">
        <f aca="false">MIN($D$33:$D$60)</f>
        <v>71.3</v>
      </c>
      <c r="M45" s="2" t="n">
        <f aca="false">MIN($F$33:$F$60)</f>
        <v>1.08</v>
      </c>
      <c r="N45" s="2" t="n">
        <f aca="false">MIN($H$33:$H$60)</f>
        <v>17</v>
      </c>
    </row>
    <row r="46" customFormat="false" ht="13.8" hidden="false" customHeight="false" outlineLevel="0" collapsed="false">
      <c r="A46" s="32" t="n">
        <v>45702</v>
      </c>
      <c r="B46" s="33" t="n">
        <v>3290</v>
      </c>
      <c r="C46" s="33" t="n">
        <f aca="false">B46-B45</f>
        <v>-180</v>
      </c>
      <c r="D46" s="33" t="n">
        <v>147.9</v>
      </c>
      <c r="E46" s="33" t="n">
        <f aca="false">D46-D45</f>
        <v>-10.7</v>
      </c>
      <c r="F46" s="33" t="n">
        <v>2.3</v>
      </c>
      <c r="G46" s="33" t="n">
        <f aca="false">F46-F45</f>
        <v>-0.13</v>
      </c>
      <c r="H46" s="33" t="n">
        <v>36</v>
      </c>
      <c r="I46" s="33" t="n">
        <f aca="false">H46-H45</f>
        <v>-3</v>
      </c>
      <c r="J46" s="2" t="s">
        <v>28</v>
      </c>
      <c r="K46" s="2" t="n">
        <f aca="false">MAX($B$33:$B$60)</f>
        <v>35041</v>
      </c>
      <c r="L46" s="2" t="n">
        <f aca="false">MAX($D$33:$D$60)</f>
        <v>1520.7</v>
      </c>
      <c r="M46" s="2" t="n">
        <f aca="false">MAX($F$33:$F$60)</f>
        <v>24.53</v>
      </c>
      <c r="N46" s="2" t="n">
        <f aca="false">MAX($H$33:$H$60)</f>
        <v>350</v>
      </c>
    </row>
    <row r="47" customFormat="false" ht="13.8" hidden="false" customHeight="false" outlineLevel="0" collapsed="false">
      <c r="A47" s="32" t="n">
        <v>45703</v>
      </c>
      <c r="B47" s="33" t="n">
        <v>1673</v>
      </c>
      <c r="C47" s="33" t="n">
        <f aca="false">B47-B46</f>
        <v>-1617</v>
      </c>
      <c r="D47" s="33" t="n">
        <v>73.9</v>
      </c>
      <c r="E47" s="33" t="n">
        <f aca="false">D47-D46</f>
        <v>-74</v>
      </c>
      <c r="F47" s="33" t="n">
        <v>1.17</v>
      </c>
      <c r="G47" s="33" t="n">
        <f aca="false">F47-F46</f>
        <v>-1.13</v>
      </c>
      <c r="H47" s="33" t="n">
        <v>17</v>
      </c>
      <c r="I47" s="33" t="n">
        <f aca="false">H47-H46</f>
        <v>-19</v>
      </c>
      <c r="J47" s="2" t="s">
        <v>30</v>
      </c>
      <c r="K47" s="2" t="n">
        <f aca="false">SUM($B$33:$B$60)</f>
        <v>288623</v>
      </c>
      <c r="L47" s="2" t="n">
        <f aca="false">SUM($D$33:$D$60)</f>
        <v>12369.5</v>
      </c>
      <c r="M47" s="2" t="n">
        <f aca="false">SUM($F$33:$F$60)</f>
        <v>202.01</v>
      </c>
      <c r="N47" s="2" t="n">
        <f aca="false">SUM($H$33:$H$60)</f>
        <v>2780</v>
      </c>
    </row>
    <row r="48" customFormat="false" ht="13.8" hidden="false" customHeight="false" outlineLevel="0" collapsed="false">
      <c r="A48" s="32" t="n">
        <v>45704</v>
      </c>
      <c r="B48" s="33" t="n">
        <v>1545</v>
      </c>
      <c r="C48" s="33" t="n">
        <f aca="false">B48-B47</f>
        <v>-128</v>
      </c>
      <c r="D48" s="33" t="n">
        <v>71.3</v>
      </c>
      <c r="E48" s="33" t="n">
        <f aca="false">D48-D47</f>
        <v>-2.60000000000001</v>
      </c>
      <c r="F48" s="33" t="n">
        <v>1.08</v>
      </c>
      <c r="G48" s="33" t="n">
        <f aca="false">F48-F47</f>
        <v>-0.0899999999999999</v>
      </c>
      <c r="H48" s="33" t="n">
        <v>17</v>
      </c>
      <c r="I48" s="33" t="n">
        <f aca="false">H48-H47</f>
        <v>0</v>
      </c>
      <c r="J48" s="2" t="s">
        <v>32</v>
      </c>
      <c r="K48" s="2" t="n">
        <f aca="false">COUNT($B$33:$B$60)</f>
        <v>28</v>
      </c>
      <c r="L48" s="2" t="n">
        <f aca="false">COUNT($D$33:$D$60)</f>
        <v>28</v>
      </c>
      <c r="M48" s="2" t="n">
        <f aca="false">COUNT($F$33:$F$60)</f>
        <v>28</v>
      </c>
      <c r="N48" s="2" t="n">
        <f aca="false">COUNT($H$33:$H$60)</f>
        <v>28</v>
      </c>
    </row>
    <row r="49" customFormat="false" ht="13.8" hidden="false" customHeight="false" outlineLevel="0" collapsed="false">
      <c r="A49" s="32" t="n">
        <v>45705</v>
      </c>
      <c r="B49" s="33" t="n">
        <v>4129</v>
      </c>
      <c r="C49" s="33" t="n">
        <f aca="false">B49-B48</f>
        <v>2584</v>
      </c>
      <c r="D49" s="33" t="n">
        <v>188.1</v>
      </c>
      <c r="E49" s="33" t="n">
        <f aca="false">D49-D48</f>
        <v>116.8</v>
      </c>
      <c r="F49" s="33" t="n">
        <v>2.89</v>
      </c>
      <c r="G49" s="33" t="n">
        <f aca="false">F49-F48</f>
        <v>1.81</v>
      </c>
      <c r="H49" s="33" t="n">
        <v>46</v>
      </c>
      <c r="I49" s="33" t="n">
        <f aca="false">H49-H48</f>
        <v>29</v>
      </c>
    </row>
    <row r="50" customFormat="false" ht="13.8" hidden="false" customHeight="false" outlineLevel="0" collapsed="false">
      <c r="A50" s="32" t="n">
        <v>45706</v>
      </c>
      <c r="B50" s="33" t="n">
        <v>5800</v>
      </c>
      <c r="C50" s="33" t="n">
        <f aca="false">B50-B49</f>
        <v>1671</v>
      </c>
      <c r="D50" s="33" t="n">
        <v>249.9</v>
      </c>
      <c r="E50" s="33" t="n">
        <f aca="false">D50-D49</f>
        <v>61.8</v>
      </c>
      <c r="F50" s="33" t="n">
        <v>4.06</v>
      </c>
      <c r="G50" s="33" t="n">
        <f aca="false">F50-F49</f>
        <v>1.17</v>
      </c>
      <c r="H50" s="33" t="n">
        <v>57</v>
      </c>
      <c r="I50" s="33" t="n">
        <f aca="false">H50-H49</f>
        <v>11</v>
      </c>
    </row>
    <row r="51" customFormat="false" ht="13.8" hidden="false" customHeight="false" outlineLevel="0" collapsed="false">
      <c r="A51" s="32" t="n">
        <v>45707</v>
      </c>
      <c r="B51" s="33" t="n">
        <v>9947</v>
      </c>
      <c r="C51" s="33" t="n">
        <f aca="false">B51-B50</f>
        <v>4147</v>
      </c>
      <c r="D51" s="33" t="n">
        <v>428.3</v>
      </c>
      <c r="E51" s="33" t="n">
        <f aca="false">D51-D50</f>
        <v>178.4</v>
      </c>
      <c r="F51" s="33" t="n">
        <v>6.96</v>
      </c>
      <c r="G51" s="33" t="n">
        <f aca="false">F51-F50</f>
        <v>2.9</v>
      </c>
      <c r="H51" s="33" t="n">
        <v>98</v>
      </c>
      <c r="I51" s="33" t="n">
        <f aca="false">H51-H50</f>
        <v>41</v>
      </c>
    </row>
    <row r="52" customFormat="false" ht="13.8" hidden="false" customHeight="false" outlineLevel="0" collapsed="false">
      <c r="A52" s="32" t="n">
        <v>45708</v>
      </c>
      <c r="B52" s="33" t="n">
        <v>11875</v>
      </c>
      <c r="C52" s="33" t="n">
        <f aca="false">B52-B51</f>
        <v>1928</v>
      </c>
      <c r="D52" s="33" t="n">
        <v>506.3</v>
      </c>
      <c r="E52" s="33" t="n">
        <f aca="false">D52-D51</f>
        <v>78</v>
      </c>
      <c r="F52" s="33" t="n">
        <v>8.31</v>
      </c>
      <c r="G52" s="33" t="n">
        <f aca="false">F52-F51</f>
        <v>1.35</v>
      </c>
      <c r="H52" s="33" t="n">
        <v>112</v>
      </c>
      <c r="I52" s="33" t="n">
        <f aca="false">H52-H51</f>
        <v>14</v>
      </c>
    </row>
    <row r="53" customFormat="false" ht="13.8" hidden="false" customHeight="false" outlineLevel="0" collapsed="false">
      <c r="A53" s="32" t="n">
        <v>45709</v>
      </c>
      <c r="B53" s="33" t="n">
        <v>8471</v>
      </c>
      <c r="C53" s="33" t="n">
        <f aca="false">B53-B52</f>
        <v>-3404</v>
      </c>
      <c r="D53" s="33" t="n">
        <v>365.3</v>
      </c>
      <c r="E53" s="33" t="n">
        <f aca="false">D53-D52</f>
        <v>-141</v>
      </c>
      <c r="F53" s="33" t="n">
        <v>5.93</v>
      </c>
      <c r="G53" s="33" t="n">
        <f aca="false">F53-F52</f>
        <v>-2.38</v>
      </c>
      <c r="H53" s="33" t="n">
        <v>83</v>
      </c>
      <c r="I53" s="33" t="n">
        <f aca="false">H53-H52</f>
        <v>-29</v>
      </c>
    </row>
    <row r="54" customFormat="false" ht="13.8" hidden="false" customHeight="false" outlineLevel="0" collapsed="false">
      <c r="A54" s="32" t="n">
        <v>45710</v>
      </c>
      <c r="B54" s="33" t="n">
        <v>9777</v>
      </c>
      <c r="C54" s="33" t="n">
        <f aca="false">B54-B53</f>
        <v>1306</v>
      </c>
      <c r="D54" s="33" t="n">
        <v>446.1</v>
      </c>
      <c r="E54" s="33" t="n">
        <f aca="false">D54-D53</f>
        <v>80.8</v>
      </c>
      <c r="F54" s="33" t="n">
        <v>6.84</v>
      </c>
      <c r="G54" s="33" t="n">
        <f aca="false">F54-F53</f>
        <v>0.91</v>
      </c>
      <c r="H54" s="33" t="n">
        <v>110</v>
      </c>
      <c r="I54" s="33" t="n">
        <f aca="false">H54-H53</f>
        <v>27</v>
      </c>
    </row>
    <row r="55" customFormat="false" ht="13.8" hidden="false" customHeight="false" outlineLevel="0" collapsed="false">
      <c r="A55" s="32" t="n">
        <v>45711</v>
      </c>
      <c r="B55" s="33" t="n">
        <v>35041</v>
      </c>
      <c r="C55" s="33" t="n">
        <f aca="false">B55-B54</f>
        <v>25264</v>
      </c>
      <c r="D55" s="33" t="n">
        <v>1520.7</v>
      </c>
      <c r="E55" s="33" t="n">
        <f aca="false">D55-D54</f>
        <v>1074.6</v>
      </c>
      <c r="F55" s="33" t="n">
        <v>24.53</v>
      </c>
      <c r="G55" s="33" t="n">
        <f aca="false">F55-F54</f>
        <v>17.69</v>
      </c>
      <c r="H55" s="33" t="n">
        <v>350</v>
      </c>
      <c r="I55" s="33" t="n">
        <f aca="false">H55-H54</f>
        <v>240</v>
      </c>
    </row>
    <row r="56" customFormat="false" ht="13.8" hidden="false" customHeight="false" outlineLevel="0" collapsed="false">
      <c r="A56" s="32" t="n">
        <v>45712</v>
      </c>
      <c r="B56" s="33" t="n">
        <v>14085</v>
      </c>
      <c r="C56" s="33" t="n">
        <f aca="false">B56-B55</f>
        <v>-20956</v>
      </c>
      <c r="D56" s="33" t="n">
        <v>590.8</v>
      </c>
      <c r="E56" s="33" t="n">
        <f aca="false">D56-D55</f>
        <v>-929.9</v>
      </c>
      <c r="F56" s="33" t="n">
        <v>9.86</v>
      </c>
      <c r="G56" s="33" t="n">
        <f aca="false">F56-F55</f>
        <v>-14.67</v>
      </c>
      <c r="H56" s="33" t="n">
        <v>128</v>
      </c>
      <c r="I56" s="33" t="n">
        <f aca="false">H56-H55</f>
        <v>-222</v>
      </c>
    </row>
    <row r="57" customFormat="false" ht="13.8" hidden="false" customHeight="false" outlineLevel="0" collapsed="false">
      <c r="A57" s="32" t="n">
        <v>45713</v>
      </c>
      <c r="B57" s="33" t="n">
        <v>19483</v>
      </c>
      <c r="C57" s="33" t="n">
        <f aca="false">B57-B56</f>
        <v>5398</v>
      </c>
      <c r="D57" s="33" t="n">
        <v>821.5</v>
      </c>
      <c r="E57" s="33" t="n">
        <f aca="false">D57-D56</f>
        <v>230.7</v>
      </c>
      <c r="F57" s="33" t="n">
        <v>13.64</v>
      </c>
      <c r="G57" s="33" t="n">
        <f aca="false">F57-F56</f>
        <v>3.78</v>
      </c>
      <c r="H57" s="33" t="n">
        <v>179</v>
      </c>
      <c r="I57" s="33" t="n">
        <f aca="false">H57-H56</f>
        <v>51</v>
      </c>
    </row>
    <row r="58" customFormat="false" ht="13.8" hidden="false" customHeight="false" outlineLevel="0" collapsed="false">
      <c r="A58" s="32" t="n">
        <v>45714</v>
      </c>
      <c r="B58" s="33" t="n">
        <v>10970</v>
      </c>
      <c r="C58" s="33" t="n">
        <f aca="false">B58-B57</f>
        <v>-8513</v>
      </c>
      <c r="D58" s="33" t="n">
        <v>473.1</v>
      </c>
      <c r="E58" s="33" t="n">
        <f aca="false">D58-D57</f>
        <v>-348.4</v>
      </c>
      <c r="F58" s="33" t="n">
        <v>7.68</v>
      </c>
      <c r="G58" s="33" t="n">
        <f aca="false">F58-F57</f>
        <v>-5.96</v>
      </c>
      <c r="H58" s="33" t="n">
        <v>108</v>
      </c>
      <c r="I58" s="33" t="n">
        <f aca="false">H58-H57</f>
        <v>-71</v>
      </c>
    </row>
    <row r="59" customFormat="false" ht="13.8" hidden="false" customHeight="false" outlineLevel="0" collapsed="false">
      <c r="A59" s="32" t="n">
        <v>45715</v>
      </c>
      <c r="B59" s="33" t="n">
        <v>15818</v>
      </c>
      <c r="C59" s="33" t="n">
        <f aca="false">B59-B58</f>
        <v>4848</v>
      </c>
      <c r="D59" s="33" t="n">
        <v>670.8</v>
      </c>
      <c r="E59" s="33" t="n">
        <f aca="false">D59-D58</f>
        <v>197.7</v>
      </c>
      <c r="F59" s="33" t="n">
        <v>11.07</v>
      </c>
      <c r="G59" s="33" t="n">
        <f aca="false">F59-F58</f>
        <v>3.39</v>
      </c>
      <c r="H59" s="33" t="n">
        <v>149</v>
      </c>
      <c r="I59" s="33" t="n">
        <f aca="false">H59-H58</f>
        <v>41</v>
      </c>
    </row>
    <row r="60" customFormat="false" ht="13.8" hidden="false" customHeight="false" outlineLevel="0" collapsed="false">
      <c r="A60" s="32" t="n">
        <v>45716</v>
      </c>
      <c r="B60" s="33" t="n">
        <v>7371</v>
      </c>
      <c r="C60" s="33" t="n">
        <f aca="false">B60-B59</f>
        <v>-8447</v>
      </c>
      <c r="D60" s="33" t="n">
        <v>316.6</v>
      </c>
      <c r="E60" s="33" t="n">
        <f aca="false">D60-D59</f>
        <v>-354.2</v>
      </c>
      <c r="F60" s="33" t="n">
        <v>5.16</v>
      </c>
      <c r="G60" s="33" t="n">
        <f aca="false">F60-F59</f>
        <v>-5.91</v>
      </c>
      <c r="H60" s="33" t="n">
        <v>71</v>
      </c>
      <c r="I60" s="33" t="n">
        <f aca="false">H60-H59</f>
        <v>-78</v>
      </c>
    </row>
    <row r="61" customFormat="false" ht="13.8" hidden="false" customHeight="false" outlineLevel="0" collapsed="false">
      <c r="A61" s="32" t="n">
        <v>45717</v>
      </c>
      <c r="B61" s="33" t="n">
        <v>8342</v>
      </c>
      <c r="C61" s="33" t="n">
        <f aca="false">B61-B60</f>
        <v>971</v>
      </c>
      <c r="D61" s="33" t="n">
        <v>357.8</v>
      </c>
      <c r="E61" s="33" t="n">
        <f aca="false">D61-D60</f>
        <v>41.2</v>
      </c>
      <c r="F61" s="33" t="n">
        <v>5.84</v>
      </c>
      <c r="G61" s="33" t="n">
        <f aca="false">F61-F60</f>
        <v>0.68</v>
      </c>
      <c r="H61" s="33" t="n">
        <v>79</v>
      </c>
      <c r="I61" s="33" t="n">
        <f aca="false">H61-H60</f>
        <v>8</v>
      </c>
      <c r="K61" s="34" t="s">
        <v>2</v>
      </c>
      <c r="L61" s="34" t="s">
        <v>179</v>
      </c>
      <c r="M61" s="34" t="s">
        <v>175</v>
      </c>
      <c r="N61" s="34" t="s">
        <v>177</v>
      </c>
    </row>
    <row r="62" customFormat="false" ht="13.8" hidden="false" customHeight="false" outlineLevel="0" collapsed="false">
      <c r="A62" s="32" t="n">
        <v>45718</v>
      </c>
      <c r="B62" s="33" t="n">
        <v>9702</v>
      </c>
      <c r="C62" s="33" t="n">
        <f aca="false">B62-B61</f>
        <v>1360</v>
      </c>
      <c r="D62" s="33" t="n">
        <v>419.8</v>
      </c>
      <c r="E62" s="33" t="n">
        <f aca="false">D62-D61</f>
        <v>62</v>
      </c>
      <c r="F62" s="33" t="n">
        <v>6.79</v>
      </c>
      <c r="G62" s="33" t="n">
        <f aca="false">F62-F61</f>
        <v>0.95</v>
      </c>
      <c r="H62" s="33" t="n">
        <v>96</v>
      </c>
      <c r="I62" s="33" t="n">
        <f aca="false">H62-H61</f>
        <v>17</v>
      </c>
      <c r="J62" s="2" t="s">
        <v>8</v>
      </c>
      <c r="K62" s="2" t="n">
        <f aca="false">AVERAGE($B$61:$B$91)</f>
        <v>14615.6451612903</v>
      </c>
      <c r="L62" s="2" t="n">
        <f aca="false">AVERAGE($D$61:$D$91)</f>
        <v>618.512903225807</v>
      </c>
      <c r="M62" s="2" t="n">
        <f aca="false">AVERAGE($F$61:$F$91)</f>
        <v>10.2312903225806</v>
      </c>
      <c r="N62" s="2" t="n">
        <f aca="false">AVERAGE($H$61:$H$91)</f>
        <v>136.967741935484</v>
      </c>
    </row>
    <row r="63" customFormat="false" ht="13.8" hidden="false" customHeight="false" outlineLevel="0" collapsed="false">
      <c r="A63" s="32" t="n">
        <v>45719</v>
      </c>
      <c r="B63" s="33" t="n">
        <v>20650</v>
      </c>
      <c r="C63" s="33" t="n">
        <f aca="false">B63-B62</f>
        <v>10948</v>
      </c>
      <c r="D63" s="33" t="n">
        <v>875.8</v>
      </c>
      <c r="E63" s="33" t="n">
        <f aca="false">D63-D62</f>
        <v>456</v>
      </c>
      <c r="F63" s="33" t="n">
        <v>14.45</v>
      </c>
      <c r="G63" s="33" t="n">
        <f aca="false">F63-F62</f>
        <v>7.66</v>
      </c>
      <c r="H63" s="33" t="n">
        <v>195</v>
      </c>
      <c r="I63" s="33" t="n">
        <f aca="false">H63-H62</f>
        <v>99</v>
      </c>
      <c r="J63" s="2" t="s">
        <v>10</v>
      </c>
      <c r="K63" s="2" t="n">
        <f aca="false">SQRT(VAR($B$61:$B$91)/COUNT($B$61:$B$91))</f>
        <v>684.982064828209</v>
      </c>
      <c r="L63" s="2" t="n">
        <f aca="false">SQRT(VAR($D$61:$D$91)/COUNT($D$61:$D$91))</f>
        <v>28.697574638794</v>
      </c>
      <c r="M63" s="2" t="n">
        <f aca="false">SQRT(VAR($F$61:$F$91)/COUNT($F$61:$F$91))</f>
        <v>0.479549910379791</v>
      </c>
      <c r="N63" s="2" t="n">
        <f aca="false">SQRT(VAR($H$61:$H$91)/COUNT($H$61:$H$91))</f>
        <v>6.33483013511735</v>
      </c>
    </row>
    <row r="64" customFormat="false" ht="13.8" hidden="false" customHeight="false" outlineLevel="0" collapsed="false">
      <c r="A64" s="32" t="n">
        <v>45720</v>
      </c>
      <c r="B64" s="33" t="n">
        <v>17337</v>
      </c>
      <c r="C64" s="33" t="n">
        <f aca="false">B64-B63</f>
        <v>-3313</v>
      </c>
      <c r="D64" s="33" t="n">
        <v>739.6</v>
      </c>
      <c r="E64" s="33" t="n">
        <f aca="false">D64-D63</f>
        <v>-136.2</v>
      </c>
      <c r="F64" s="33" t="n">
        <v>12.14</v>
      </c>
      <c r="G64" s="33" t="n">
        <f aca="false">F64-F63</f>
        <v>-2.31</v>
      </c>
      <c r="H64" s="33" t="n">
        <v>166</v>
      </c>
      <c r="I64" s="33" t="n">
        <f aca="false">H64-H63</f>
        <v>-29</v>
      </c>
      <c r="J64" s="2" t="s">
        <v>14</v>
      </c>
      <c r="K64" s="2" t="e">
        <f aca="false">MODE($B$61:$B$91)</f>
        <v>#VALUE!</v>
      </c>
      <c r="L64" s="2" t="e">
        <f aca="false">MODE($D$61:$D$91)</f>
        <v>#VALUE!</v>
      </c>
      <c r="M64" s="2" t="e">
        <f aca="false">MODE($F$61:$F$91)</f>
        <v>#VALUE!</v>
      </c>
      <c r="N64" s="2" t="n">
        <f aca="false">MODE($H$61:$H$91)</f>
        <v>96</v>
      </c>
    </row>
    <row r="65" customFormat="false" ht="13.8" hidden="false" customHeight="false" outlineLevel="0" collapsed="false">
      <c r="A65" s="32" t="n">
        <v>45721</v>
      </c>
      <c r="B65" s="33" t="n">
        <v>20365</v>
      </c>
      <c r="C65" s="33" t="n">
        <f aca="false">B65-B64</f>
        <v>3028</v>
      </c>
      <c r="D65" s="33" t="n">
        <v>857</v>
      </c>
      <c r="E65" s="33" t="n">
        <f aca="false">D65-D64</f>
        <v>117.4</v>
      </c>
      <c r="F65" s="33" t="n">
        <v>14.26</v>
      </c>
      <c r="G65" s="33" t="n">
        <f aca="false">F65-F64</f>
        <v>2.12</v>
      </c>
      <c r="H65" s="33" t="n">
        <v>186</v>
      </c>
      <c r="I65" s="33" t="n">
        <f aca="false">H65-H64</f>
        <v>20</v>
      </c>
      <c r="J65" s="2" t="s">
        <v>12</v>
      </c>
      <c r="K65" s="2" t="n">
        <f aca="false">MEDIAN($B$61:$B$91)</f>
        <v>15136</v>
      </c>
      <c r="L65" s="2" t="n">
        <f aca="false">MEDIAN($D$61:$D$91)</f>
        <v>640</v>
      </c>
      <c r="M65" s="2" t="n">
        <f aca="false">MEDIAN($F$61:$F$91)</f>
        <v>10.6</v>
      </c>
      <c r="N65" s="2" t="n">
        <f aca="false">MEDIAN($H$61:$H$91)</f>
        <v>142</v>
      </c>
    </row>
    <row r="66" customFormat="false" ht="13.8" hidden="false" customHeight="false" outlineLevel="0" collapsed="false">
      <c r="A66" s="32" t="n">
        <v>45722</v>
      </c>
      <c r="B66" s="33" t="n">
        <v>13937</v>
      </c>
      <c r="C66" s="33" t="n">
        <f aca="false">B66-B65</f>
        <v>-6428</v>
      </c>
      <c r="D66" s="33" t="n">
        <v>584.2</v>
      </c>
      <c r="E66" s="33" t="n">
        <v>9.76</v>
      </c>
      <c r="F66" s="33" t="n">
        <v>9.76</v>
      </c>
      <c r="G66" s="33" t="n">
        <f aca="false">F66-F65</f>
        <v>-4.5</v>
      </c>
      <c r="H66" s="33" t="n">
        <v>126</v>
      </c>
      <c r="I66" s="33" t="n">
        <f aca="false">H66-H65</f>
        <v>-60</v>
      </c>
      <c r="J66" s="2" t="s">
        <v>195</v>
      </c>
      <c r="K66" s="2" t="n">
        <f aca="false">QUARTILE($B$61:$B$91, 1)</f>
        <v>11521.5</v>
      </c>
      <c r="L66" s="2" t="n">
        <f aca="false">QUARTILE($D$61:$D$91, 1)</f>
        <v>486.05</v>
      </c>
      <c r="M66" s="2" t="n">
        <f aca="false">QUARTILE($F$61:$F$91, 1)</f>
        <v>8.065</v>
      </c>
      <c r="N66" s="2" t="n">
        <f aca="false">QUARTILE($H$61:$H$91, 1)</f>
        <v>107</v>
      </c>
    </row>
    <row r="67" customFormat="false" ht="13.8" hidden="false" customHeight="false" outlineLevel="0" collapsed="false">
      <c r="A67" s="32" t="n">
        <v>45723</v>
      </c>
      <c r="B67" s="33" t="n">
        <v>14934</v>
      </c>
      <c r="C67" s="33" t="n">
        <f aca="false">B67-B66</f>
        <v>997</v>
      </c>
      <c r="D67" s="33" t="n">
        <v>628.6</v>
      </c>
      <c r="E67" s="33" t="n">
        <f aca="false">D67-D66</f>
        <v>44.4</v>
      </c>
      <c r="F67" s="33" t="n">
        <v>10.45</v>
      </c>
      <c r="G67" s="33" t="n">
        <f aca="false">F67-F66</f>
        <v>0.69</v>
      </c>
      <c r="H67" s="33" t="n">
        <v>137</v>
      </c>
      <c r="I67" s="33" t="n">
        <f aca="false">H67-H66</f>
        <v>11</v>
      </c>
      <c r="J67" s="2" t="s">
        <v>181</v>
      </c>
      <c r="K67" s="2" t="n">
        <f aca="false">QUARTILE($B$61:$B$91, 3)</f>
        <v>17564.5</v>
      </c>
      <c r="L67" s="2" t="n">
        <f aca="false">QUARTILE($D$61:$D$91, 3)</f>
        <v>744.65</v>
      </c>
      <c r="M67" s="2" t="n">
        <f aca="false">QUARTILE($F$61:$F$91, 3)</f>
        <v>12.295</v>
      </c>
      <c r="N67" s="2" t="n">
        <f aca="false">QUARTILE($H$61:$H$91, 3)</f>
        <v>165</v>
      </c>
    </row>
    <row r="68" customFormat="false" ht="13.8" hidden="false" customHeight="false" outlineLevel="0" collapsed="false">
      <c r="A68" s="32" t="n">
        <v>45724</v>
      </c>
      <c r="B68" s="33" t="n">
        <v>15352</v>
      </c>
      <c r="C68" s="33" t="n">
        <f aca="false">B68-B67</f>
        <v>418</v>
      </c>
      <c r="D68" s="33" t="n">
        <v>654.7</v>
      </c>
      <c r="E68" s="33" t="n">
        <f aca="false">D68-D67</f>
        <v>26.1</v>
      </c>
      <c r="F68" s="33" t="n">
        <v>10.75</v>
      </c>
      <c r="G68" s="33" t="n">
        <f aca="false">F68-F67</f>
        <v>0.300000000000001</v>
      </c>
      <c r="H68" s="33" t="n">
        <v>147</v>
      </c>
      <c r="I68" s="33" t="n">
        <f aca="false">H68-H67</f>
        <v>10</v>
      </c>
      <c r="J68" s="2" t="s">
        <v>182</v>
      </c>
      <c r="K68" s="2" t="n">
        <f aca="false">VAR($B$61:$B$91)</f>
        <v>14545213.3032258</v>
      </c>
      <c r="L68" s="2" t="n">
        <f aca="false">VAR($D$61:$D$91)</f>
        <v>25530.0744946237</v>
      </c>
      <c r="M68" s="2" t="n">
        <f aca="false">VAR($F$61:$F$91)</f>
        <v>7.12901161290323</v>
      </c>
      <c r="N68" s="2" t="n">
        <f aca="false">VAR($H$61:$H$91)</f>
        <v>1244.03225806452</v>
      </c>
    </row>
    <row r="69" customFormat="false" ht="13.8" hidden="false" customHeight="false" outlineLevel="0" collapsed="false">
      <c r="A69" s="32" t="n">
        <v>45725</v>
      </c>
      <c r="B69" s="33" t="n">
        <v>9565</v>
      </c>
      <c r="C69" s="33" t="n">
        <f aca="false">B69-B68</f>
        <v>-5787</v>
      </c>
      <c r="D69" s="33" t="n">
        <v>411.5</v>
      </c>
      <c r="E69" s="33" t="n">
        <f aca="false">D69-D68</f>
        <v>-243.2</v>
      </c>
      <c r="F69" s="33" t="n">
        <v>6.7</v>
      </c>
      <c r="G69" s="33" t="n">
        <f aca="false">F69-F68</f>
        <v>-4.05</v>
      </c>
      <c r="H69" s="33" t="n">
        <v>94</v>
      </c>
      <c r="I69" s="33" t="n">
        <f aca="false">H69-H68</f>
        <v>-53</v>
      </c>
      <c r="J69" s="2" t="s">
        <v>16</v>
      </c>
      <c r="K69" s="2" t="n">
        <f aca="false">STDEV($B$61:$B$91)</f>
        <v>3813.81872972822</v>
      </c>
      <c r="L69" s="2" t="n">
        <f aca="false">STDEV($D$61:$D$91)</f>
        <v>159.781333373532</v>
      </c>
      <c r="M69" s="2" t="n">
        <f aca="false">STDEV($F$61:$F$91)</f>
        <v>2.67002090121093</v>
      </c>
      <c r="N69" s="2" t="n">
        <f aca="false">STDEV($H$61:$H$91)</f>
        <v>35.270841470888</v>
      </c>
    </row>
    <row r="70" customFormat="false" ht="13.8" hidden="false" customHeight="false" outlineLevel="0" collapsed="false">
      <c r="A70" s="32" t="n">
        <v>45726</v>
      </c>
      <c r="B70" s="33" t="n">
        <v>19479</v>
      </c>
      <c r="C70" s="33" t="n">
        <f aca="false">B70-B69</f>
        <v>9914</v>
      </c>
      <c r="D70" s="33" t="n">
        <v>826.7</v>
      </c>
      <c r="E70" s="33" t="n">
        <f aca="false">D70-D69</f>
        <v>415.2</v>
      </c>
      <c r="F70" s="33" t="n">
        <v>13.64</v>
      </c>
      <c r="G70" s="33" t="n">
        <f aca="false">F70-F69</f>
        <v>6.94</v>
      </c>
      <c r="H70" s="33" t="n">
        <v>184</v>
      </c>
      <c r="I70" s="33" t="n">
        <f aca="false">H70-H69</f>
        <v>90</v>
      </c>
      <c r="J70" s="2" t="s">
        <v>20</v>
      </c>
      <c r="K70" s="2" t="n">
        <f aca="false">KURT($B$61:$B$91)</f>
        <v>-0.841241545978829</v>
      </c>
      <c r="L70" s="2" t="n">
        <f aca="false">KURT($D$61:$D$91)</f>
        <v>-0.838230039811859</v>
      </c>
      <c r="M70" s="2" t="n">
        <f aca="false">KURT($F$61:$F$91)</f>
        <v>-0.84355881332479</v>
      </c>
      <c r="N70" s="2" t="n">
        <f aca="false">KURT($H$61:$H$91)</f>
        <v>-0.895086101638754</v>
      </c>
    </row>
    <row r="71" customFormat="false" ht="13.8" hidden="false" customHeight="false" outlineLevel="0" collapsed="false">
      <c r="A71" s="32" t="n">
        <v>45727</v>
      </c>
      <c r="B71" s="33" t="n">
        <v>17792</v>
      </c>
      <c r="C71" s="33" t="n">
        <f aca="false">B71-B70</f>
        <v>-1687</v>
      </c>
      <c r="D71" s="33" t="n">
        <v>749.7</v>
      </c>
      <c r="E71" s="33" t="n">
        <f aca="false">D71-D70</f>
        <v>-77</v>
      </c>
      <c r="F71" s="33" t="n">
        <v>12.45</v>
      </c>
      <c r="G71" s="33" t="n">
        <f aca="false">F71-F70</f>
        <v>-1.19</v>
      </c>
      <c r="H71" s="33" t="n">
        <v>164</v>
      </c>
      <c r="I71" s="33" t="n">
        <f aca="false">H71-H70</f>
        <v>-20</v>
      </c>
      <c r="J71" s="2" t="s">
        <v>22</v>
      </c>
      <c r="K71" s="2" t="n">
        <f aca="false">SKEW($B$61:$B$91)</f>
        <v>-0.252298228258369</v>
      </c>
      <c r="L71" s="2" t="n">
        <f aca="false">SKEW($D$61:$D$91)</f>
        <v>-0.204852137204137</v>
      </c>
      <c r="M71" s="2" t="n">
        <f aca="false">SKEW($F$61:$F$91)</f>
        <v>-0.25160031818928</v>
      </c>
      <c r="N71" s="2" t="n">
        <f aca="false">SKEW($H$61:$H$91)</f>
        <v>-0.129646852132416</v>
      </c>
    </row>
    <row r="72" customFormat="false" ht="13.8" hidden="false" customHeight="false" outlineLevel="0" collapsed="false">
      <c r="A72" s="32" t="n">
        <v>45728</v>
      </c>
      <c r="B72" s="33" t="n">
        <v>16955</v>
      </c>
      <c r="C72" s="33" t="n">
        <f aca="false">B72-B71</f>
        <v>-837</v>
      </c>
      <c r="D72" s="33" t="n">
        <v>707</v>
      </c>
      <c r="E72" s="33" t="n">
        <f aca="false">D72-D71</f>
        <v>-42.7</v>
      </c>
      <c r="F72" s="33" t="n">
        <v>11.87</v>
      </c>
      <c r="G72" s="33" t="n">
        <f aca="false">F72-F71</f>
        <v>-0.58</v>
      </c>
      <c r="H72" s="33" t="n">
        <v>151</v>
      </c>
      <c r="I72" s="33" t="n">
        <f aca="false">H72-H71</f>
        <v>-13</v>
      </c>
      <c r="J72" s="2" t="s">
        <v>24</v>
      </c>
      <c r="K72" s="2" t="n">
        <f aca="false">MAX($B$61:$B$91)-MIN($B$61:$B$91)</f>
        <v>14126</v>
      </c>
      <c r="L72" s="2" t="n">
        <f aca="false">MAX($D$61:$D$91)-MIN($D$61:$D$91)</f>
        <v>593.3</v>
      </c>
      <c r="M72" s="2" t="n">
        <f aca="false">MAX($F$61:$F$91)-MIN($F$61:$F$91)</f>
        <v>9.88</v>
      </c>
      <c r="N72" s="2" t="n">
        <f aca="false">MAX($H$61:$H$91)-MIN($H$61:$H$91)</f>
        <v>130</v>
      </c>
    </row>
    <row r="73" customFormat="false" ht="13.8" hidden="false" customHeight="false" outlineLevel="0" collapsed="false">
      <c r="A73" s="32" t="n">
        <v>45729</v>
      </c>
      <c r="B73" s="33" t="n">
        <v>15136</v>
      </c>
      <c r="C73" s="33" t="n">
        <f aca="false">B73-B72</f>
        <v>-1819</v>
      </c>
      <c r="D73" s="33" t="n">
        <v>640</v>
      </c>
      <c r="E73" s="33" t="n">
        <f aca="false">D73-D72</f>
        <v>-67</v>
      </c>
      <c r="F73" s="33" t="n">
        <v>10.6</v>
      </c>
      <c r="G73" s="33" t="n">
        <f aca="false">F73-F72</f>
        <v>-1.27</v>
      </c>
      <c r="H73" s="33" t="n">
        <v>142</v>
      </c>
      <c r="I73" s="33" t="n">
        <f aca="false">H73-H72</f>
        <v>-9</v>
      </c>
      <c r="J73" s="2" t="s">
        <v>26</v>
      </c>
      <c r="K73" s="2" t="n">
        <f aca="false">MIN($B$61:$B$91)</f>
        <v>6524</v>
      </c>
      <c r="L73" s="2" t="n">
        <f aca="false">MIN($D$61:$D$91)</f>
        <v>282.5</v>
      </c>
      <c r="M73" s="2" t="n">
        <f aca="false">MIN($F$61:$F$91)</f>
        <v>4.57</v>
      </c>
      <c r="N73" s="2" t="n">
        <f aca="false">MIN($H$61:$H$91)</f>
        <v>65</v>
      </c>
    </row>
    <row r="74" customFormat="false" ht="13.8" hidden="false" customHeight="false" outlineLevel="0" collapsed="false">
      <c r="A74" s="32" t="n">
        <v>45730</v>
      </c>
      <c r="B74" s="33" t="n">
        <v>16298</v>
      </c>
      <c r="C74" s="33" t="n">
        <f aca="false">B74-B73</f>
        <v>1162</v>
      </c>
      <c r="D74" s="33" t="n">
        <v>686.4</v>
      </c>
      <c r="E74" s="33" t="n">
        <f aca="false">D74-D73</f>
        <v>46.4</v>
      </c>
      <c r="F74" s="33" t="n">
        <v>11.41</v>
      </c>
      <c r="G74" s="33" t="n">
        <f aca="false">F74-F73</f>
        <v>0.810000000000001</v>
      </c>
      <c r="H74" s="33" t="n">
        <v>151</v>
      </c>
      <c r="I74" s="33" t="n">
        <f aca="false">H74-H73</f>
        <v>9</v>
      </c>
      <c r="J74" s="2" t="s">
        <v>28</v>
      </c>
      <c r="K74" s="2" t="n">
        <f aca="false">MAX($B$61:$B$91)</f>
        <v>20650</v>
      </c>
      <c r="L74" s="2" t="n">
        <f aca="false">MAX($D$61:$D$91)</f>
        <v>875.8</v>
      </c>
      <c r="M74" s="2" t="n">
        <f aca="false">MAX($F$61:$F$91)</f>
        <v>14.45</v>
      </c>
      <c r="N74" s="2" t="n">
        <f aca="false">MAX($H$61:$H$91)</f>
        <v>195</v>
      </c>
    </row>
    <row r="75" customFormat="false" ht="13.8" hidden="false" customHeight="false" outlineLevel="0" collapsed="false">
      <c r="A75" s="32" t="n">
        <v>45731</v>
      </c>
      <c r="B75" s="33" t="n">
        <v>6524</v>
      </c>
      <c r="C75" s="33" t="n">
        <f aca="false">B75-B74</f>
        <v>-9774</v>
      </c>
      <c r="D75" s="33" t="n">
        <v>282.5</v>
      </c>
      <c r="E75" s="33" t="n">
        <f aca="false">D75-D74</f>
        <v>-403.9</v>
      </c>
      <c r="F75" s="33" t="n">
        <v>4.57</v>
      </c>
      <c r="G75" s="33" t="n">
        <f aca="false">F75-F74</f>
        <v>-6.84</v>
      </c>
      <c r="H75" s="33" t="n">
        <v>65</v>
      </c>
      <c r="I75" s="33" t="n">
        <f aca="false">H75-H74</f>
        <v>-86</v>
      </c>
      <c r="J75" s="2" t="s">
        <v>30</v>
      </c>
      <c r="K75" s="2" t="n">
        <f aca="false">SUM($B$61:$B$91)</f>
        <v>453085</v>
      </c>
      <c r="L75" s="2" t="n">
        <f aca="false">SUM($D$61:$D$91)</f>
        <v>19173.9</v>
      </c>
      <c r="M75" s="2" t="n">
        <f aca="false">SUM($F$61:$F$91)</f>
        <v>317.17</v>
      </c>
      <c r="N75" s="2" t="n">
        <f aca="false">SUM($H$61:$H$91)</f>
        <v>4246</v>
      </c>
    </row>
    <row r="76" customFormat="false" ht="13.8" hidden="false" customHeight="false" outlineLevel="0" collapsed="false">
      <c r="A76" s="32" t="n">
        <v>45732</v>
      </c>
      <c r="B76" s="33" t="n">
        <v>12307</v>
      </c>
      <c r="C76" s="33" t="n">
        <f aca="false">B76-B75</f>
        <v>5783</v>
      </c>
      <c r="D76" s="33" t="n">
        <v>530</v>
      </c>
      <c r="E76" s="33" t="n">
        <f aca="false">D76-D75</f>
        <v>247.5</v>
      </c>
      <c r="F76" s="33" t="n">
        <v>8.61</v>
      </c>
      <c r="G76" s="33" t="n">
        <f aca="false">F76-F75</f>
        <v>4.04</v>
      </c>
      <c r="H76" s="33" t="n">
        <v>119</v>
      </c>
      <c r="I76" s="33" t="n">
        <f aca="false">H76-H75</f>
        <v>54</v>
      </c>
      <c r="J76" s="2" t="s">
        <v>32</v>
      </c>
      <c r="K76" s="2" t="n">
        <f aca="false">COUNT($B$61:$B$91)</f>
        <v>31</v>
      </c>
      <c r="L76" s="2" t="n">
        <f aca="false">COUNT($D$61:$D$91)</f>
        <v>31</v>
      </c>
      <c r="M76" s="2" t="n">
        <f aca="false">COUNT($F$61:$F$91)</f>
        <v>31</v>
      </c>
      <c r="N76" s="2" t="n">
        <f aca="false">COUNT($H$61:$H$91)</f>
        <v>31</v>
      </c>
    </row>
    <row r="77" customFormat="false" ht="13.8" hidden="false" customHeight="false" outlineLevel="0" collapsed="false">
      <c r="A77" s="32" t="n">
        <v>45733</v>
      </c>
      <c r="B77" s="33" t="n">
        <v>11699</v>
      </c>
      <c r="C77" s="33" t="n">
        <f aca="false">B77-B76</f>
        <v>-608</v>
      </c>
      <c r="D77" s="33" t="n">
        <v>495.5</v>
      </c>
      <c r="E77" s="33" t="n">
        <f aca="false">D77-D76</f>
        <v>-34.5</v>
      </c>
      <c r="F77" s="33" t="n">
        <v>8.19</v>
      </c>
      <c r="G77" s="33" t="n">
        <f aca="false">F77-F76</f>
        <v>-0.42</v>
      </c>
      <c r="H77" s="33" t="n">
        <v>110</v>
      </c>
      <c r="I77" s="33" t="n">
        <f aca="false">H77-H76</f>
        <v>-9</v>
      </c>
    </row>
    <row r="78" customFormat="false" ht="13.8" hidden="false" customHeight="false" outlineLevel="0" collapsed="false">
      <c r="A78" s="32" t="n">
        <v>45734</v>
      </c>
      <c r="B78" s="33" t="n">
        <v>12915</v>
      </c>
      <c r="C78" s="33" t="n">
        <f aca="false">B78-B77</f>
        <v>1216</v>
      </c>
      <c r="D78" s="33" t="n">
        <v>542</v>
      </c>
      <c r="E78" s="33" t="n">
        <f aca="false">D78-D77</f>
        <v>46.5</v>
      </c>
      <c r="F78" s="33" t="n">
        <v>9.04</v>
      </c>
      <c r="G78" s="33" t="n">
        <f aca="false">F78-F77</f>
        <v>0.85</v>
      </c>
      <c r="H78" s="33" t="n">
        <v>117</v>
      </c>
      <c r="I78" s="33" t="n">
        <f aca="false">H78-H77</f>
        <v>7</v>
      </c>
    </row>
    <row r="79" customFormat="false" ht="13.8" hidden="false" customHeight="false" outlineLevel="0" collapsed="false">
      <c r="A79" s="32" t="n">
        <v>45735</v>
      </c>
      <c r="B79" s="33" t="n">
        <v>18645</v>
      </c>
      <c r="C79" s="33" t="n">
        <f aca="false">B79-B78</f>
        <v>5730</v>
      </c>
      <c r="D79" s="33" t="n">
        <v>787.6</v>
      </c>
      <c r="E79" s="33" t="n">
        <f aca="false">D79-D78</f>
        <v>245.6</v>
      </c>
      <c r="F79" s="33" t="n">
        <v>13.05</v>
      </c>
      <c r="G79" s="33" t="n">
        <f aca="false">F79-F78</f>
        <v>4.01</v>
      </c>
      <c r="H79" s="33" t="n">
        <v>173</v>
      </c>
      <c r="I79" s="33" t="n">
        <f aca="false">H79-H78</f>
        <v>56</v>
      </c>
    </row>
    <row r="80" customFormat="false" ht="13.8" hidden="false" customHeight="false" outlineLevel="0" collapsed="false">
      <c r="A80" s="32" t="n">
        <v>45736</v>
      </c>
      <c r="B80" s="33" t="n">
        <v>18885</v>
      </c>
      <c r="C80" s="33" t="n">
        <f aca="false">B80-B79</f>
        <v>240</v>
      </c>
      <c r="D80" s="33" t="n">
        <v>793</v>
      </c>
      <c r="E80" s="33" t="n">
        <f aca="false">D80-D79</f>
        <v>5.39999999999998</v>
      </c>
      <c r="F80" s="33" t="n">
        <v>13.22</v>
      </c>
      <c r="G80" s="33" t="n">
        <f aca="false">F80-F79</f>
        <v>0.17</v>
      </c>
      <c r="H80" s="33" t="n">
        <v>173</v>
      </c>
      <c r="I80" s="33" t="n">
        <f aca="false">H80-H79</f>
        <v>0</v>
      </c>
    </row>
    <row r="81" customFormat="false" ht="13.8" hidden="false" customHeight="false" outlineLevel="0" collapsed="false">
      <c r="A81" s="32" t="n">
        <v>45737</v>
      </c>
      <c r="B81" s="33" t="n">
        <v>17981</v>
      </c>
      <c r="C81" s="33" t="n">
        <f aca="false">B81-B80</f>
        <v>-904</v>
      </c>
      <c r="D81" s="33" t="n">
        <v>753.8</v>
      </c>
      <c r="E81" s="33" t="n">
        <f aca="false">D81-D80</f>
        <v>-39.2</v>
      </c>
      <c r="F81" s="33" t="n">
        <v>12.59</v>
      </c>
      <c r="G81" s="33" t="n">
        <f aca="false">F81-F80</f>
        <v>-0.630000000000001</v>
      </c>
      <c r="H81" s="33" t="n">
        <v>163</v>
      </c>
      <c r="I81" s="33" t="n">
        <f aca="false">H81-H80</f>
        <v>-10</v>
      </c>
    </row>
    <row r="82" customFormat="false" ht="13.8" hidden="false" customHeight="false" outlineLevel="0" collapsed="false">
      <c r="A82" s="32" t="n">
        <v>45738</v>
      </c>
      <c r="B82" s="33" t="n">
        <v>16046</v>
      </c>
      <c r="C82" s="33" t="n">
        <f aca="false">B82-B81</f>
        <v>-1935</v>
      </c>
      <c r="D82" s="33" t="n">
        <v>674.5</v>
      </c>
      <c r="E82" s="33" t="n">
        <f aca="false">D82-D81</f>
        <v>-79.3</v>
      </c>
      <c r="F82" s="33" t="n">
        <v>11.23</v>
      </c>
      <c r="G82" s="33" t="n">
        <f aca="false">F82-F81</f>
        <v>-1.36</v>
      </c>
      <c r="H82" s="33" t="n">
        <v>146</v>
      </c>
      <c r="I82" s="33" t="n">
        <f aca="false">H82-H81</f>
        <v>-17</v>
      </c>
    </row>
    <row r="83" customFormat="false" ht="13.8" hidden="false" customHeight="false" outlineLevel="0" collapsed="false">
      <c r="A83" s="32" t="n">
        <v>45739</v>
      </c>
      <c r="B83" s="33" t="n">
        <v>13064</v>
      </c>
      <c r="C83" s="33" t="n">
        <f aca="false">B83-B82</f>
        <v>-2982</v>
      </c>
      <c r="D83" s="33" t="n">
        <v>553.6</v>
      </c>
      <c r="E83" s="33" t="n">
        <f aca="false">D83-D82</f>
        <v>-120.9</v>
      </c>
      <c r="F83" s="33" t="n">
        <v>9.14</v>
      </c>
      <c r="G83" s="33" t="n">
        <f aca="false">F83-F82</f>
        <v>-2.09</v>
      </c>
      <c r="H83" s="33" t="n">
        <v>122</v>
      </c>
      <c r="I83" s="33" t="n">
        <f aca="false">H83-H82</f>
        <v>-24</v>
      </c>
    </row>
    <row r="84" customFormat="false" ht="13.8" hidden="false" customHeight="false" outlineLevel="0" collapsed="false">
      <c r="A84" s="32" t="n">
        <v>45740</v>
      </c>
      <c r="B84" s="33" t="n">
        <v>15542</v>
      </c>
      <c r="C84" s="33" t="n">
        <f aca="false">B84-B83</f>
        <v>2478</v>
      </c>
      <c r="D84" s="33" t="n">
        <v>652.6</v>
      </c>
      <c r="E84" s="33" t="n">
        <f aca="false">D84-D83</f>
        <v>99</v>
      </c>
      <c r="F84" s="33" t="n">
        <v>10.88</v>
      </c>
      <c r="G84" s="33" t="n">
        <f aca="false">F84-F83</f>
        <v>1.74</v>
      </c>
      <c r="H84" s="33" t="n">
        <v>142</v>
      </c>
      <c r="I84" s="33" t="n">
        <f aca="false">H84-H83</f>
        <v>20</v>
      </c>
    </row>
    <row r="85" customFormat="false" ht="13.8" hidden="false" customHeight="false" outlineLevel="0" collapsed="false">
      <c r="A85" s="32" t="n">
        <v>45741</v>
      </c>
      <c r="B85" s="33" t="n">
        <v>10476</v>
      </c>
      <c r="C85" s="33" t="n">
        <f aca="false">B85-B84</f>
        <v>-5066</v>
      </c>
      <c r="D85" s="33" t="n">
        <v>441.7</v>
      </c>
      <c r="E85" s="33" t="n">
        <f aca="false">D85-D84</f>
        <v>-210.9</v>
      </c>
      <c r="F85" s="33" t="n">
        <v>7.33</v>
      </c>
      <c r="G85" s="33" t="n">
        <f aca="false">F85-F84</f>
        <v>-3.55</v>
      </c>
      <c r="H85" s="33" t="n">
        <v>97</v>
      </c>
      <c r="I85" s="33" t="n">
        <f aca="false">H85-H84</f>
        <v>-45</v>
      </c>
    </row>
    <row r="86" customFormat="false" ht="13.8" hidden="false" customHeight="false" outlineLevel="0" collapsed="false">
      <c r="A86" s="32" t="n">
        <v>45742</v>
      </c>
      <c r="B86" s="33" t="n">
        <v>16571</v>
      </c>
      <c r="C86" s="33" t="n">
        <f aca="false">B86-B85</f>
        <v>6095</v>
      </c>
      <c r="D86" s="33" t="n">
        <v>695.3</v>
      </c>
      <c r="E86" s="33" t="n">
        <f aca="false">D86-D85</f>
        <v>253.6</v>
      </c>
      <c r="F86" s="33" t="n">
        <v>11.6</v>
      </c>
      <c r="G86" s="33" t="n">
        <f aca="false">F86-F85</f>
        <v>4.27</v>
      </c>
      <c r="H86" s="33" t="n">
        <v>171</v>
      </c>
      <c r="I86" s="33" t="n">
        <f aca="false">H86-H85</f>
        <v>74</v>
      </c>
    </row>
    <row r="87" customFormat="false" ht="13.8" hidden="false" customHeight="false" outlineLevel="0" collapsed="false">
      <c r="A87" s="32" t="n">
        <v>45743</v>
      </c>
      <c r="B87" s="33" t="n">
        <v>11344</v>
      </c>
      <c r="C87" s="33" t="n">
        <f aca="false">B87-B86</f>
        <v>-5227</v>
      </c>
      <c r="D87" s="33" t="n">
        <v>476.6</v>
      </c>
      <c r="E87" s="33" t="n">
        <f aca="false">D87-D86</f>
        <v>-218.7</v>
      </c>
      <c r="F87" s="33" t="n">
        <v>7.94</v>
      </c>
      <c r="G87" s="33" t="n">
        <f aca="false">F87-F86</f>
        <v>-3.66</v>
      </c>
      <c r="H87" s="33" t="n">
        <v>104</v>
      </c>
      <c r="I87" s="33" t="n">
        <f aca="false">H87-H86</f>
        <v>-67</v>
      </c>
    </row>
    <row r="88" customFormat="false" ht="13.8" hidden="false" customHeight="false" outlineLevel="0" collapsed="false">
      <c r="A88" s="32" t="n">
        <v>45744</v>
      </c>
      <c r="B88" s="33" t="n">
        <v>14400</v>
      </c>
      <c r="C88" s="33" t="n">
        <f aca="false">B88-B87</f>
        <v>3056</v>
      </c>
      <c r="D88" s="33" t="n">
        <v>609.3</v>
      </c>
      <c r="E88" s="33" t="n">
        <f aca="false">D88-D87</f>
        <v>132.7</v>
      </c>
      <c r="F88" s="33" t="n">
        <v>10.08</v>
      </c>
      <c r="G88" s="33" t="n">
        <f aca="false">F88-F87</f>
        <v>2.14</v>
      </c>
      <c r="H88" s="33" t="n">
        <v>134</v>
      </c>
      <c r="I88" s="33" t="n">
        <f aca="false">H88-H87</f>
        <v>30</v>
      </c>
    </row>
    <row r="89" customFormat="false" ht="13.8" hidden="false" customHeight="false" outlineLevel="0" collapsed="false">
      <c r="A89" s="32" t="n">
        <v>45745</v>
      </c>
      <c r="B89" s="33" t="n">
        <v>19853</v>
      </c>
      <c r="C89" s="33" t="n">
        <f aca="false">B89-B88</f>
        <v>5453</v>
      </c>
      <c r="D89" s="33" t="n">
        <v>855.8</v>
      </c>
      <c r="E89" s="33" t="n">
        <f aca="false">D89-D88</f>
        <v>246.5</v>
      </c>
      <c r="F89" s="33" t="n">
        <v>13.9</v>
      </c>
      <c r="G89" s="33" t="n">
        <f aca="false">F89-F88</f>
        <v>3.82</v>
      </c>
      <c r="H89" s="33" t="n">
        <v>194</v>
      </c>
      <c r="I89" s="33" t="n">
        <f aca="false">H89-H88</f>
        <v>60</v>
      </c>
    </row>
    <row r="90" customFormat="false" ht="13.8" hidden="false" customHeight="false" outlineLevel="0" collapsed="false">
      <c r="A90" s="32" t="n">
        <v>45746</v>
      </c>
      <c r="B90" s="33" t="n">
        <v>9929</v>
      </c>
      <c r="C90" s="33" t="n">
        <f aca="false">B90-B89</f>
        <v>-9924</v>
      </c>
      <c r="D90" s="33" t="n">
        <v>425.8</v>
      </c>
      <c r="E90" s="33" t="n">
        <f aca="false">D90-D89</f>
        <v>-430</v>
      </c>
      <c r="F90" s="33" t="n">
        <v>6.95</v>
      </c>
      <c r="G90" s="33" t="n">
        <f aca="false">F90-F89</f>
        <v>-6.95</v>
      </c>
      <c r="H90" s="33" t="n">
        <v>96</v>
      </c>
      <c r="I90" s="33" t="n">
        <f aca="false">H90-H89</f>
        <v>-98</v>
      </c>
    </row>
    <row r="91" customFormat="false" ht="13.8" hidden="false" customHeight="false" outlineLevel="0" collapsed="false">
      <c r="A91" s="32" t="n">
        <v>45747</v>
      </c>
      <c r="B91" s="33" t="n">
        <v>11060</v>
      </c>
      <c r="C91" s="33" t="n">
        <f aca="false">B91-B90</f>
        <v>1131</v>
      </c>
      <c r="D91" s="33" t="n">
        <v>465.5</v>
      </c>
      <c r="E91" s="33" t="n">
        <f aca="false">D91-D90</f>
        <v>39.7</v>
      </c>
      <c r="F91" s="33" t="n">
        <v>7.74</v>
      </c>
      <c r="G91" s="33" t="n">
        <f aca="false">F91-F90</f>
        <v>0.79</v>
      </c>
      <c r="H91" s="33" t="n">
        <v>102</v>
      </c>
      <c r="I91" s="33" t="n">
        <f aca="false">H91-H90</f>
        <v>6</v>
      </c>
    </row>
    <row r="92" customFormat="false" ht="13.8" hidden="false" customHeight="false" outlineLevel="0" collapsed="false">
      <c r="A92" s="32" t="n">
        <v>45748</v>
      </c>
      <c r="B92" s="33" t="n">
        <v>14492</v>
      </c>
      <c r="C92" s="33" t="n">
        <f aca="false">B92-B91</f>
        <v>3432</v>
      </c>
      <c r="D92" s="33" t="n">
        <v>612.3</v>
      </c>
      <c r="E92" s="33" t="n">
        <f aca="false">D92-D91</f>
        <v>146.8</v>
      </c>
      <c r="F92" s="33" t="n">
        <v>10.14</v>
      </c>
      <c r="G92" s="33" t="n">
        <f aca="false">F92-F91</f>
        <v>2.4</v>
      </c>
      <c r="H92" s="33" t="n">
        <v>135</v>
      </c>
      <c r="I92" s="33" t="n">
        <f aca="false">H92-H91</f>
        <v>33</v>
      </c>
      <c r="K92" s="34" t="s">
        <v>2</v>
      </c>
      <c r="L92" s="34" t="s">
        <v>179</v>
      </c>
      <c r="M92" s="34" t="s">
        <v>175</v>
      </c>
      <c r="N92" s="34" t="s">
        <v>177</v>
      </c>
    </row>
    <row r="93" customFormat="false" ht="13.8" hidden="false" customHeight="false" outlineLevel="0" collapsed="false">
      <c r="A93" s="32" t="n">
        <v>45749</v>
      </c>
      <c r="B93" s="33" t="n">
        <v>16876</v>
      </c>
      <c r="C93" s="33" t="n">
        <f aca="false">B93-B92</f>
        <v>2384</v>
      </c>
      <c r="D93" s="33" t="n">
        <v>703.5</v>
      </c>
      <c r="E93" s="33" t="n">
        <f aca="false">D93-D92</f>
        <v>91.2000000000001</v>
      </c>
      <c r="F93" s="33" t="n">
        <v>11.81</v>
      </c>
      <c r="G93" s="33" t="n">
        <f aca="false">F93-F92</f>
        <v>1.67</v>
      </c>
      <c r="H93" s="33" t="n">
        <v>150</v>
      </c>
      <c r="I93" s="33" t="n">
        <f aca="false">H93-H92</f>
        <v>15</v>
      </c>
      <c r="J93" s="2" t="s">
        <v>8</v>
      </c>
      <c r="K93" s="2" t="n">
        <f aca="false">AVERAGE($B$92:$B$121)</f>
        <v>15932.2333333333</v>
      </c>
      <c r="L93" s="2" t="n">
        <f aca="false">AVERAGE($D$92:$D$121)</f>
        <v>695.296666666667</v>
      </c>
      <c r="M93" s="2" t="n">
        <f aca="false">AVERAGE($F$92:$F$121)</f>
        <v>11.4246666666667</v>
      </c>
      <c r="N93" s="2" t="n">
        <f aca="false">AVERAGE($H$92:$H$121)</f>
        <v>149.433333333333</v>
      </c>
    </row>
    <row r="94" customFormat="false" ht="13.8" hidden="false" customHeight="false" outlineLevel="0" collapsed="false">
      <c r="A94" s="32" t="n">
        <v>45750</v>
      </c>
      <c r="B94" s="33" t="n">
        <v>17808</v>
      </c>
      <c r="C94" s="33" t="n">
        <f aca="false">B94-B93</f>
        <v>932</v>
      </c>
      <c r="D94" s="33" t="n">
        <v>766.9</v>
      </c>
      <c r="E94" s="33" t="n">
        <f aca="false">D94-D93</f>
        <v>63.4</v>
      </c>
      <c r="F94" s="33" t="n">
        <v>12.47</v>
      </c>
      <c r="G94" s="33" t="n">
        <f aca="false">F94-F93</f>
        <v>0.66</v>
      </c>
      <c r="H94" s="33" t="n">
        <v>173</v>
      </c>
      <c r="I94" s="33" t="n">
        <f aca="false">H94-H93</f>
        <v>23</v>
      </c>
      <c r="J94" s="2" t="s">
        <v>10</v>
      </c>
      <c r="K94" s="2" t="n">
        <f aca="false">SQRT(VAR($B$92:$B$121)/COUNT($B$92:$B$121))</f>
        <v>689.589204190726</v>
      </c>
      <c r="L94" s="2" t="n">
        <f aca="false">SQRT(VAR($D$92:$D$121)/COUNT($D$92:$D$121))</f>
        <v>30.5245326183855</v>
      </c>
      <c r="M94" s="2" t="n">
        <f aca="false">SQRT(VAR($F$92:$F$121)/COUNT($F$92:$F$121))</f>
        <v>0.495277173840268</v>
      </c>
      <c r="N94" s="2" t="n">
        <f aca="false">SQRT(VAR($H$92:$H$121)/COUNT($H$92:$H$121))</f>
        <v>6.80477914094852</v>
      </c>
    </row>
    <row r="95" customFormat="false" ht="13.8" hidden="false" customHeight="false" outlineLevel="0" collapsed="false">
      <c r="A95" s="32" t="n">
        <v>45751</v>
      </c>
      <c r="B95" s="33" t="n">
        <v>17179</v>
      </c>
      <c r="C95" s="33" t="n">
        <f aca="false">B95-B94</f>
        <v>-629</v>
      </c>
      <c r="D95" s="33" t="n">
        <v>726.3</v>
      </c>
      <c r="E95" s="33" t="n">
        <f aca="false">D95-D94</f>
        <v>-40.6</v>
      </c>
      <c r="F95" s="33" t="n">
        <v>12.08</v>
      </c>
      <c r="G95" s="33" t="n">
        <f aca="false">F95-F94</f>
        <v>-0.390000000000001</v>
      </c>
      <c r="H95" s="33" t="n">
        <v>158</v>
      </c>
      <c r="I95" s="33" t="n">
        <f aca="false">H95-H94</f>
        <v>-15</v>
      </c>
      <c r="J95" s="2" t="s">
        <v>14</v>
      </c>
      <c r="K95" s="2" t="e">
        <f aca="false">MODE($B$92:$B$121)</f>
        <v>#VALUE!</v>
      </c>
      <c r="L95" s="2" t="e">
        <f aca="false">MODE($D$92:$D$121)</f>
        <v>#VALUE!</v>
      </c>
      <c r="M95" s="2" t="e">
        <f aca="false">MODE($F$92:$F$121)</f>
        <v>#VALUE!</v>
      </c>
      <c r="N95" s="2" t="n">
        <f aca="false">MODE($H$92:$H$121)</f>
        <v>78</v>
      </c>
    </row>
    <row r="96" customFormat="false" ht="13.8" hidden="false" customHeight="false" outlineLevel="0" collapsed="false">
      <c r="A96" s="32" t="n">
        <v>45752</v>
      </c>
      <c r="B96" s="33" t="n">
        <v>17725</v>
      </c>
      <c r="C96" s="33" t="n">
        <f aca="false">B96-B95</f>
        <v>546</v>
      </c>
      <c r="D96" s="33" t="n">
        <v>780.4</v>
      </c>
      <c r="E96" s="33" t="n">
        <f aca="false">D96-D95</f>
        <v>54.1</v>
      </c>
      <c r="F96" s="33" t="n">
        <v>12.76</v>
      </c>
      <c r="G96" s="33" t="n">
        <f aca="false">F96-F95</f>
        <v>0.68</v>
      </c>
      <c r="H96" s="33" t="n">
        <v>169</v>
      </c>
      <c r="I96" s="33" t="n">
        <f aca="false">H96-H95</f>
        <v>11</v>
      </c>
      <c r="J96" s="2" t="s">
        <v>12</v>
      </c>
      <c r="K96" s="2" t="n">
        <f aca="false">MEDIAN($B$92:$B$121)</f>
        <v>16977</v>
      </c>
      <c r="L96" s="2" t="n">
        <f aca="false">MEDIAN($D$92:$D$121)</f>
        <v>726.9</v>
      </c>
      <c r="M96" s="2" t="n">
        <f aca="false">MEDIAN($F$92:$F$121)</f>
        <v>12.045</v>
      </c>
      <c r="N96" s="2" t="n">
        <f aca="false">MEDIAN($H$92:$H$121)</f>
        <v>157</v>
      </c>
    </row>
    <row r="97" customFormat="false" ht="13.8" hidden="false" customHeight="false" outlineLevel="0" collapsed="false">
      <c r="A97" s="32" t="n">
        <v>45753</v>
      </c>
      <c r="B97" s="33" t="n">
        <v>14272</v>
      </c>
      <c r="C97" s="33" t="n">
        <f aca="false">B97-B96</f>
        <v>-3453</v>
      </c>
      <c r="D97" s="33" t="n">
        <v>625.5</v>
      </c>
      <c r="E97" s="33" t="n">
        <f aca="false">D97-D96</f>
        <v>-154.9</v>
      </c>
      <c r="F97" s="33" t="n">
        <v>10.28</v>
      </c>
      <c r="G97" s="33" t="n">
        <f aca="false">F97-F96</f>
        <v>-2.48</v>
      </c>
      <c r="H97" s="33" t="n">
        <v>132</v>
      </c>
      <c r="I97" s="33" t="n">
        <f aca="false">H97-H96</f>
        <v>-37</v>
      </c>
      <c r="J97" s="2" t="s">
        <v>195</v>
      </c>
      <c r="K97" s="2" t="n">
        <f aca="false">QUARTILE($B$92:$B$121, 1)</f>
        <v>13866.75</v>
      </c>
      <c r="L97" s="2" t="n">
        <f aca="false">QUARTILE($D$92:$D$121, 1)</f>
        <v>600.325</v>
      </c>
      <c r="M97" s="2" t="n">
        <f aca="false">QUARTILE($F$92:$F$121, 1)</f>
        <v>9.9825</v>
      </c>
      <c r="N97" s="2" t="n">
        <f aca="false">QUARTILE($H$92:$H$121, 1)</f>
        <v>124.25</v>
      </c>
    </row>
    <row r="98" customFormat="false" ht="13.8" hidden="false" customHeight="false" outlineLevel="0" collapsed="false">
      <c r="A98" s="32" t="n">
        <v>45754</v>
      </c>
      <c r="B98" s="33" t="n">
        <v>18385</v>
      </c>
      <c r="C98" s="33" t="n">
        <f aca="false">B98-B97</f>
        <v>4113</v>
      </c>
      <c r="D98" s="33" t="n">
        <v>807.4</v>
      </c>
      <c r="E98" s="33" t="n">
        <f aca="false">D98-D97</f>
        <v>181.9</v>
      </c>
      <c r="F98" s="33" t="n">
        <v>13.24</v>
      </c>
      <c r="G98" s="33" t="n">
        <f aca="false">F98-F97</f>
        <v>2.96</v>
      </c>
      <c r="H98" s="33" t="n">
        <v>174</v>
      </c>
      <c r="I98" s="33" t="n">
        <f aca="false">H98-H97</f>
        <v>42</v>
      </c>
      <c r="J98" s="2" t="s">
        <v>181</v>
      </c>
      <c r="K98" s="2" t="n">
        <f aca="false">QUARTILE($B$92:$B$121, 3)</f>
        <v>18366</v>
      </c>
      <c r="L98" s="2" t="n">
        <f aca="false">QUARTILE($D$92:$D$121, 3)</f>
        <v>811.825</v>
      </c>
      <c r="M98" s="2" t="n">
        <f aca="false">QUARTILE($F$92:$F$121, 3)</f>
        <v>13.225</v>
      </c>
      <c r="N98" s="2" t="n">
        <f aca="false">QUARTILE($H$92:$H$121, 3)</f>
        <v>174.75</v>
      </c>
    </row>
    <row r="99" customFormat="false" ht="13.8" hidden="false" customHeight="false" outlineLevel="0" collapsed="false">
      <c r="A99" s="32" t="n">
        <v>45755</v>
      </c>
      <c r="B99" s="33" t="n">
        <v>17585</v>
      </c>
      <c r="C99" s="33" t="n">
        <f aca="false">B99-B98</f>
        <v>-800</v>
      </c>
      <c r="D99" s="33" t="n">
        <v>765.6</v>
      </c>
      <c r="E99" s="33" t="n">
        <f aca="false">D99-D98</f>
        <v>-41.8</v>
      </c>
      <c r="F99" s="33" t="n">
        <v>12.66</v>
      </c>
      <c r="G99" s="33" t="n">
        <f aca="false">F99-F98</f>
        <v>-0.58</v>
      </c>
      <c r="H99" s="33" t="n">
        <v>160</v>
      </c>
      <c r="I99" s="33" t="n">
        <f aca="false">H99-H98</f>
        <v>-14</v>
      </c>
      <c r="J99" s="2" t="s">
        <v>182</v>
      </c>
      <c r="K99" s="2" t="n">
        <f aca="false">VAR($B$92:$B$121)</f>
        <v>14265998.116092</v>
      </c>
      <c r="L99" s="2" t="n">
        <f aca="false">VAR($D$92:$D$121)</f>
        <v>27952.4127471264</v>
      </c>
      <c r="M99" s="2" t="n">
        <f aca="false">VAR($F$92:$F$121)</f>
        <v>7.35898436781609</v>
      </c>
      <c r="N99" s="2" t="n">
        <f aca="false">VAR($H$92:$H$121)</f>
        <v>1389.15057471264</v>
      </c>
    </row>
    <row r="100" customFormat="false" ht="13.8" hidden="false" customHeight="false" outlineLevel="0" collapsed="false">
      <c r="A100" s="32" t="n">
        <v>45756</v>
      </c>
      <c r="B100" s="33" t="n">
        <v>18871</v>
      </c>
      <c r="C100" s="33" t="n">
        <f aca="false">B100-B99</f>
        <v>1286</v>
      </c>
      <c r="D100" s="33" t="n">
        <v>824.5</v>
      </c>
      <c r="E100" s="33" t="n">
        <f aca="false">D100-D99</f>
        <v>58.9</v>
      </c>
      <c r="F100" s="33" t="n">
        <v>13.59</v>
      </c>
      <c r="G100" s="33" t="n">
        <f aca="false">F100-F99</f>
        <v>0.93</v>
      </c>
      <c r="H100" s="33" t="n">
        <v>175</v>
      </c>
      <c r="I100" s="33" t="n">
        <f aca="false">H100-H99</f>
        <v>15</v>
      </c>
      <c r="J100" s="2" t="s">
        <v>16</v>
      </c>
      <c r="K100" s="2" t="n">
        <f aca="false">STDEV($B$92:$B$121)</f>
        <v>3777.03562547297</v>
      </c>
      <c r="L100" s="2" t="n">
        <f aca="false">STDEV($D$92:$D$121)</f>
        <v>167.18975072392</v>
      </c>
      <c r="M100" s="2" t="n">
        <f aca="false">STDEV($F$92:$F$121)</f>
        <v>2.71274480329722</v>
      </c>
      <c r="N100" s="2" t="n">
        <f aca="false">STDEV($H$92:$H$121)</f>
        <v>37.2713103433813</v>
      </c>
    </row>
    <row r="101" customFormat="false" ht="13.8" hidden="false" customHeight="false" outlineLevel="0" collapsed="false">
      <c r="A101" s="32" t="n">
        <v>45757</v>
      </c>
      <c r="B101" s="33" t="n">
        <v>8516</v>
      </c>
      <c r="C101" s="33" t="n">
        <f aca="false">B101-B100</f>
        <v>-10355</v>
      </c>
      <c r="D101" s="33" t="n">
        <v>371.2</v>
      </c>
      <c r="E101" s="33" t="n">
        <f aca="false">D101-D100</f>
        <v>-453.3</v>
      </c>
      <c r="F101" s="33" t="n">
        <v>6.13</v>
      </c>
      <c r="G101" s="33" t="n">
        <f aca="false">F101-F100</f>
        <v>-7.46</v>
      </c>
      <c r="H101" s="33" t="n">
        <v>78</v>
      </c>
      <c r="I101" s="33" t="n">
        <f aca="false">H101-H100</f>
        <v>-97</v>
      </c>
      <c r="J101" s="2" t="s">
        <v>20</v>
      </c>
      <c r="K101" s="2" t="n">
        <f aca="false">KURT($B$92:$B$121)</f>
        <v>-0.430609581427788</v>
      </c>
      <c r="L101" s="2" t="n">
        <f aca="false">KURT($D$92:$D$121)</f>
        <v>-0.497182085262922</v>
      </c>
      <c r="M101" s="2" t="n">
        <f aca="false">KURT($F$92:$F$121)</f>
        <v>-0.432955163954927</v>
      </c>
      <c r="N101" s="2" t="n">
        <f aca="false">KURT($H$92:$H$121)</f>
        <v>-0.588790989481455</v>
      </c>
    </row>
    <row r="102" customFormat="false" ht="13.8" hidden="false" customHeight="false" outlineLevel="0" collapsed="false">
      <c r="A102" s="32" t="n">
        <v>45758</v>
      </c>
      <c r="B102" s="33" t="n">
        <v>17078</v>
      </c>
      <c r="C102" s="33" t="n">
        <f aca="false">B102-B101</f>
        <v>8562</v>
      </c>
      <c r="D102" s="33" t="n">
        <v>745.5</v>
      </c>
      <c r="E102" s="33" t="n">
        <f aca="false">D102-D101</f>
        <v>374.3</v>
      </c>
      <c r="F102" s="33" t="n">
        <v>12.3</v>
      </c>
      <c r="G102" s="33" t="n">
        <f aca="false">F102-F101</f>
        <v>6.17</v>
      </c>
      <c r="H102" s="33" t="n">
        <v>158</v>
      </c>
      <c r="I102" s="33" t="n">
        <f aca="false">H102-H101</f>
        <v>80</v>
      </c>
      <c r="J102" s="2" t="s">
        <v>22</v>
      </c>
      <c r="K102" s="2" t="n">
        <f aca="false">SKEW($B$92:$B$121)</f>
        <v>-0.434837149859113</v>
      </c>
      <c r="L102" s="2" t="n">
        <f aca="false">SKEW($D$92:$D$121)</f>
        <v>-0.3543478378051</v>
      </c>
      <c r="M102" s="2" t="n">
        <f aca="false">SKEW($F$92:$F$121)</f>
        <v>-0.389717372092156</v>
      </c>
      <c r="N102" s="2" t="n">
        <f aca="false">SKEW($H$92:$H$121)</f>
        <v>-0.289357463718565</v>
      </c>
    </row>
    <row r="103" customFormat="false" ht="13.8" hidden="false" customHeight="false" outlineLevel="0" collapsed="false">
      <c r="A103" s="32" t="n">
        <v>45759</v>
      </c>
      <c r="B103" s="33" t="n">
        <v>16319</v>
      </c>
      <c r="C103" s="33" t="n">
        <f aca="false">B103-B102</f>
        <v>-759</v>
      </c>
      <c r="D103" s="33" t="n">
        <v>720.5</v>
      </c>
      <c r="E103" s="33" t="n">
        <f aca="false">D103-D102</f>
        <v>-25</v>
      </c>
      <c r="F103" s="33" t="n">
        <v>11.75</v>
      </c>
      <c r="G103" s="33" t="n">
        <f aca="false">F103-F102</f>
        <v>-0.550000000000001</v>
      </c>
      <c r="H103" s="33" t="n">
        <v>156</v>
      </c>
      <c r="I103" s="33" t="n">
        <f aca="false">H103-H102</f>
        <v>-2</v>
      </c>
      <c r="J103" s="2" t="s">
        <v>24</v>
      </c>
      <c r="K103" s="2" t="n">
        <f aca="false">MAX($B$92:$B$121)-MIN($B$92:$B$121)</f>
        <v>14476</v>
      </c>
      <c r="L103" s="2" t="n">
        <f aca="false">MAX($D$92:$D$121)-MIN($D$92:$D$121)</f>
        <v>630.1</v>
      </c>
      <c r="M103" s="2" t="n">
        <f aca="false">MAX($F$92:$F$121)-MIN($F$92:$F$121)</f>
        <v>10.43</v>
      </c>
      <c r="N103" s="2" t="n">
        <f aca="false">MAX($H$92:$H$121)-MIN($H$92:$H$121)</f>
        <v>135</v>
      </c>
    </row>
    <row r="104" customFormat="false" ht="13.8" hidden="false" customHeight="false" outlineLevel="0" collapsed="false">
      <c r="A104" s="32" t="n">
        <v>45760</v>
      </c>
      <c r="B104" s="33" t="n">
        <v>13962</v>
      </c>
      <c r="C104" s="33" t="n">
        <f aca="false">B104-B103</f>
        <v>-2357</v>
      </c>
      <c r="D104" s="33" t="n">
        <v>607.3</v>
      </c>
      <c r="E104" s="33" t="n">
        <f aca="false">D104-D103</f>
        <v>-113.2</v>
      </c>
      <c r="F104" s="33" t="n">
        <v>10.05</v>
      </c>
      <c r="G104" s="33" t="n">
        <f aca="false">F104-F103</f>
        <v>-1.7</v>
      </c>
      <c r="H104" s="33" t="n">
        <v>128</v>
      </c>
      <c r="I104" s="33" t="n">
        <f aca="false">H104-H103</f>
        <v>-28</v>
      </c>
      <c r="J104" s="2" t="s">
        <v>26</v>
      </c>
      <c r="K104" s="2" t="n">
        <f aca="false">MIN($B$92:$B$121)</f>
        <v>8406</v>
      </c>
      <c r="L104" s="2" t="n">
        <f aca="false">MIN($D$92:$D$121)</f>
        <v>367.9</v>
      </c>
      <c r="M104" s="2" t="n">
        <f aca="false">MIN($F$92:$F$121)</f>
        <v>6.05</v>
      </c>
      <c r="N104" s="2" t="n">
        <f aca="false">MIN($H$92:$H$121)</f>
        <v>78</v>
      </c>
    </row>
    <row r="105" customFormat="false" ht="13.8" hidden="false" customHeight="false" outlineLevel="0" collapsed="false">
      <c r="A105" s="32" t="n">
        <v>45761</v>
      </c>
      <c r="B105" s="33" t="n">
        <v>18519</v>
      </c>
      <c r="C105" s="33" t="n">
        <f aca="false">B105-B104</f>
        <v>4557</v>
      </c>
      <c r="D105" s="33" t="n">
        <v>830</v>
      </c>
      <c r="E105" s="33" t="n">
        <f aca="false">D105-D104</f>
        <v>222.7</v>
      </c>
      <c r="F105" s="33" t="n">
        <v>13.33</v>
      </c>
      <c r="G105" s="33" t="n">
        <f aca="false">F105-F104</f>
        <v>3.28</v>
      </c>
      <c r="H105" s="33" t="n">
        <v>186</v>
      </c>
      <c r="I105" s="33" t="n">
        <f aca="false">H105-H104</f>
        <v>58</v>
      </c>
      <c r="J105" s="2" t="s">
        <v>28</v>
      </c>
      <c r="K105" s="2" t="n">
        <f aca="false">MAX($B$92:$B$121)</f>
        <v>22882</v>
      </c>
      <c r="L105" s="2" t="n">
        <f aca="false">MAX($D$92:$D$121)</f>
        <v>998</v>
      </c>
      <c r="M105" s="2" t="n">
        <f aca="false">MAX($F$92:$F$121)</f>
        <v>16.48</v>
      </c>
      <c r="N105" s="2" t="n">
        <f aca="false">MAX($H$92:$H$121)</f>
        <v>213</v>
      </c>
    </row>
    <row r="106" customFormat="false" ht="13.8" hidden="false" customHeight="false" outlineLevel="0" collapsed="false">
      <c r="A106" s="32" t="n">
        <v>45762</v>
      </c>
      <c r="B106" s="33" t="n">
        <v>9751</v>
      </c>
      <c r="C106" s="33" t="n">
        <f aca="false">B106-B105</f>
        <v>-8768</v>
      </c>
      <c r="D106" s="33" t="n">
        <v>427.8</v>
      </c>
      <c r="E106" s="33" t="n">
        <f aca="false">D106-D105</f>
        <v>-402.2</v>
      </c>
      <c r="F106" s="33" t="n">
        <v>7.02</v>
      </c>
      <c r="G106" s="33" t="n">
        <f aca="false">F106-F105</f>
        <v>-6.31</v>
      </c>
      <c r="H106" s="33" t="n">
        <v>92</v>
      </c>
      <c r="I106" s="33" t="n">
        <f aca="false">H106-H105</f>
        <v>-94</v>
      </c>
      <c r="J106" s="2" t="s">
        <v>30</v>
      </c>
      <c r="K106" s="2" t="n">
        <f aca="false">SUM($B$92:$B$121)</f>
        <v>477967</v>
      </c>
      <c r="L106" s="2" t="n">
        <f aca="false">SUM($D$92:$D$121)</f>
        <v>20858.9</v>
      </c>
      <c r="M106" s="2" t="n">
        <f aca="false">SUM($F$92:$F$121)</f>
        <v>342.74</v>
      </c>
      <c r="N106" s="2" t="n">
        <f aca="false">SUM($H$92:$H$121)</f>
        <v>4483</v>
      </c>
    </row>
    <row r="107" customFormat="false" ht="13.8" hidden="false" customHeight="false" outlineLevel="0" collapsed="false">
      <c r="A107" s="32" t="n">
        <v>45763</v>
      </c>
      <c r="B107" s="33" t="n">
        <v>19558</v>
      </c>
      <c r="C107" s="33" t="n">
        <f aca="false">B107-B106</f>
        <v>9807</v>
      </c>
      <c r="D107" s="33" t="n">
        <v>854.1</v>
      </c>
      <c r="E107" s="33" t="n">
        <f aca="false">D107-D106</f>
        <v>426.3</v>
      </c>
      <c r="F107" s="33" t="n">
        <v>14.08</v>
      </c>
      <c r="G107" s="33" t="n">
        <f aca="false">F107-F106</f>
        <v>7.06</v>
      </c>
      <c r="H107" s="33" t="n">
        <v>181</v>
      </c>
      <c r="I107" s="33" t="n">
        <f aca="false">H107-H106</f>
        <v>89</v>
      </c>
      <c r="J107" s="2" t="s">
        <v>32</v>
      </c>
      <c r="K107" s="2" t="n">
        <f aca="false">COUNT($B$92:$B$121)</f>
        <v>30</v>
      </c>
      <c r="L107" s="2" t="n">
        <f aca="false">COUNT($D$92:$D$121)</f>
        <v>30</v>
      </c>
      <c r="M107" s="2" t="n">
        <f aca="false">COUNT($F$92:$F$121)</f>
        <v>30</v>
      </c>
      <c r="N107" s="2" t="n">
        <f aca="false">COUNT($H$92:$H$121)</f>
        <v>30</v>
      </c>
    </row>
    <row r="108" customFormat="false" ht="13.8" hidden="false" customHeight="false" outlineLevel="0" collapsed="false">
      <c r="A108" s="32" t="n">
        <v>45764</v>
      </c>
      <c r="B108" s="33" t="n">
        <v>12518</v>
      </c>
      <c r="C108" s="33" t="n">
        <f aca="false">B108-B107</f>
        <v>-7040</v>
      </c>
      <c r="D108" s="33" t="n">
        <v>546.2</v>
      </c>
      <c r="E108" s="33" t="n">
        <f aca="false">D108-D107</f>
        <v>-307.9</v>
      </c>
      <c r="F108" s="33" t="n">
        <v>9.01</v>
      </c>
      <c r="G108" s="33" t="n">
        <f aca="false">F108-F107</f>
        <v>-5.07</v>
      </c>
      <c r="H108" s="33" t="n">
        <v>116</v>
      </c>
      <c r="I108" s="33" t="n">
        <f aca="false">H108-H107</f>
        <v>-65</v>
      </c>
    </row>
    <row r="109" customFormat="false" ht="13.8" hidden="false" customHeight="false" outlineLevel="0" collapsed="false">
      <c r="A109" s="32" t="n">
        <v>45765</v>
      </c>
      <c r="B109" s="33" t="n">
        <v>14421</v>
      </c>
      <c r="C109" s="33" t="n">
        <f aca="false">B109-B108</f>
        <v>1903</v>
      </c>
      <c r="D109" s="33" t="n">
        <v>632.1</v>
      </c>
      <c r="E109" s="33" t="n">
        <f aca="false">D109-D108</f>
        <v>85.9</v>
      </c>
      <c r="F109" s="33" t="n">
        <v>10.38</v>
      </c>
      <c r="G109" s="33" t="n">
        <f aca="false">F109-F108</f>
        <v>1.37</v>
      </c>
      <c r="H109" s="33" t="n">
        <v>136</v>
      </c>
      <c r="I109" s="33" t="n">
        <f aca="false">H109-H108</f>
        <v>20</v>
      </c>
    </row>
    <row r="110" customFormat="false" ht="13.8" hidden="false" customHeight="false" outlineLevel="0" collapsed="false">
      <c r="A110" s="32" t="n">
        <v>45766</v>
      </c>
      <c r="B110" s="33" t="n">
        <v>21588</v>
      </c>
      <c r="C110" s="33" t="n">
        <f aca="false">B110-B109</f>
        <v>7167</v>
      </c>
      <c r="D110" s="33" t="n">
        <v>960</v>
      </c>
      <c r="E110" s="33" t="n">
        <f aca="false">D110-D109</f>
        <v>327.9</v>
      </c>
      <c r="F110" s="33" t="n">
        <v>15.54</v>
      </c>
      <c r="G110" s="33" t="n">
        <f aca="false">F110-F109</f>
        <v>5.16</v>
      </c>
      <c r="H110" s="33" t="n">
        <v>213</v>
      </c>
      <c r="I110" s="33" t="n">
        <f aca="false">H110-H109</f>
        <v>77</v>
      </c>
    </row>
    <row r="111" customFormat="false" ht="13.8" hidden="false" customHeight="false" outlineLevel="0" collapsed="false">
      <c r="A111" s="32" t="n">
        <v>45767</v>
      </c>
      <c r="B111" s="33" t="n">
        <v>18309</v>
      </c>
      <c r="C111" s="33" t="n">
        <f aca="false">B111-B110</f>
        <v>-3279</v>
      </c>
      <c r="D111" s="33" t="n">
        <v>813.3</v>
      </c>
      <c r="E111" s="33" t="n">
        <f aca="false">D111-D110</f>
        <v>-146.7</v>
      </c>
      <c r="F111" s="33" t="n">
        <v>13.18</v>
      </c>
      <c r="G111" s="33" t="n">
        <f aca="false">F111-F110</f>
        <v>-2.36</v>
      </c>
      <c r="H111" s="33" t="n">
        <v>180</v>
      </c>
      <c r="I111" s="33" t="n">
        <f aca="false">H111-H110</f>
        <v>-33</v>
      </c>
    </row>
    <row r="112" customFormat="false" ht="13.8" hidden="false" customHeight="false" outlineLevel="0" collapsed="false">
      <c r="A112" s="32" t="n">
        <v>45768</v>
      </c>
      <c r="B112" s="33" t="n">
        <v>19338</v>
      </c>
      <c r="C112" s="33" t="n">
        <f aca="false">B112-B111</f>
        <v>1029</v>
      </c>
      <c r="D112" s="33" t="n">
        <v>849.5</v>
      </c>
      <c r="E112" s="33" t="n">
        <f aca="false">D112-D111</f>
        <v>36.2</v>
      </c>
      <c r="F112" s="33" t="n">
        <v>13.92</v>
      </c>
      <c r="G112" s="33" t="n">
        <f aca="false">F112-F111</f>
        <v>0.74</v>
      </c>
      <c r="H112" s="33" t="n">
        <v>182</v>
      </c>
      <c r="I112" s="33" t="n">
        <f aca="false">H112-H111</f>
        <v>2</v>
      </c>
    </row>
    <row r="113" customFormat="false" ht="13.8" hidden="false" customHeight="false" outlineLevel="0" collapsed="false">
      <c r="A113" s="32" t="n">
        <v>45769</v>
      </c>
      <c r="B113" s="33" t="n">
        <v>22882</v>
      </c>
      <c r="C113" s="33" t="n">
        <f aca="false">B113-B112</f>
        <v>3544</v>
      </c>
      <c r="D113" s="33" t="n">
        <v>998</v>
      </c>
      <c r="E113" s="33" t="n">
        <f aca="false">D113-D112</f>
        <v>148.5</v>
      </c>
      <c r="F113" s="33" t="n">
        <v>16.48</v>
      </c>
      <c r="G113" s="33" t="n">
        <f aca="false">F113-F112</f>
        <v>2.56</v>
      </c>
      <c r="H113" s="33" t="n">
        <v>212</v>
      </c>
      <c r="I113" s="33" t="n">
        <f aca="false">H113-H112</f>
        <v>30</v>
      </c>
    </row>
    <row r="114" customFormat="false" ht="13.8" hidden="false" customHeight="false" outlineLevel="0" collapsed="false">
      <c r="A114" s="32" t="n">
        <v>45770</v>
      </c>
      <c r="B114" s="33" t="n">
        <v>16835</v>
      </c>
      <c r="C114" s="33" t="n">
        <f aca="false">B114-B113</f>
        <v>-6047</v>
      </c>
      <c r="D114" s="33" t="n">
        <v>727.5</v>
      </c>
      <c r="E114" s="33" t="n">
        <f aca="false">D114-D113</f>
        <v>-270.5</v>
      </c>
      <c r="F114" s="33" t="n">
        <v>12.01</v>
      </c>
      <c r="G114" s="33" t="n">
        <f aca="false">F114-F113</f>
        <v>-4.47</v>
      </c>
      <c r="H114" s="33" t="n">
        <v>154</v>
      </c>
      <c r="I114" s="33" t="n">
        <f aca="false">H114-H113</f>
        <v>-58</v>
      </c>
    </row>
    <row r="115" customFormat="false" ht="13.8" hidden="false" customHeight="false" outlineLevel="0" collapsed="false">
      <c r="A115" s="32" t="n">
        <v>45771</v>
      </c>
      <c r="B115" s="33" t="n">
        <v>13835</v>
      </c>
      <c r="C115" s="33" t="n">
        <f aca="false">B115-B114</f>
        <v>-3000</v>
      </c>
      <c r="D115" s="33" t="n">
        <v>598</v>
      </c>
      <c r="E115" s="33" t="n">
        <f aca="false">D115-D114</f>
        <v>-129.5</v>
      </c>
      <c r="F115" s="33" t="n">
        <v>9.96</v>
      </c>
      <c r="G115" s="33" t="n">
        <f aca="false">F115-F114</f>
        <v>-2.05</v>
      </c>
      <c r="H115" s="33" t="n">
        <v>123</v>
      </c>
      <c r="I115" s="33" t="n">
        <f aca="false">H115-H114</f>
        <v>-31</v>
      </c>
    </row>
    <row r="116" customFormat="false" ht="13.8" hidden="false" customHeight="false" outlineLevel="0" collapsed="false">
      <c r="A116" s="32" t="n">
        <v>45772</v>
      </c>
      <c r="B116" s="33" t="n">
        <v>8406</v>
      </c>
      <c r="C116" s="33" t="n">
        <f aca="false">B116-B115</f>
        <v>-5429</v>
      </c>
      <c r="D116" s="33" t="n">
        <v>367.9</v>
      </c>
      <c r="E116" s="33" t="n">
        <f aca="false">D116-D115</f>
        <v>-230.1</v>
      </c>
      <c r="F116" s="33" t="n">
        <v>6.05</v>
      </c>
      <c r="G116" s="33" t="n">
        <f aca="false">F116-F115</f>
        <v>-3.91</v>
      </c>
      <c r="H116" s="33" t="n">
        <v>78</v>
      </c>
      <c r="I116" s="33" t="n">
        <f aca="false">H116-H115</f>
        <v>-45</v>
      </c>
    </row>
    <row r="117" customFormat="false" ht="13.8" hidden="false" customHeight="false" outlineLevel="0" collapsed="false">
      <c r="A117" s="32" t="n">
        <v>45773</v>
      </c>
      <c r="B117" s="33" t="n">
        <v>20775</v>
      </c>
      <c r="C117" s="33" t="n">
        <f aca="false">B117-B116</f>
        <v>12369</v>
      </c>
      <c r="D117" s="33" t="n">
        <v>920.9</v>
      </c>
      <c r="E117" s="33" t="n">
        <f aca="false">D117-D116</f>
        <v>553</v>
      </c>
      <c r="F117" s="33" t="n">
        <v>14.96</v>
      </c>
      <c r="G117" s="33" t="n">
        <f aca="false">F117-F116</f>
        <v>8.91</v>
      </c>
      <c r="H117" s="33" t="n">
        <v>204</v>
      </c>
      <c r="I117" s="33" t="n">
        <f aca="false">H117-H116</f>
        <v>126</v>
      </c>
    </row>
    <row r="118" customFormat="false" ht="13.8" hidden="false" customHeight="false" outlineLevel="0" collapsed="false">
      <c r="A118" s="32" t="n">
        <v>45774</v>
      </c>
      <c r="B118" s="33" t="n">
        <v>10049</v>
      </c>
      <c r="C118" s="33" t="n">
        <f aca="false">B118-B117</f>
        <v>-10726</v>
      </c>
      <c r="D118" s="33" t="n">
        <v>440.1</v>
      </c>
      <c r="E118" s="33" t="n">
        <f aca="false">D118-D117</f>
        <v>-480.8</v>
      </c>
      <c r="F118" s="33" t="n">
        <v>7.24</v>
      </c>
      <c r="G118" s="33" t="n">
        <f aca="false">F118-F117</f>
        <v>-7.72</v>
      </c>
      <c r="H118" s="33" t="n">
        <v>94</v>
      </c>
      <c r="I118" s="33" t="n">
        <f aca="false">H118-H117</f>
        <v>-110</v>
      </c>
    </row>
    <row r="119" customFormat="false" ht="13.8" hidden="false" customHeight="false" outlineLevel="0" collapsed="false">
      <c r="A119" s="32" t="n">
        <v>45775</v>
      </c>
      <c r="B119" s="33" t="n">
        <v>12099</v>
      </c>
      <c r="C119" s="33" t="n">
        <f aca="false">B119-B118</f>
        <v>2050</v>
      </c>
      <c r="D119" s="33" t="n">
        <v>528.6</v>
      </c>
      <c r="E119" s="33" t="n">
        <f aca="false">D119-D118</f>
        <v>88.5</v>
      </c>
      <c r="F119" s="33" t="n">
        <v>8.71</v>
      </c>
      <c r="G119" s="33" t="n">
        <f aca="false">F119-F118</f>
        <v>1.47</v>
      </c>
      <c r="H119" s="33" t="n">
        <v>112</v>
      </c>
      <c r="I119" s="33" t="n">
        <f aca="false">H119-H118</f>
        <v>18</v>
      </c>
    </row>
    <row r="120" customFormat="false" ht="13.8" hidden="false" customHeight="false" outlineLevel="0" collapsed="false">
      <c r="A120" s="32" t="n">
        <v>45776</v>
      </c>
      <c r="B120" s="33" t="n">
        <v>12168</v>
      </c>
      <c r="C120" s="33" t="n">
        <f aca="false">B120-B119</f>
        <v>69</v>
      </c>
      <c r="D120" s="33" t="n">
        <v>531.8</v>
      </c>
      <c r="E120" s="33" t="n">
        <f aca="false">D120-D119</f>
        <v>3.19999999999993</v>
      </c>
      <c r="F120" s="33" t="n">
        <v>8.76</v>
      </c>
      <c r="G120" s="33" t="n">
        <f aca="false">F120-F119</f>
        <v>0.0499999999999989</v>
      </c>
      <c r="H120" s="33" t="n">
        <v>112</v>
      </c>
      <c r="I120" s="33" t="n">
        <f aca="false">H120-H119</f>
        <v>0</v>
      </c>
    </row>
    <row r="121" customFormat="false" ht="13.8" hidden="false" customHeight="false" outlineLevel="0" collapsed="false">
      <c r="A121" s="32" t="n">
        <v>45777</v>
      </c>
      <c r="B121" s="33" t="n">
        <v>17848</v>
      </c>
      <c r="C121" s="33" t="n">
        <f aca="false">B121-B120</f>
        <v>5680</v>
      </c>
      <c r="D121" s="33" t="n">
        <v>776.2</v>
      </c>
      <c r="E121" s="33" t="n">
        <f aca="false">D121-D120</f>
        <v>244.4</v>
      </c>
      <c r="F121" s="33" t="n">
        <v>12.85</v>
      </c>
      <c r="G121" s="33" t="n">
        <f aca="false">F121-F120</f>
        <v>4.09</v>
      </c>
      <c r="H121" s="33" t="n">
        <v>162</v>
      </c>
      <c r="I121" s="33" t="n">
        <f aca="false">H121-H120</f>
        <v>50</v>
      </c>
    </row>
    <row r="122" customFormat="false" ht="13.8" hidden="false" customHeight="false" outlineLevel="0" collapsed="false">
      <c r="A122" s="32" t="n">
        <v>45778</v>
      </c>
      <c r="B122" s="33" t="n">
        <v>26057</v>
      </c>
      <c r="C122" s="33" t="n">
        <f aca="false">B122-B121</f>
        <v>8209</v>
      </c>
      <c r="D122" s="33" t="n">
        <v>1127.8</v>
      </c>
      <c r="E122" s="33" t="n">
        <f aca="false">D122-D121</f>
        <v>351.6</v>
      </c>
      <c r="F122" s="33" t="n">
        <v>18.76</v>
      </c>
      <c r="G122" s="33" t="n">
        <f aca="false">F122-F121</f>
        <v>5.91</v>
      </c>
      <c r="H122" s="33" t="n">
        <v>243</v>
      </c>
      <c r="I122" s="33" t="n">
        <f aca="false">H122-H121</f>
        <v>81</v>
      </c>
      <c r="K122" s="34" t="s">
        <v>2</v>
      </c>
      <c r="L122" s="34" t="s">
        <v>179</v>
      </c>
      <c r="M122" s="34" t="s">
        <v>175</v>
      </c>
      <c r="N122" s="34" t="s">
        <v>177</v>
      </c>
    </row>
    <row r="123" customFormat="false" ht="13.8" hidden="false" customHeight="false" outlineLevel="0" collapsed="false">
      <c r="A123" s="32" t="n">
        <v>45779</v>
      </c>
      <c r="B123" s="33" t="n">
        <v>15733</v>
      </c>
      <c r="C123" s="33" t="n">
        <f aca="false">B123-B122</f>
        <v>-10324</v>
      </c>
      <c r="D123" s="33" t="n">
        <v>690.5</v>
      </c>
      <c r="E123" s="33" t="n">
        <f aca="false">D123-D122</f>
        <v>-437.3</v>
      </c>
      <c r="F123" s="33" t="n">
        <v>11.33</v>
      </c>
      <c r="G123" s="33" t="n">
        <f aca="false">F123-F122</f>
        <v>-7.43</v>
      </c>
      <c r="H123" s="33" t="n">
        <v>148</v>
      </c>
      <c r="I123" s="33" t="n">
        <f aca="false">H123-H122</f>
        <v>-95</v>
      </c>
      <c r="J123" s="1" t="s">
        <v>8</v>
      </c>
      <c r="K123" s="1" t="n">
        <f aca="false">AVERAGE($B$122:$B$152)</f>
        <v>15499.6774193548</v>
      </c>
      <c r="L123" s="1" t="n">
        <f aca="false">AVERAGE($D$122:$D$152)</f>
        <v>679.912903225806</v>
      </c>
      <c r="M123" s="1" t="n">
        <f aca="false">AVERAGE($F$122:$F$152)</f>
        <v>11.1596774193548</v>
      </c>
      <c r="N123" s="1" t="n">
        <f aca="false">AVERAGE($H$122:$H$152)</f>
        <v>145.677419354839</v>
      </c>
    </row>
    <row r="124" customFormat="false" ht="13.8" hidden="false" customHeight="false" outlineLevel="0" collapsed="false">
      <c r="A124" s="32" t="n">
        <v>45780</v>
      </c>
      <c r="B124" s="33" t="n">
        <v>16511</v>
      </c>
      <c r="C124" s="33" t="n">
        <f aca="false">B124-B123</f>
        <v>778</v>
      </c>
      <c r="D124" s="33" t="n">
        <v>724.8</v>
      </c>
      <c r="E124" s="33" t="n">
        <f aca="false">D124-D123</f>
        <v>34.3</v>
      </c>
      <c r="F124" s="33" t="n">
        <v>11.89</v>
      </c>
      <c r="G124" s="33" t="n">
        <f aca="false">F124-F123</f>
        <v>0.560000000000001</v>
      </c>
      <c r="H124" s="33" t="n">
        <v>154</v>
      </c>
      <c r="I124" s="33" t="n">
        <f aca="false">H124-H123</f>
        <v>6</v>
      </c>
      <c r="J124" s="1" t="s">
        <v>10</v>
      </c>
      <c r="K124" s="1" t="n">
        <f aca="false">SQRT(VAR($B$122:$B$152)/COUNT($B$122:$B$152))</f>
        <v>881.81891002619</v>
      </c>
      <c r="L124" s="1" t="n">
        <f aca="false">SQRT(VAR($D$122:$D$152)/COUNT($D$122:$D$152))</f>
        <v>38.1492264445977</v>
      </c>
      <c r="M124" s="1" t="n">
        <f aca="false">SQRT(VAR($F$122:$F$152)/COUNT($F$122:$F$152))</f>
        <v>0.634776141028917</v>
      </c>
      <c r="N124" s="1" t="n">
        <f aca="false">SQRT(VAR($H$122:$H$152)/COUNT($H$122:$H$152))</f>
        <v>8.09837194534221</v>
      </c>
    </row>
    <row r="125" customFormat="false" ht="13.8" hidden="false" customHeight="false" outlineLevel="0" collapsed="false">
      <c r="A125" s="32" t="n">
        <v>45781</v>
      </c>
      <c r="B125" s="33" t="n">
        <v>22755</v>
      </c>
      <c r="C125" s="33" t="n">
        <f aca="false">B125-B124</f>
        <v>6244</v>
      </c>
      <c r="D125" s="33" t="n">
        <v>1007.7</v>
      </c>
      <c r="E125" s="33" t="n">
        <f aca="false">D125-D124</f>
        <v>282.9</v>
      </c>
      <c r="F125" s="33" t="n">
        <v>16.38</v>
      </c>
      <c r="G125" s="33" t="n">
        <f aca="false">F125-F124</f>
        <v>4.49</v>
      </c>
      <c r="H125" s="33" t="n">
        <v>222</v>
      </c>
      <c r="I125" s="33" t="n">
        <f aca="false">H125-H124</f>
        <v>68</v>
      </c>
      <c r="J125" s="1" t="s">
        <v>14</v>
      </c>
      <c r="K125" s="1" t="e">
        <f aca="false">MODE($B$122:$B$152)</f>
        <v>#VALUE!</v>
      </c>
      <c r="L125" s="1" t="e">
        <f aca="false">MODE($D$122:$D$152)</f>
        <v>#VALUE!</v>
      </c>
      <c r="M125" s="1" t="e">
        <f aca="false">MODE($F$122:$F$152)</f>
        <v>#VALUE!</v>
      </c>
      <c r="N125" s="1" t="n">
        <f aca="false">MODE($H$122:$H$152)</f>
        <v>132</v>
      </c>
    </row>
    <row r="126" customFormat="false" ht="13.8" hidden="false" customHeight="false" outlineLevel="0" collapsed="false">
      <c r="A126" s="32" t="n">
        <v>45782</v>
      </c>
      <c r="B126" s="33" t="n">
        <v>18076</v>
      </c>
      <c r="C126" s="33" t="n">
        <f aca="false">B126-B125</f>
        <v>-4679</v>
      </c>
      <c r="D126" s="33" t="n">
        <v>784.5</v>
      </c>
      <c r="E126" s="33" t="n">
        <f aca="false">D126-D125</f>
        <v>-223.2</v>
      </c>
      <c r="F126" s="33" t="n">
        <v>13.01</v>
      </c>
      <c r="G126" s="33" t="n">
        <f aca="false">F126-F125</f>
        <v>-3.37</v>
      </c>
      <c r="H126" s="33" t="n">
        <v>164</v>
      </c>
      <c r="I126" s="33" t="n">
        <f aca="false">H126-H125</f>
        <v>-58</v>
      </c>
      <c r="J126" s="1" t="s">
        <v>12</v>
      </c>
      <c r="K126" s="1" t="n">
        <f aca="false">MEDIAN($B$122:$B$152)</f>
        <v>15138</v>
      </c>
      <c r="L126" s="1" t="n">
        <f aca="false">MEDIAN($D$122:$D$152)</f>
        <v>660.9</v>
      </c>
      <c r="M126" s="1" t="n">
        <f aca="false">MEDIAN($F$122:$F$152)</f>
        <v>10.9</v>
      </c>
      <c r="N126" s="1" t="n">
        <f aca="false">MEDIAN($H$122:$H$152)</f>
        <v>139</v>
      </c>
    </row>
    <row r="127" customFormat="false" ht="13.8" hidden="false" customHeight="false" outlineLevel="0" collapsed="false">
      <c r="A127" s="32" t="n">
        <v>45783</v>
      </c>
      <c r="B127" s="33" t="n">
        <v>20112</v>
      </c>
      <c r="C127" s="33" t="n">
        <f aca="false">B127-B126</f>
        <v>2036</v>
      </c>
      <c r="D127" s="33" t="n">
        <v>881.6</v>
      </c>
      <c r="E127" s="33" t="n">
        <f aca="false">D127-D126</f>
        <v>97.1</v>
      </c>
      <c r="F127" s="33" t="n">
        <v>14.48</v>
      </c>
      <c r="G127" s="33" t="n">
        <f aca="false">F127-F126</f>
        <v>1.47</v>
      </c>
      <c r="H127" s="33" t="n">
        <v>189</v>
      </c>
      <c r="I127" s="33" t="n">
        <f aca="false">H127-H126</f>
        <v>25</v>
      </c>
      <c r="J127" s="1" t="s">
        <v>195</v>
      </c>
      <c r="K127" s="1" t="n">
        <f aca="false">QUARTILE($B$122:$B$152, 1)</f>
        <v>12563</v>
      </c>
      <c r="L127" s="1" t="n">
        <f aca="false">QUARTILE($D$122:$D$152, 1)</f>
        <v>554.65</v>
      </c>
      <c r="M127" s="1" t="n">
        <f aca="false">QUARTILE($F$122:$F$152, 1)</f>
        <v>9.045</v>
      </c>
      <c r="N127" s="1" t="n">
        <f aca="false">QUARTILE($H$122:$H$152, 1)</f>
        <v>120</v>
      </c>
    </row>
    <row r="128" customFormat="false" ht="13.8" hidden="false" customHeight="false" outlineLevel="0" collapsed="false">
      <c r="A128" s="32" t="n">
        <v>45784</v>
      </c>
      <c r="B128" s="33" t="n">
        <v>17419</v>
      </c>
      <c r="C128" s="33" t="n">
        <f aca="false">B128-B127</f>
        <v>-2693</v>
      </c>
      <c r="D128" s="33" t="n">
        <v>768.5</v>
      </c>
      <c r="E128" s="33" t="n">
        <f aca="false">D128-D127</f>
        <v>-113.1</v>
      </c>
      <c r="F128" s="33" t="n">
        <v>12.54</v>
      </c>
      <c r="G128" s="33" t="n">
        <f aca="false">F128-F127</f>
        <v>-1.94</v>
      </c>
      <c r="H128" s="33" t="n">
        <v>166</v>
      </c>
      <c r="I128" s="33" t="n">
        <f aca="false">H128-H127</f>
        <v>-23</v>
      </c>
      <c r="J128" s="1" t="s">
        <v>181</v>
      </c>
      <c r="K128" s="1" t="n">
        <f aca="false">QUARTILE($B$122:$B$152, 3)</f>
        <v>17897.5</v>
      </c>
      <c r="L128" s="1" t="n">
        <f aca="false">QUARTILE($D$122:$D$152, 3)</f>
        <v>781.2</v>
      </c>
      <c r="M128" s="1" t="n">
        <f aca="false">QUARTILE($F$122:$F$152, 3)</f>
        <v>12.885</v>
      </c>
      <c r="N128" s="1" t="n">
        <f aca="false">QUARTILE($H$122:$H$152, 3)</f>
        <v>167</v>
      </c>
    </row>
    <row r="129" customFormat="false" ht="13.8" hidden="false" customHeight="false" outlineLevel="0" collapsed="false">
      <c r="A129" s="32" t="n">
        <v>45785</v>
      </c>
      <c r="B129" s="33" t="n">
        <v>14390</v>
      </c>
      <c r="C129" s="33" t="n">
        <f aca="false">B129-B128</f>
        <v>-3029</v>
      </c>
      <c r="D129" s="33" t="n">
        <v>628.8</v>
      </c>
      <c r="E129" s="33" t="n">
        <f aca="false">D129-D128</f>
        <v>-139.7</v>
      </c>
      <c r="F129" s="33" t="n">
        <v>10.36</v>
      </c>
      <c r="G129" s="33" t="n">
        <f aca="false">F129-F128</f>
        <v>-2.18</v>
      </c>
      <c r="H129" s="33" t="n">
        <v>134</v>
      </c>
      <c r="I129" s="33" t="n">
        <f aca="false">H129-H128</f>
        <v>-32</v>
      </c>
      <c r="J129" s="1" t="s">
        <v>182</v>
      </c>
      <c r="K129" s="1" t="n">
        <f aca="false">VAR($B$122:$B$152)</f>
        <v>24105742.2924731</v>
      </c>
      <c r="L129" s="1" t="n">
        <f aca="false">VAR($D$122:$D$152)</f>
        <v>45116.267827957</v>
      </c>
      <c r="M129" s="1" t="n">
        <f aca="false">VAR($F$122:$F$152)</f>
        <v>12.4911632258065</v>
      </c>
      <c r="N129" s="1" t="n">
        <f aca="false">VAR($H$122:$H$152)</f>
        <v>2033.09247311828</v>
      </c>
    </row>
    <row r="130" customFormat="false" ht="13.8" hidden="false" customHeight="false" outlineLevel="0" collapsed="false">
      <c r="A130" s="32" t="n">
        <v>45786</v>
      </c>
      <c r="B130" s="33" t="n">
        <v>13802</v>
      </c>
      <c r="C130" s="33" t="n">
        <f aca="false">B130-B129</f>
        <v>-588</v>
      </c>
      <c r="D130" s="33" t="n">
        <v>608.7</v>
      </c>
      <c r="E130" s="33" t="n">
        <f aca="false">D130-D129</f>
        <v>-20.0999999999999</v>
      </c>
      <c r="F130" s="33" t="n">
        <v>9.94</v>
      </c>
      <c r="G130" s="33" t="n">
        <f aca="false">F130-F129</f>
        <v>-0.42</v>
      </c>
      <c r="H130" s="33" t="n">
        <v>132</v>
      </c>
      <c r="I130" s="33" t="n">
        <f aca="false">H130-H129</f>
        <v>-2</v>
      </c>
      <c r="J130" s="1" t="s">
        <v>16</v>
      </c>
      <c r="K130" s="1" t="n">
        <f aca="false">STDEV($B$122:$B$152)</f>
        <v>4909.75990171344</v>
      </c>
      <c r="L130" s="1" t="n">
        <f aca="false">STDEV($D$122:$D$152)</f>
        <v>212.405903467764</v>
      </c>
      <c r="M130" s="1" t="n">
        <f aca="false">STDEV($F$122:$F$152)</f>
        <v>3.53428397639557</v>
      </c>
      <c r="N130" s="1" t="n">
        <f aca="false">STDEV($H$122:$H$152)</f>
        <v>45.0898267142188</v>
      </c>
    </row>
    <row r="131" customFormat="false" ht="13.8" hidden="false" customHeight="false" outlineLevel="0" collapsed="false">
      <c r="A131" s="32" t="n">
        <v>45787</v>
      </c>
      <c r="B131" s="33" t="n">
        <v>13592</v>
      </c>
      <c r="C131" s="33" t="n">
        <f aca="false">B131-B130</f>
        <v>-210</v>
      </c>
      <c r="D131" s="33" t="n">
        <v>593.2</v>
      </c>
      <c r="E131" s="33" t="n">
        <f aca="false">D131-D130</f>
        <v>-15.5</v>
      </c>
      <c r="F131" s="33" t="n">
        <v>9.79</v>
      </c>
      <c r="G131" s="33" t="n">
        <f aca="false">F131-F130</f>
        <v>-0.15</v>
      </c>
      <c r="H131" s="33" t="n">
        <v>125</v>
      </c>
      <c r="I131" s="33" t="n">
        <f aca="false">H131-H130</f>
        <v>-7</v>
      </c>
      <c r="J131" s="1" t="s">
        <v>20</v>
      </c>
      <c r="K131" s="1" t="n">
        <f aca="false">KURT($B$122:$B$152)</f>
        <v>0.0453372473228955</v>
      </c>
      <c r="L131" s="1" t="n">
        <f aca="false">KURT($D$122:$D$152)</f>
        <v>-0.0223717118257794</v>
      </c>
      <c r="M131" s="1" t="n">
        <f aca="false">KURT($F$122:$F$152)</f>
        <v>0.0460037175009833</v>
      </c>
      <c r="N131" s="1" t="n">
        <f aca="false">KURT($H$122:$H$152)</f>
        <v>-0.0727986265854104</v>
      </c>
    </row>
    <row r="132" customFormat="false" ht="13.8" hidden="false" customHeight="false" outlineLevel="0" collapsed="false">
      <c r="A132" s="32" t="n">
        <v>45788</v>
      </c>
      <c r="B132" s="33" t="n">
        <v>25471</v>
      </c>
      <c r="C132" s="33" t="n">
        <f aca="false">B132-B131</f>
        <v>11879</v>
      </c>
      <c r="D132" s="33" t="n">
        <v>1109.1</v>
      </c>
      <c r="E132" s="33" t="n">
        <f aca="false">D132-D131</f>
        <v>515.9</v>
      </c>
      <c r="F132" s="33" t="n">
        <v>18.34</v>
      </c>
      <c r="G132" s="33" t="n">
        <f aca="false">F132-F131</f>
        <v>8.55</v>
      </c>
      <c r="H132" s="33" t="n">
        <v>232</v>
      </c>
      <c r="I132" s="33" t="n">
        <f aca="false">H132-H131</f>
        <v>107</v>
      </c>
      <c r="J132" s="1" t="s">
        <v>22</v>
      </c>
      <c r="K132" s="1" t="n">
        <f aca="false">SKEW($B$122:$B$152)</f>
        <v>0.2753381382878</v>
      </c>
      <c r="L132" s="1" t="n">
        <f aca="false">SKEW($D$122:$D$152)</f>
        <v>0.275825588847172</v>
      </c>
      <c r="M132" s="1" t="n">
        <f aca="false">SKEW($F$122:$F$152)</f>
        <v>0.275586012660303</v>
      </c>
      <c r="N132" s="1" t="n">
        <f aca="false">SKEW($H$122:$H$152)</f>
        <v>0.326021831606685</v>
      </c>
    </row>
    <row r="133" customFormat="false" ht="13.8" hidden="false" customHeight="false" outlineLevel="0" collapsed="false">
      <c r="A133" s="32" t="n">
        <v>45789</v>
      </c>
      <c r="B133" s="33" t="n">
        <v>13819</v>
      </c>
      <c r="C133" s="33" t="n">
        <f aca="false">B133-B132</f>
        <v>-11652</v>
      </c>
      <c r="D133" s="33" t="n">
        <v>601.7</v>
      </c>
      <c r="E133" s="33" t="n">
        <f aca="false">D133-D132</f>
        <v>-507.4</v>
      </c>
      <c r="F133" s="33" t="n">
        <v>9.95</v>
      </c>
      <c r="G133" s="33" t="n">
        <f aca="false">F133-F132</f>
        <v>-8.39</v>
      </c>
      <c r="H133" s="33" t="n">
        <v>127</v>
      </c>
      <c r="I133" s="33" t="n">
        <f aca="false">H133-H132</f>
        <v>-105</v>
      </c>
      <c r="J133" s="1" t="s">
        <v>24</v>
      </c>
      <c r="K133" s="1" t="n">
        <f aca="false">MAX($B$122:$B$152)-MIN($B$122:$B$152)</f>
        <v>19753</v>
      </c>
      <c r="L133" s="1" t="n">
        <f aca="false">MAX($D$122:$D$152)-MIN($D$122:$D$152)</f>
        <v>842.8</v>
      </c>
      <c r="M133" s="1" t="n">
        <f aca="false">MAX($F$122:$F$152)-MIN($F$122:$F$152)</f>
        <v>14.22</v>
      </c>
      <c r="N133" s="1" t="n">
        <f aca="false">MAX($H$122:$H$152)-MIN($H$122:$H$152)</f>
        <v>181</v>
      </c>
    </row>
    <row r="134" customFormat="false" ht="13.8" hidden="false" customHeight="false" outlineLevel="0" collapsed="false">
      <c r="A134" s="32" t="n">
        <v>45790</v>
      </c>
      <c r="B134" s="33" t="n">
        <v>10568</v>
      </c>
      <c r="C134" s="33" t="n">
        <f aca="false">B134-B133</f>
        <v>-3251</v>
      </c>
      <c r="D134" s="33" t="n">
        <v>461.7</v>
      </c>
      <c r="E134" s="33" t="n">
        <f aca="false">D134-D133</f>
        <v>-140</v>
      </c>
      <c r="F134" s="33" t="n">
        <v>7.61</v>
      </c>
      <c r="G134" s="33" t="n">
        <f aca="false">F134-F133</f>
        <v>-2.34</v>
      </c>
      <c r="H134" s="33" t="n">
        <v>97</v>
      </c>
      <c r="I134" s="33" t="n">
        <f aca="false">H134-H133</f>
        <v>-30</v>
      </c>
      <c r="J134" s="1" t="s">
        <v>26</v>
      </c>
      <c r="K134" s="1" t="n">
        <f aca="false">MIN($B$122:$B$152)</f>
        <v>6304</v>
      </c>
      <c r="L134" s="1" t="n">
        <f aca="false">MIN($D$122:$D$152)</f>
        <v>285</v>
      </c>
      <c r="M134" s="1" t="n">
        <f aca="false">MIN($F$122:$F$152)</f>
        <v>4.54</v>
      </c>
      <c r="N134" s="1" t="n">
        <f aca="false">MIN($H$122:$H$152)</f>
        <v>62</v>
      </c>
    </row>
    <row r="135" customFormat="false" ht="13.8" hidden="false" customHeight="false" outlineLevel="0" collapsed="false">
      <c r="A135" s="32" t="n">
        <v>45791</v>
      </c>
      <c r="B135" s="33" t="n">
        <v>17632</v>
      </c>
      <c r="C135" s="33" t="n">
        <f aca="false">B135-B134</f>
        <v>7064</v>
      </c>
      <c r="D135" s="33" t="n">
        <v>768.3</v>
      </c>
      <c r="E135" s="33" t="n">
        <f aca="false">D135-D134</f>
        <v>306.6</v>
      </c>
      <c r="F135" s="33" t="n">
        <v>12.7</v>
      </c>
      <c r="G135" s="33" t="n">
        <f aca="false">F135-F134</f>
        <v>5.09</v>
      </c>
      <c r="H135" s="33" t="n">
        <v>162</v>
      </c>
      <c r="I135" s="33" t="n">
        <f aca="false">H135-H134</f>
        <v>65</v>
      </c>
      <c r="J135" s="1" t="s">
        <v>28</v>
      </c>
      <c r="K135" s="1" t="n">
        <f aca="false">MAX($B$122:$B$152)</f>
        <v>26057</v>
      </c>
      <c r="L135" s="1" t="n">
        <f aca="false">MAX($D$122:$D$152)</f>
        <v>1127.8</v>
      </c>
      <c r="M135" s="1" t="n">
        <f aca="false">MAX($F$122:$F$152)</f>
        <v>18.76</v>
      </c>
      <c r="N135" s="1" t="n">
        <f aca="false">MAX($H$122:$H$152)</f>
        <v>243</v>
      </c>
    </row>
    <row r="136" customFormat="false" ht="13.8" hidden="false" customHeight="false" outlineLevel="0" collapsed="false">
      <c r="A136" s="32" t="n">
        <v>45792</v>
      </c>
      <c r="B136" s="33" t="n">
        <v>17719</v>
      </c>
      <c r="C136" s="33" t="n">
        <f aca="false">B136-B135</f>
        <v>87</v>
      </c>
      <c r="D136" s="33" t="n">
        <v>777.9</v>
      </c>
      <c r="E136" s="33" t="n">
        <f aca="false">D136-D135</f>
        <v>9.60000000000002</v>
      </c>
      <c r="F136" s="33" t="n">
        <v>12.76</v>
      </c>
      <c r="G136" s="33" t="n">
        <f aca="false">F136-F135</f>
        <v>0.0600000000000005</v>
      </c>
      <c r="H136" s="33" t="n">
        <v>168</v>
      </c>
      <c r="I136" s="33" t="n">
        <f aca="false">H136-H135</f>
        <v>6</v>
      </c>
      <c r="J136" s="1" t="s">
        <v>30</v>
      </c>
      <c r="K136" s="1" t="n">
        <f aca="false">SUM($B$122:$B$152)</f>
        <v>480490</v>
      </c>
      <c r="L136" s="1" t="n">
        <f aca="false">SUM($D$122:$D$152)</f>
        <v>21077.3</v>
      </c>
      <c r="M136" s="1" t="n">
        <f aca="false">SUM($F$122:$F$152)</f>
        <v>345.95</v>
      </c>
      <c r="N136" s="1" t="n">
        <f aca="false">SUM($H$122:$H$152)</f>
        <v>4516</v>
      </c>
    </row>
    <row r="137" customFormat="false" ht="13.8" hidden="false" customHeight="false" outlineLevel="0" collapsed="false">
      <c r="A137" s="32" t="n">
        <v>45793</v>
      </c>
      <c r="B137" s="33" t="n">
        <v>15492</v>
      </c>
      <c r="C137" s="33" t="n">
        <f aca="false">B137-B136</f>
        <v>-2227</v>
      </c>
      <c r="D137" s="33" t="n">
        <v>689.7</v>
      </c>
      <c r="E137" s="33" t="n">
        <f aca="false">D137-D136</f>
        <v>-88.1999999999999</v>
      </c>
      <c r="F137" s="33" t="n">
        <v>11.15</v>
      </c>
      <c r="G137" s="33" t="n">
        <f aca="false">F137-F136</f>
        <v>-1.61</v>
      </c>
      <c r="H137" s="33" t="n">
        <v>152</v>
      </c>
      <c r="I137" s="33" t="n">
        <f aca="false">H137-H136</f>
        <v>-16</v>
      </c>
      <c r="J137" s="1" t="s">
        <v>32</v>
      </c>
      <c r="K137" s="1" t="n">
        <f aca="false">COUNT($B$122:$B$152)</f>
        <v>31</v>
      </c>
      <c r="L137" s="1" t="n">
        <f aca="false">COUNT($D$122:$D$152)</f>
        <v>31</v>
      </c>
      <c r="M137" s="1" t="n">
        <f aca="false">COUNT($F$122:$F$152)</f>
        <v>31</v>
      </c>
      <c r="N137" s="1" t="n">
        <f aca="false">COUNT($H$122:$H$152)</f>
        <v>31</v>
      </c>
    </row>
    <row r="138" customFormat="false" ht="13.8" hidden="false" customHeight="false" outlineLevel="0" collapsed="false">
      <c r="A138" s="32" t="n">
        <v>45794</v>
      </c>
      <c r="B138" s="33" t="n">
        <v>6304</v>
      </c>
      <c r="C138" s="33" t="n">
        <f aca="false">B138-B137</f>
        <v>-9188</v>
      </c>
      <c r="D138" s="33" t="n">
        <v>287.3</v>
      </c>
      <c r="E138" s="33" t="n">
        <f aca="false">D138-D137</f>
        <v>-402.4</v>
      </c>
      <c r="F138" s="33" t="n">
        <v>4.54</v>
      </c>
      <c r="G138" s="33" t="n">
        <f aca="false">F138-F137</f>
        <v>-6.61</v>
      </c>
      <c r="H138" s="33" t="n">
        <v>66</v>
      </c>
      <c r="I138" s="33" t="n">
        <f aca="false">H138-H137</f>
        <v>-86</v>
      </c>
    </row>
    <row r="139" customFormat="false" ht="13.8" hidden="false" customHeight="false" outlineLevel="0" collapsed="false">
      <c r="A139" s="32" t="n">
        <v>45795</v>
      </c>
      <c r="B139" s="33" t="n">
        <v>12475</v>
      </c>
      <c r="C139" s="33" t="n">
        <f aca="false">B139-B138</f>
        <v>6171</v>
      </c>
      <c r="D139" s="33" t="n">
        <v>545.3</v>
      </c>
      <c r="E139" s="33" t="n">
        <f aca="false">D139-D138</f>
        <v>258</v>
      </c>
      <c r="F139" s="33" t="n">
        <v>8.98</v>
      </c>
      <c r="G139" s="33" t="n">
        <f aca="false">F139-F138</f>
        <v>4.44</v>
      </c>
      <c r="H139" s="33" t="n">
        <v>115</v>
      </c>
      <c r="I139" s="33" t="n">
        <f aca="false">H139-H138</f>
        <v>49</v>
      </c>
    </row>
    <row r="140" customFormat="false" ht="13.8" hidden="false" customHeight="false" outlineLevel="0" collapsed="false">
      <c r="A140" s="32" t="n">
        <v>45796</v>
      </c>
      <c r="B140" s="33" t="n">
        <v>14354</v>
      </c>
      <c r="C140" s="33" t="n">
        <f aca="false">B140-B139</f>
        <v>1879</v>
      </c>
      <c r="D140" s="33" t="n">
        <v>626.1</v>
      </c>
      <c r="E140" s="33" t="n">
        <f aca="false">D140-D139</f>
        <v>80.8000000000001</v>
      </c>
      <c r="F140" s="33" t="n">
        <v>10.33</v>
      </c>
      <c r="G140" s="33" t="n">
        <f aca="false">F140-F139</f>
        <v>1.35</v>
      </c>
      <c r="H140" s="33" t="n">
        <v>132</v>
      </c>
      <c r="I140" s="33" t="n">
        <f aca="false">H140-H139</f>
        <v>17</v>
      </c>
    </row>
    <row r="141" customFormat="false" ht="13.8" hidden="false" customHeight="false" outlineLevel="0" collapsed="false">
      <c r="A141" s="32" t="n">
        <v>45797</v>
      </c>
      <c r="B141" s="33" t="n">
        <v>16110</v>
      </c>
      <c r="C141" s="33" t="n">
        <f aca="false">B141-B140</f>
        <v>1756</v>
      </c>
      <c r="D141" s="33" t="n">
        <v>707.1</v>
      </c>
      <c r="E141" s="33" t="n">
        <f aca="false">D141-D140</f>
        <v>81</v>
      </c>
      <c r="F141" s="33" t="n">
        <v>11.6</v>
      </c>
      <c r="G141" s="33" t="n">
        <f aca="false">F141-F140</f>
        <v>1.27</v>
      </c>
      <c r="H141" s="33" t="n">
        <v>151</v>
      </c>
      <c r="I141" s="33" t="n">
        <f aca="false">H141-H140</f>
        <v>19</v>
      </c>
    </row>
    <row r="142" customFormat="false" ht="13.8" hidden="false" customHeight="false" outlineLevel="0" collapsed="false">
      <c r="A142" s="32" t="n">
        <v>45798</v>
      </c>
      <c r="B142" s="33" t="n">
        <v>23071</v>
      </c>
      <c r="C142" s="33" t="n">
        <f aca="false">B142-B141</f>
        <v>6961</v>
      </c>
      <c r="D142" s="33" t="n">
        <v>1005</v>
      </c>
      <c r="E142" s="33" t="n">
        <f aca="false">D142-D141</f>
        <v>297.9</v>
      </c>
      <c r="F142" s="33" t="n">
        <v>16.61</v>
      </c>
      <c r="G142" s="33" t="n">
        <f aca="false">F142-F141</f>
        <v>5.01</v>
      </c>
      <c r="H142" s="33" t="n">
        <v>212</v>
      </c>
      <c r="I142" s="33" t="n">
        <f aca="false">H142-H141</f>
        <v>61</v>
      </c>
    </row>
    <row r="143" customFormat="false" ht="13.8" hidden="false" customHeight="false" outlineLevel="0" collapsed="false">
      <c r="A143" s="32" t="n">
        <v>45799</v>
      </c>
      <c r="B143" s="33" t="n">
        <v>12099</v>
      </c>
      <c r="C143" s="33" t="n">
        <f aca="false">B143-B142</f>
        <v>-10972</v>
      </c>
      <c r="D143" s="33" t="n">
        <v>536</v>
      </c>
      <c r="E143" s="33" t="n">
        <f aca="false">D143-D142</f>
        <v>-469</v>
      </c>
      <c r="F143" s="33" t="n">
        <v>8.71</v>
      </c>
      <c r="G143" s="33" t="n">
        <f aca="false">F143-F142</f>
        <v>-7.9</v>
      </c>
      <c r="H143" s="33" t="n">
        <v>118</v>
      </c>
      <c r="I143" s="33" t="n">
        <f aca="false">H143-H142</f>
        <v>-94</v>
      </c>
    </row>
    <row r="144" customFormat="false" ht="13.8" hidden="false" customHeight="false" outlineLevel="0" collapsed="false">
      <c r="A144" s="32" t="n">
        <v>45800</v>
      </c>
      <c r="B144" s="33" t="n">
        <v>9124</v>
      </c>
      <c r="C144" s="33" t="n">
        <f aca="false">B144-B143</f>
        <v>-2975</v>
      </c>
      <c r="D144" s="33" t="n">
        <v>404.2</v>
      </c>
      <c r="E144" s="33" t="n">
        <f aca="false">D144-D143</f>
        <v>-131.8</v>
      </c>
      <c r="F144" s="33" t="n">
        <v>6.57</v>
      </c>
      <c r="G144" s="33" t="n">
        <f aca="false">F144-F143</f>
        <v>-2.14</v>
      </c>
      <c r="H144" s="33" t="n">
        <v>88</v>
      </c>
      <c r="I144" s="33" t="n">
        <f aca="false">H144-H143</f>
        <v>-30</v>
      </c>
    </row>
    <row r="145" customFormat="false" ht="13.8" hidden="false" customHeight="false" outlineLevel="0" collapsed="false">
      <c r="A145" s="32" t="n">
        <v>45801</v>
      </c>
      <c r="B145" s="33" t="n">
        <v>12578</v>
      </c>
      <c r="C145" s="33" t="n">
        <f aca="false">B145-B144</f>
        <v>3454</v>
      </c>
      <c r="D145" s="33" t="n">
        <v>553.4</v>
      </c>
      <c r="E145" s="33" t="n">
        <f aca="false">D145-D144</f>
        <v>149.2</v>
      </c>
      <c r="F145" s="33" t="n">
        <v>9.06</v>
      </c>
      <c r="G145" s="33" t="n">
        <f aca="false">F145-F144</f>
        <v>2.49</v>
      </c>
      <c r="H145" s="33" t="n">
        <v>119</v>
      </c>
      <c r="I145" s="33" t="n">
        <f aca="false">H145-H144</f>
        <v>31</v>
      </c>
    </row>
    <row r="146" customFormat="false" ht="13.8" hidden="false" customHeight="false" outlineLevel="0" collapsed="false">
      <c r="A146" s="32" t="n">
        <v>45802</v>
      </c>
      <c r="B146" s="33" t="n">
        <v>6360</v>
      </c>
      <c r="C146" s="33" t="n">
        <f aca="false">B146-B145</f>
        <v>-6218</v>
      </c>
      <c r="D146" s="33" t="n">
        <v>285</v>
      </c>
      <c r="E146" s="33" t="n">
        <f aca="false">D146-D145</f>
        <v>-268.4</v>
      </c>
      <c r="F146" s="33" t="n">
        <v>4.58</v>
      </c>
      <c r="G146" s="33" t="n">
        <f aca="false">F146-F145</f>
        <v>-4.48</v>
      </c>
      <c r="H146" s="33" t="n">
        <v>62</v>
      </c>
      <c r="I146" s="33" t="n">
        <f aca="false">H146-H145</f>
        <v>-57</v>
      </c>
    </row>
    <row r="147" customFormat="false" ht="13.8" hidden="false" customHeight="false" outlineLevel="0" collapsed="false">
      <c r="A147" s="32" t="n">
        <v>45803</v>
      </c>
      <c r="B147" s="33" t="n">
        <v>12548</v>
      </c>
      <c r="C147" s="33" t="n">
        <f aca="false">B147-B146</f>
        <v>6188</v>
      </c>
      <c r="D147" s="33" t="n">
        <v>555.9</v>
      </c>
      <c r="E147" s="33" t="n">
        <f aca="false">D147-D146</f>
        <v>270.9</v>
      </c>
      <c r="F147" s="33" t="n">
        <v>9.03</v>
      </c>
      <c r="G147" s="33" t="n">
        <f aca="false">F147-F146</f>
        <v>4.45</v>
      </c>
      <c r="H147" s="33" t="n">
        <v>121</v>
      </c>
      <c r="I147" s="33" t="n">
        <f aca="false">H147-H146</f>
        <v>59</v>
      </c>
    </row>
    <row r="148" customFormat="false" ht="13.8" hidden="false" customHeight="false" outlineLevel="0" collapsed="false">
      <c r="A148" s="32" t="n">
        <v>45804</v>
      </c>
      <c r="B148" s="33" t="n">
        <v>20227</v>
      </c>
      <c r="C148" s="33" t="n">
        <f aca="false">B148-B147</f>
        <v>7679</v>
      </c>
      <c r="D148" s="33" t="n">
        <v>894.1</v>
      </c>
      <c r="E148" s="33" t="n">
        <f aca="false">D148-D147</f>
        <v>338.2</v>
      </c>
      <c r="F148" s="33" t="n">
        <v>14.56</v>
      </c>
      <c r="G148" s="33" t="n">
        <f aca="false">F148-F147</f>
        <v>5.53</v>
      </c>
      <c r="H148" s="33" t="n">
        <v>196</v>
      </c>
      <c r="I148" s="33" t="n">
        <f aca="false">H148-H147</f>
        <v>75</v>
      </c>
    </row>
    <row r="149" customFormat="false" ht="13.8" hidden="false" customHeight="false" outlineLevel="0" collapsed="false">
      <c r="A149" s="32" t="n">
        <v>45805</v>
      </c>
      <c r="B149" s="33" t="n">
        <v>18364</v>
      </c>
      <c r="C149" s="33" t="n">
        <f aca="false">B149-B148</f>
        <v>-1863</v>
      </c>
      <c r="D149" s="33" t="n">
        <v>800.2</v>
      </c>
      <c r="E149" s="33" t="n">
        <f aca="false">D149-D148</f>
        <v>-93.9</v>
      </c>
      <c r="F149" s="33" t="n">
        <v>13.22</v>
      </c>
      <c r="G149" s="33" t="n">
        <f aca="false">F149-F148</f>
        <v>-1.34</v>
      </c>
      <c r="H149" s="33" t="n">
        <v>169</v>
      </c>
      <c r="I149" s="33" t="n">
        <f aca="false">H149-H148</f>
        <v>-27</v>
      </c>
    </row>
    <row r="150" customFormat="false" ht="13.8" hidden="false" customHeight="false" outlineLevel="0" collapsed="false">
      <c r="A150" s="32" t="n">
        <v>45806</v>
      </c>
      <c r="B150" s="33" t="n">
        <v>13624</v>
      </c>
      <c r="C150" s="33" t="n">
        <f aca="false">B150-B149</f>
        <v>-4740</v>
      </c>
      <c r="D150" s="33" t="n">
        <v>594.4</v>
      </c>
      <c r="E150" s="33" t="n">
        <f aca="false">D150-D149</f>
        <v>-205.8</v>
      </c>
      <c r="F150" s="33" t="n">
        <v>9.81</v>
      </c>
      <c r="G150" s="33" t="n">
        <f aca="false">F150-F149</f>
        <v>-3.41</v>
      </c>
      <c r="H150" s="33" t="n">
        <v>126</v>
      </c>
      <c r="I150" s="33" t="n">
        <f aca="false">H150-H149</f>
        <v>-43</v>
      </c>
    </row>
    <row r="151" customFormat="false" ht="13.8" hidden="false" customHeight="false" outlineLevel="0" collapsed="false">
      <c r="A151" s="32" t="n">
        <v>45807</v>
      </c>
      <c r="B151" s="33" t="n">
        <v>15138</v>
      </c>
      <c r="C151" s="33" t="n">
        <f aca="false">B151-B150</f>
        <v>1514</v>
      </c>
      <c r="D151" s="33" t="n">
        <v>660.9</v>
      </c>
      <c r="E151" s="33" t="n">
        <f aca="false">D151-D150</f>
        <v>66.5</v>
      </c>
      <c r="F151" s="33" t="n">
        <v>10.9</v>
      </c>
      <c r="G151" s="33" t="n">
        <f aca="false">F151-F150</f>
        <v>1.09</v>
      </c>
      <c r="H151" s="33" t="n">
        <v>139</v>
      </c>
      <c r="I151" s="33" t="n">
        <f aca="false">H151-H150</f>
        <v>13</v>
      </c>
    </row>
    <row r="152" customFormat="false" ht="13.8" hidden="false" customHeight="false" outlineLevel="0" collapsed="false">
      <c r="A152" s="32" t="n">
        <v>45808</v>
      </c>
      <c r="B152" s="33" t="n">
        <v>8966</v>
      </c>
      <c r="C152" s="33" t="n">
        <f aca="false">B152-B151</f>
        <v>-6172</v>
      </c>
      <c r="D152" s="33" t="n">
        <v>397.9</v>
      </c>
      <c r="E152" s="33" t="n">
        <f aca="false">D152-D151</f>
        <v>-263</v>
      </c>
      <c r="F152" s="33" t="n">
        <v>6.46</v>
      </c>
      <c r="G152" s="33" t="n">
        <f aca="false">F152-F151</f>
        <v>-4.44</v>
      </c>
      <c r="H152" s="33" t="n">
        <v>87</v>
      </c>
      <c r="I152" s="33" t="n">
        <f aca="false">H152-H151</f>
        <v>-52</v>
      </c>
    </row>
    <row r="153" customFormat="false" ht="13.8" hidden="false" customHeight="false" outlineLevel="0" collapsed="false">
      <c r="A153" s="32" t="n">
        <v>45809</v>
      </c>
      <c r="B153" s="33" t="n">
        <v>19584</v>
      </c>
      <c r="C153" s="33" t="n">
        <f aca="false">B153-B152</f>
        <v>10618</v>
      </c>
      <c r="D153" s="33" t="n">
        <v>855.3</v>
      </c>
      <c r="E153" s="33" t="n">
        <f aca="false">D153-D152</f>
        <v>457.4</v>
      </c>
      <c r="F153" s="33" t="n">
        <v>14.1</v>
      </c>
      <c r="G153" s="33" t="n">
        <f aca="false">F153-F152</f>
        <v>7.64</v>
      </c>
      <c r="H153" s="33" t="n">
        <v>181</v>
      </c>
      <c r="I153" s="33" t="n">
        <f aca="false">H153-H152</f>
        <v>94</v>
      </c>
      <c r="K153" s="34" t="s">
        <v>2</v>
      </c>
      <c r="L153" s="34" t="s">
        <v>179</v>
      </c>
      <c r="M153" s="34" t="s">
        <v>175</v>
      </c>
      <c r="N153" s="34" t="s">
        <v>177</v>
      </c>
    </row>
    <row r="154" customFormat="false" ht="13.8" hidden="false" customHeight="false" outlineLevel="0" collapsed="false">
      <c r="A154" s="32" t="n">
        <v>45810</v>
      </c>
      <c r="B154" s="33" t="n">
        <v>14622</v>
      </c>
      <c r="C154" s="33" t="n">
        <f aca="false">B154-B153</f>
        <v>-4962</v>
      </c>
      <c r="D154" s="33" t="n">
        <v>647.5</v>
      </c>
      <c r="E154" s="33" t="n">
        <f aca="false">D154-D153</f>
        <v>-207.8</v>
      </c>
      <c r="F154" s="33" t="n">
        <v>10.53</v>
      </c>
      <c r="G154" s="33" t="n">
        <f aca="false">F154-F153</f>
        <v>-3.57</v>
      </c>
      <c r="H154" s="33" t="n">
        <v>142</v>
      </c>
      <c r="I154" s="33" t="n">
        <f aca="false">H154-H153</f>
        <v>-39</v>
      </c>
      <c r="J154" s="1" t="s">
        <v>8</v>
      </c>
      <c r="K154" s="1" t="n">
        <f aca="false">AVERAGE($B$153:$B$182)</f>
        <v>15691.7333333333</v>
      </c>
      <c r="L154" s="1" t="n">
        <f aca="false">AVERAGE($D$153:$D$182)</f>
        <v>688.36</v>
      </c>
      <c r="M154" s="1" t="n">
        <f aca="false">AVERAGE($F$153:$F$182)</f>
        <v>11.298</v>
      </c>
      <c r="N154" s="1" t="n">
        <f aca="false">AVERAGE($H$153:$H$182)</f>
        <v>147.166666666667</v>
      </c>
    </row>
    <row r="155" customFormat="false" ht="13.8" hidden="false" customHeight="false" outlineLevel="0" collapsed="false">
      <c r="A155" s="32" t="n">
        <v>45811</v>
      </c>
      <c r="B155" s="33" t="n">
        <v>18795</v>
      </c>
      <c r="C155" s="33" t="n">
        <f aca="false">B155-B154</f>
        <v>4173</v>
      </c>
      <c r="D155" s="33" t="n">
        <v>818.4</v>
      </c>
      <c r="E155" s="33" t="n">
        <f aca="false">D155-D154</f>
        <v>170.9</v>
      </c>
      <c r="F155" s="33" t="n">
        <v>13.53</v>
      </c>
      <c r="G155" s="33" t="n">
        <f aca="false">F155-F154</f>
        <v>3</v>
      </c>
      <c r="H155" s="33" t="n">
        <v>172</v>
      </c>
      <c r="I155" s="33" t="n">
        <f aca="false">H155-H154</f>
        <v>30</v>
      </c>
      <c r="J155" s="1" t="s">
        <v>10</v>
      </c>
      <c r="K155" s="1" t="n">
        <f aca="false">SQRT(VAR($B$153:$B$182)/COUNT($B$153:$B$182))</f>
        <v>1018.75997075251</v>
      </c>
      <c r="L155" s="1" t="n">
        <f aca="false">SQRT(VAR($D$153:$D$182)/COUNT($D$153:$D$182))</f>
        <v>44.7626413404093</v>
      </c>
      <c r="M155" s="1" t="n">
        <f aca="false">SQRT(VAR($F$153:$F$182)/COUNT($F$153:$F$182))</f>
        <v>0.733465463540647</v>
      </c>
      <c r="N155" s="1" t="n">
        <f aca="false">SQRT(VAR($H$153:$H$182)/COUNT($H$153:$H$182))</f>
        <v>9.77389007524973</v>
      </c>
    </row>
    <row r="156" customFormat="false" ht="13.8" hidden="false" customHeight="false" outlineLevel="0" collapsed="false">
      <c r="A156" s="32" t="n">
        <v>45812</v>
      </c>
      <c r="B156" s="33" t="n">
        <v>11112</v>
      </c>
      <c r="C156" s="33" t="n">
        <f aca="false">B156-B155</f>
        <v>-7683</v>
      </c>
      <c r="D156" s="33" t="n">
        <v>491.5</v>
      </c>
      <c r="E156" s="33" t="n">
        <f aca="false">D156-D155</f>
        <v>-326.9</v>
      </c>
      <c r="F156" s="33" t="n">
        <v>8</v>
      </c>
      <c r="G156" s="33" t="n">
        <f aca="false">F156-F155</f>
        <v>-5.53</v>
      </c>
      <c r="H156" s="33" t="n">
        <v>107</v>
      </c>
      <c r="I156" s="33" t="n">
        <f aca="false">H156-H155</f>
        <v>-65</v>
      </c>
      <c r="J156" s="1" t="s">
        <v>14</v>
      </c>
      <c r="K156" s="1" t="e">
        <f aca="false">MODE($B$153:$B$182)</f>
        <v>#VALUE!</v>
      </c>
      <c r="L156" s="1" t="e">
        <f aca="false">MODE($D$153:$D$182)</f>
        <v>#VALUE!</v>
      </c>
      <c r="M156" s="1" t="n">
        <f aca="false">MODE($F$153:$F$182)</f>
        <v>10.71</v>
      </c>
      <c r="N156" s="1" t="n">
        <f aca="false">MODE($H$153:$H$182)</f>
        <v>107</v>
      </c>
    </row>
    <row r="157" customFormat="false" ht="13.8" hidden="false" customHeight="false" outlineLevel="0" collapsed="false">
      <c r="A157" s="32" t="n">
        <v>45813</v>
      </c>
      <c r="B157" s="33" t="n">
        <v>15438</v>
      </c>
      <c r="C157" s="33" t="n">
        <f aca="false">B157-B156</f>
        <v>4326</v>
      </c>
      <c r="D157" s="33" t="n">
        <v>675.3</v>
      </c>
      <c r="E157" s="33" t="n">
        <f aca="false">D157-D156</f>
        <v>183.8</v>
      </c>
      <c r="F157" s="33" t="n">
        <v>11.12</v>
      </c>
      <c r="G157" s="33" t="n">
        <f aca="false">F157-F156</f>
        <v>3.12</v>
      </c>
      <c r="H157" s="33" t="n">
        <v>144</v>
      </c>
      <c r="I157" s="33" t="n">
        <f aca="false">H157-H156</f>
        <v>37</v>
      </c>
      <c r="J157" s="1" t="s">
        <v>12</v>
      </c>
      <c r="K157" s="1" t="n">
        <f aca="false">MEDIAN($B$153:$B$182)</f>
        <v>14876</v>
      </c>
      <c r="L157" s="1" t="n">
        <f aca="false">MEDIAN($D$153:$D$182)</f>
        <v>653.65</v>
      </c>
      <c r="M157" s="1" t="n">
        <f aca="false">MEDIAN($F$153:$F$182)</f>
        <v>10.71</v>
      </c>
      <c r="N157" s="1" t="n">
        <f aca="false">MEDIAN($H$153:$H$182)</f>
        <v>140</v>
      </c>
    </row>
    <row r="158" customFormat="false" ht="13.8" hidden="false" customHeight="false" outlineLevel="0" collapsed="false">
      <c r="A158" s="32" t="n">
        <v>45814</v>
      </c>
      <c r="B158" s="33" t="n">
        <v>14993</v>
      </c>
      <c r="C158" s="33" t="n">
        <f aca="false">B158-B157</f>
        <v>-445</v>
      </c>
      <c r="D158" s="33" t="n">
        <v>653.1</v>
      </c>
      <c r="E158" s="33" t="n">
        <f aca="false">D158-D157</f>
        <v>-22.1999999999999</v>
      </c>
      <c r="F158" s="33" t="n">
        <v>10.79</v>
      </c>
      <c r="G158" s="33" t="n">
        <f aca="false">F158-F157</f>
        <v>-0.33</v>
      </c>
      <c r="H158" s="33" t="n">
        <v>137</v>
      </c>
      <c r="I158" s="33" t="n">
        <f aca="false">H158-H157</f>
        <v>-7</v>
      </c>
      <c r="J158" s="1" t="s">
        <v>195</v>
      </c>
      <c r="K158" s="1" t="n">
        <f aca="false">QUARTILE($B$153:$B$182, 1)</f>
        <v>12267</v>
      </c>
      <c r="L158" s="1" t="n">
        <f aca="false">QUARTILE($D$153:$D$182, 1)</f>
        <v>546.85</v>
      </c>
      <c r="M158" s="1" t="n">
        <f aca="false">QUARTILE($F$153:$F$182, 1)</f>
        <v>8.8325</v>
      </c>
      <c r="N158" s="1" t="n">
        <f aca="false">QUARTILE($H$153:$H$182, 1)</f>
        <v>117.25</v>
      </c>
    </row>
    <row r="159" customFormat="false" ht="13.8" hidden="false" customHeight="false" outlineLevel="0" collapsed="false">
      <c r="A159" s="32" t="n">
        <v>45815</v>
      </c>
      <c r="B159" s="33" t="n">
        <v>16502</v>
      </c>
      <c r="C159" s="33" t="n">
        <f aca="false">B159-B158</f>
        <v>1509</v>
      </c>
      <c r="D159" s="33" t="n">
        <v>722</v>
      </c>
      <c r="E159" s="33" t="n">
        <f aca="false">D159-D158</f>
        <v>68.9</v>
      </c>
      <c r="F159" s="33" t="n">
        <v>11.88</v>
      </c>
      <c r="G159" s="33" t="n">
        <f aca="false">F159-F158</f>
        <v>1.09</v>
      </c>
      <c r="H159" s="33" t="n">
        <v>154</v>
      </c>
      <c r="I159" s="33" t="n">
        <f aca="false">H159-H158</f>
        <v>17</v>
      </c>
      <c r="J159" s="1" t="s">
        <v>181</v>
      </c>
      <c r="K159" s="1" t="n">
        <f aca="false">QUARTILE($B$153:$B$182, 3)</f>
        <v>18292.25</v>
      </c>
      <c r="L159" s="1" t="n">
        <f aca="false">QUARTILE($D$153:$D$182, 3)</f>
        <v>797.95</v>
      </c>
      <c r="M159" s="1" t="n">
        <f aca="false">QUARTILE($F$153:$F$182, 3)</f>
        <v>13.1725</v>
      </c>
      <c r="N159" s="1" t="n">
        <f aca="false">QUARTILE($H$153:$H$182, 3)</f>
        <v>169</v>
      </c>
    </row>
    <row r="160" customFormat="false" ht="13.8" hidden="false" customHeight="false" outlineLevel="0" collapsed="false">
      <c r="A160" s="32" t="n">
        <v>45816</v>
      </c>
      <c r="B160" s="33" t="n">
        <v>10076</v>
      </c>
      <c r="C160" s="33" t="n">
        <f aca="false">B160-B159</f>
        <v>-6426</v>
      </c>
      <c r="D160" s="33" t="n">
        <v>448.4</v>
      </c>
      <c r="E160" s="33" t="n">
        <f aca="false">D160-D159</f>
        <v>-273.6</v>
      </c>
      <c r="F160" s="33" t="n">
        <v>7.25</v>
      </c>
      <c r="G160" s="33" t="n">
        <f aca="false">F160-F159</f>
        <v>-4.63</v>
      </c>
      <c r="H160" s="33" t="n">
        <v>98</v>
      </c>
      <c r="I160" s="33" t="n">
        <f aca="false">H160-H159</f>
        <v>-56</v>
      </c>
      <c r="J160" s="1" t="s">
        <v>182</v>
      </c>
      <c r="K160" s="1" t="n">
        <f aca="false">VAR($B$153:$B$182)</f>
        <v>31136156.3402299</v>
      </c>
      <c r="L160" s="1" t="n">
        <f aca="false">VAR($D$153:$D$182)</f>
        <v>60110.8217931035</v>
      </c>
      <c r="M160" s="1" t="n">
        <f aca="false">VAR($F$153:$F$182)</f>
        <v>16.1391475862069</v>
      </c>
      <c r="N160" s="1" t="n">
        <f aca="false">VAR($H$153:$H$182)</f>
        <v>2865.86781609195</v>
      </c>
    </row>
    <row r="161" customFormat="false" ht="13.8" hidden="false" customHeight="false" outlineLevel="0" collapsed="false">
      <c r="A161" s="32" t="n">
        <v>45817</v>
      </c>
      <c r="B161" s="33" t="n">
        <v>13220</v>
      </c>
      <c r="C161" s="33" t="n">
        <f aca="false">B161-B160</f>
        <v>3144</v>
      </c>
      <c r="D161" s="33" t="n">
        <v>575.9</v>
      </c>
      <c r="E161" s="33" t="n">
        <f aca="false">D161-D160</f>
        <v>127.5</v>
      </c>
      <c r="F161" s="33" t="n">
        <v>9.52</v>
      </c>
      <c r="G161" s="33" t="n">
        <f aca="false">F161-F160</f>
        <v>2.27</v>
      </c>
      <c r="H161" s="33" t="n">
        <v>121</v>
      </c>
      <c r="I161" s="33" t="n">
        <f aca="false">H161-H160</f>
        <v>23</v>
      </c>
      <c r="J161" s="1" t="s">
        <v>16</v>
      </c>
      <c r="K161" s="1" t="n">
        <f aca="false">STDEV($B$153:$B$182)</f>
        <v>5579.97816664455</v>
      </c>
      <c r="L161" s="1" t="n">
        <f aca="false">STDEV($D$153:$D$182)</f>
        <v>245.175083956554</v>
      </c>
      <c r="M161" s="1" t="n">
        <f aca="false">STDEV($F$153:$F$182)</f>
        <v>4.01735579532196</v>
      </c>
      <c r="N161" s="1" t="n">
        <f aca="false">STDEV($H$153:$H$182)</f>
        <v>53.5338006879014</v>
      </c>
    </row>
    <row r="162" customFormat="false" ht="13.8" hidden="false" customHeight="false" outlineLevel="0" collapsed="false">
      <c r="A162" s="32" t="n">
        <v>45818</v>
      </c>
      <c r="B162" s="33" t="n">
        <v>11844</v>
      </c>
      <c r="C162" s="33" t="n">
        <f aca="false">B162-B161</f>
        <v>-1376</v>
      </c>
      <c r="D162" s="33" t="n">
        <v>515.5</v>
      </c>
      <c r="E162" s="33" t="n">
        <f aca="false">D162-D161</f>
        <v>-60.4</v>
      </c>
      <c r="F162" s="33" t="n">
        <v>8.53</v>
      </c>
      <c r="G162" s="33" t="n">
        <f aca="false">F162-F161</f>
        <v>-0.99</v>
      </c>
      <c r="H162" s="33" t="n">
        <v>107</v>
      </c>
      <c r="I162" s="33" t="n">
        <f aca="false">H162-H161</f>
        <v>-14</v>
      </c>
      <c r="J162" s="1" t="s">
        <v>20</v>
      </c>
      <c r="K162" s="1" t="n">
        <f aca="false">KURT($B$153:$B$182)</f>
        <v>12.1937848574272</v>
      </c>
      <c r="L162" s="1" t="n">
        <f aca="false">KURT($D$153:$D$182)</f>
        <v>12.7185599681646</v>
      </c>
      <c r="M162" s="1" t="n">
        <f aca="false">KURT($F$153:$F$182)</f>
        <v>12.1951643647734</v>
      </c>
      <c r="N162" s="1" t="n">
        <f aca="false">KURT($H$153:$H$182)</f>
        <v>13.9809335212707</v>
      </c>
    </row>
    <row r="163" customFormat="false" ht="13.8" hidden="false" customHeight="false" outlineLevel="0" collapsed="false">
      <c r="A163" s="32" t="n">
        <v>45819</v>
      </c>
      <c r="B163" s="33" t="n">
        <v>14149</v>
      </c>
      <c r="C163" s="33" t="n">
        <f aca="false">B163-B162</f>
        <v>2305</v>
      </c>
      <c r="D163" s="33" t="n">
        <v>619.2</v>
      </c>
      <c r="E163" s="33" t="n">
        <f aca="false">D163-D162</f>
        <v>103.7</v>
      </c>
      <c r="F163" s="33" t="n">
        <v>10.19</v>
      </c>
      <c r="G163" s="33" t="n">
        <f aca="false">F163-F162</f>
        <v>1.66</v>
      </c>
      <c r="H163" s="33" t="n">
        <v>131</v>
      </c>
      <c r="I163" s="33" t="n">
        <f aca="false">H163-H162</f>
        <v>24</v>
      </c>
      <c r="J163" s="1" t="s">
        <v>22</v>
      </c>
      <c r="K163" s="1" t="n">
        <f aca="false">SKEW($B$153:$B$182)</f>
        <v>2.91841244386429</v>
      </c>
      <c r="L163" s="1" t="n">
        <f aca="false">SKEW($D$153:$D$182)</f>
        <v>3.00436433448333</v>
      </c>
      <c r="M163" s="1" t="n">
        <f aca="false">SKEW($F$153:$F$182)</f>
        <v>2.91852704793949</v>
      </c>
      <c r="N163" s="1" t="n">
        <f aca="false">SKEW($H$153:$H$182)</f>
        <v>3.20854001890556</v>
      </c>
    </row>
    <row r="164" customFormat="false" ht="13.8" hidden="false" customHeight="false" outlineLevel="0" collapsed="false">
      <c r="A164" s="32" t="n">
        <v>45820</v>
      </c>
      <c r="B164" s="33" t="n">
        <v>20710</v>
      </c>
      <c r="C164" s="33" t="n">
        <f aca="false">B164-B163</f>
        <v>6561</v>
      </c>
      <c r="D164" s="33" t="n">
        <v>909.9</v>
      </c>
      <c r="E164" s="33" t="n">
        <f aca="false">D164-D163</f>
        <v>290.7</v>
      </c>
      <c r="F164" s="33" t="n">
        <v>14.91</v>
      </c>
      <c r="G164" s="33" t="n">
        <f aca="false">F164-F163</f>
        <v>4.72</v>
      </c>
      <c r="H164" s="33" t="n">
        <v>196</v>
      </c>
      <c r="I164" s="33" t="n">
        <f aca="false">H164-H163</f>
        <v>65</v>
      </c>
      <c r="J164" s="1" t="s">
        <v>24</v>
      </c>
      <c r="K164" s="1" t="n">
        <f aca="false">MAX($B$153:$B$182)-MIN($B$153:$B$182)</f>
        <v>31018</v>
      </c>
      <c r="L164" s="1" t="n">
        <f aca="false">MAX($D$153:$D$182)-MIN($D$153:$D$182)</f>
        <v>1369.5</v>
      </c>
      <c r="M164" s="1" t="n">
        <f aca="false">MAX($F$153:$F$182)-MIN($F$153:$F$182)</f>
        <v>22.33</v>
      </c>
      <c r="N164" s="1" t="n">
        <f aca="false">MAX($H$153:$H$182)-MIN($H$153:$H$182)</f>
        <v>301</v>
      </c>
    </row>
    <row r="165" customFormat="false" ht="13.8" hidden="false" customHeight="false" outlineLevel="0" collapsed="false">
      <c r="A165" s="32" t="n">
        <v>45821</v>
      </c>
      <c r="B165" s="33" t="n">
        <v>13284</v>
      </c>
      <c r="C165" s="33" t="n">
        <f aca="false">B165-B164</f>
        <v>-7426</v>
      </c>
      <c r="D165" s="33" t="n">
        <v>580.3</v>
      </c>
      <c r="E165" s="33" t="n">
        <f aca="false">D165-D164</f>
        <v>-329.6</v>
      </c>
      <c r="F165" s="33" t="n">
        <v>9.56</v>
      </c>
      <c r="G165" s="33" t="n">
        <f aca="false">F165-F164</f>
        <v>-5.35</v>
      </c>
      <c r="H165" s="33" t="n">
        <v>123</v>
      </c>
      <c r="I165" s="33" t="n">
        <f aca="false">H165-H164</f>
        <v>-73</v>
      </c>
      <c r="J165" s="1" t="s">
        <v>26</v>
      </c>
      <c r="K165" s="1" t="n">
        <f aca="false">MIN($B$153:$B$182)</f>
        <v>8969</v>
      </c>
      <c r="L165" s="1" t="n">
        <f aca="false">MIN($D$153:$D$182)</f>
        <v>395.7</v>
      </c>
      <c r="M165" s="1" t="n">
        <f aca="false">MIN($F$153:$F$182)</f>
        <v>6.46</v>
      </c>
      <c r="N165" s="1" t="n">
        <f aca="false">MIN($H$153:$H$182)</f>
        <v>86</v>
      </c>
    </row>
    <row r="166" customFormat="false" ht="13.8" hidden="false" customHeight="false" outlineLevel="0" collapsed="false">
      <c r="A166" s="32" t="n">
        <v>45822</v>
      </c>
      <c r="B166" s="33" t="n">
        <v>14873</v>
      </c>
      <c r="C166" s="33" t="n">
        <f aca="false">B166-B165</f>
        <v>1589</v>
      </c>
      <c r="D166" s="33" t="n">
        <v>668.2</v>
      </c>
      <c r="E166" s="33" t="n">
        <f aca="false">D166-D165</f>
        <v>87.9000000000001</v>
      </c>
      <c r="F166" s="33" t="n">
        <v>10.71</v>
      </c>
      <c r="G166" s="33" t="n">
        <f aca="false">F166-F165</f>
        <v>1.15</v>
      </c>
      <c r="H166" s="33" t="n">
        <v>151</v>
      </c>
      <c r="I166" s="33" t="n">
        <f aca="false">H166-H165</f>
        <v>28</v>
      </c>
      <c r="J166" s="1" t="s">
        <v>28</v>
      </c>
      <c r="K166" s="1" t="n">
        <f aca="false">MAX($B$153:$B$182)</f>
        <v>39987</v>
      </c>
      <c r="L166" s="1" t="n">
        <f aca="false">MAX($D$153:$D$182)</f>
        <v>1765.2</v>
      </c>
      <c r="M166" s="1" t="n">
        <f aca="false">MAX($F$153:$F$182)</f>
        <v>28.79</v>
      </c>
      <c r="N166" s="1" t="n">
        <f aca="false">MAX($H$153:$H$182)</f>
        <v>387</v>
      </c>
    </row>
    <row r="167" customFormat="false" ht="13.8" hidden="false" customHeight="false" outlineLevel="0" collapsed="false">
      <c r="A167" s="32" t="n">
        <v>45823</v>
      </c>
      <c r="B167" s="33" t="n">
        <v>39987</v>
      </c>
      <c r="C167" s="33" t="n">
        <f aca="false">B167-B166</f>
        <v>25114</v>
      </c>
      <c r="D167" s="33" t="n">
        <v>1765.2</v>
      </c>
      <c r="E167" s="33" t="n">
        <f aca="false">D167-D166</f>
        <v>1097</v>
      </c>
      <c r="F167" s="33" t="n">
        <v>28.79</v>
      </c>
      <c r="G167" s="33" t="n">
        <f aca="false">F167-F166</f>
        <v>18.08</v>
      </c>
      <c r="H167" s="33" t="n">
        <v>387</v>
      </c>
      <c r="I167" s="33" t="n">
        <f aca="false">H167-H166</f>
        <v>236</v>
      </c>
      <c r="J167" s="1" t="s">
        <v>30</v>
      </c>
      <c r="K167" s="1" t="n">
        <f aca="false">SUM($B$153:$B$182)</f>
        <v>470752</v>
      </c>
      <c r="L167" s="1" t="n">
        <f aca="false">SUM($D$153:$D$182)</f>
        <v>20650.8</v>
      </c>
      <c r="M167" s="1" t="n">
        <f aca="false">SUM($F$153:$F$182)</f>
        <v>338.94</v>
      </c>
      <c r="N167" s="1" t="n">
        <f aca="false">SUM($H$153:$H$182)</f>
        <v>4415</v>
      </c>
    </row>
    <row r="168" customFormat="false" ht="13.8" hidden="false" customHeight="false" outlineLevel="0" collapsed="false">
      <c r="A168" s="32" t="n">
        <v>45824</v>
      </c>
      <c r="B168" s="33" t="n">
        <v>18053</v>
      </c>
      <c r="C168" s="33" t="n">
        <f aca="false">B168-B167</f>
        <v>-21934</v>
      </c>
      <c r="D168" s="33" t="n">
        <v>786.7</v>
      </c>
      <c r="E168" s="33" t="n">
        <f aca="false">D168-D167</f>
        <v>-978.5</v>
      </c>
      <c r="F168" s="33" t="n">
        <v>13</v>
      </c>
      <c r="G168" s="33" t="n">
        <f aca="false">F168-F167</f>
        <v>-15.79</v>
      </c>
      <c r="H168" s="33" t="n">
        <v>166</v>
      </c>
      <c r="I168" s="33" t="n">
        <f aca="false">H168-H167</f>
        <v>-221</v>
      </c>
      <c r="J168" s="1" t="s">
        <v>32</v>
      </c>
      <c r="K168" s="1" t="n">
        <f aca="false">COUNT($B$153:$B$182)</f>
        <v>30</v>
      </c>
      <c r="L168" s="1" t="n">
        <f aca="false">COUNT($D$153:$D$182)</f>
        <v>30</v>
      </c>
      <c r="M168" s="1" t="n">
        <f aca="false">COUNT($F$153:$F$182)</f>
        <v>30</v>
      </c>
      <c r="N168" s="1" t="n">
        <f aca="false">COUNT($H$153:$H$182)</f>
        <v>30</v>
      </c>
    </row>
    <row r="169" customFormat="false" ht="13.8" hidden="false" customHeight="false" outlineLevel="0" collapsed="false">
      <c r="A169" s="32" t="n">
        <v>45825</v>
      </c>
      <c r="B169" s="33" t="n">
        <v>19559</v>
      </c>
      <c r="C169" s="33" t="n">
        <f aca="false">B169-B168</f>
        <v>1506</v>
      </c>
      <c r="D169" s="33" t="n">
        <v>855.9</v>
      </c>
      <c r="E169" s="33" t="n">
        <f aca="false">D169-D168</f>
        <v>69.1999999999999</v>
      </c>
      <c r="F169" s="33" t="n">
        <v>14.08</v>
      </c>
      <c r="G169" s="33" t="n">
        <f aca="false">F169-F168</f>
        <v>1.08</v>
      </c>
      <c r="H169" s="33" t="n">
        <v>181</v>
      </c>
      <c r="I169" s="33" t="n">
        <f aca="false">H169-H168</f>
        <v>15</v>
      </c>
    </row>
    <row r="170" customFormat="false" ht="13.8" hidden="false" customHeight="false" outlineLevel="0" collapsed="false">
      <c r="A170" s="32" t="n">
        <v>45826</v>
      </c>
      <c r="B170" s="33" t="n">
        <v>14879</v>
      </c>
      <c r="C170" s="33" t="n">
        <f aca="false">B170-B169</f>
        <v>-4680</v>
      </c>
      <c r="D170" s="33" t="n">
        <v>654.2</v>
      </c>
      <c r="E170" s="33" t="n">
        <f aca="false">D170-D169</f>
        <v>-201.7</v>
      </c>
      <c r="F170" s="33" t="n">
        <v>10.71</v>
      </c>
      <c r="G170" s="33" t="n">
        <f aca="false">F170-F169</f>
        <v>-3.37</v>
      </c>
      <c r="H170" s="33" t="n">
        <v>140</v>
      </c>
      <c r="I170" s="33" t="n">
        <f aca="false">H170-H169</f>
        <v>-41</v>
      </c>
    </row>
    <row r="171" customFormat="false" ht="13.8" hidden="false" customHeight="false" outlineLevel="0" collapsed="false">
      <c r="A171" s="32" t="n">
        <v>45827</v>
      </c>
      <c r="B171" s="33" t="n">
        <v>11312</v>
      </c>
      <c r="C171" s="33" t="n">
        <f aca="false">B171-B170</f>
        <v>-3567</v>
      </c>
      <c r="D171" s="33" t="n">
        <v>495.4</v>
      </c>
      <c r="E171" s="33" t="n">
        <f aca="false">D171-D170</f>
        <v>-158.8</v>
      </c>
      <c r="F171" s="33" t="n">
        <v>8.14</v>
      </c>
      <c r="G171" s="33" t="n">
        <f aca="false">F171-F170</f>
        <v>-2.57</v>
      </c>
      <c r="H171" s="33" t="n">
        <v>105</v>
      </c>
      <c r="I171" s="33" t="n">
        <f aca="false">H171-H170</f>
        <v>-35</v>
      </c>
    </row>
    <row r="172" customFormat="false" ht="13.8" hidden="false" customHeight="false" outlineLevel="0" collapsed="false">
      <c r="A172" s="32" t="n">
        <v>45828</v>
      </c>
      <c r="B172" s="33" t="n">
        <v>18600</v>
      </c>
      <c r="C172" s="33" t="n">
        <f aca="false">B172-B171</f>
        <v>7288</v>
      </c>
      <c r="D172" s="33" t="n">
        <v>810.3</v>
      </c>
      <c r="E172" s="33" t="n">
        <f aca="false">D172-D171</f>
        <v>314.9</v>
      </c>
      <c r="F172" s="33" t="n">
        <v>13.39</v>
      </c>
      <c r="G172" s="33" t="n">
        <f aca="false">F172-F171</f>
        <v>5.25</v>
      </c>
      <c r="H172" s="33" t="n">
        <v>171</v>
      </c>
      <c r="I172" s="33" t="n">
        <f aca="false">H172-H171</f>
        <v>66</v>
      </c>
    </row>
    <row r="173" customFormat="false" ht="13.8" hidden="false" customHeight="false" outlineLevel="0" collapsed="false">
      <c r="A173" s="32" t="n">
        <v>45829</v>
      </c>
      <c r="B173" s="33" t="n">
        <v>8969</v>
      </c>
      <c r="C173" s="33" t="n">
        <f aca="false">B173-B172</f>
        <v>-9631</v>
      </c>
      <c r="D173" s="33" t="n">
        <v>395.7</v>
      </c>
      <c r="E173" s="33" t="n">
        <f aca="false">D173-D172</f>
        <v>-414.6</v>
      </c>
      <c r="F173" s="33" t="n">
        <v>6.46</v>
      </c>
      <c r="G173" s="33" t="n">
        <f aca="false">F173-F172</f>
        <v>-6.93</v>
      </c>
      <c r="H173" s="33" t="n">
        <v>86</v>
      </c>
      <c r="I173" s="33" t="n">
        <f aca="false">H173-H172</f>
        <v>-85</v>
      </c>
    </row>
    <row r="174" customFormat="false" ht="13.8" hidden="false" customHeight="false" outlineLevel="0" collapsed="false">
      <c r="A174" s="32" t="n">
        <v>45830</v>
      </c>
      <c r="B174" s="33" t="n">
        <v>16150</v>
      </c>
      <c r="C174" s="33" t="n">
        <f aca="false">B174-B173</f>
        <v>7181</v>
      </c>
      <c r="D174" s="33" t="n">
        <v>699.5</v>
      </c>
      <c r="E174" s="33" t="n">
        <f aca="false">D174-D173</f>
        <v>303.8</v>
      </c>
      <c r="F174" s="33" t="n">
        <v>11.63</v>
      </c>
      <c r="G174" s="33" t="n">
        <f aca="false">F174-F173</f>
        <v>5.17</v>
      </c>
      <c r="H174" s="33" t="n">
        <v>144</v>
      </c>
      <c r="I174" s="33" t="n">
        <f aca="false">H174-H173</f>
        <v>58</v>
      </c>
    </row>
    <row r="175" customFormat="false" ht="13.8" hidden="false" customHeight="false" outlineLevel="0" collapsed="false">
      <c r="A175" s="32" t="n">
        <v>45831</v>
      </c>
      <c r="B175" s="33" t="n">
        <v>12522</v>
      </c>
      <c r="C175" s="33" t="n">
        <f aca="false">B175-B174</f>
        <v>-3628</v>
      </c>
      <c r="D175" s="33" t="n">
        <v>549.1</v>
      </c>
      <c r="E175" s="33" t="n">
        <f aca="false">D175-D174</f>
        <v>-150.4</v>
      </c>
      <c r="F175" s="33" t="n">
        <v>9.02</v>
      </c>
      <c r="G175" s="33" t="n">
        <f aca="false">F175-F174</f>
        <v>-2.61</v>
      </c>
      <c r="H175" s="33" t="n">
        <v>116</v>
      </c>
      <c r="I175" s="33" t="n">
        <f aca="false">H175-H174</f>
        <v>-28</v>
      </c>
    </row>
    <row r="176" customFormat="false" ht="13.8" hidden="false" customHeight="false" outlineLevel="0" collapsed="false">
      <c r="A176" s="32" t="n">
        <v>45832</v>
      </c>
      <c r="B176" s="33" t="n">
        <v>12899</v>
      </c>
      <c r="C176" s="33" t="n">
        <f aca="false">B176-B175</f>
        <v>377</v>
      </c>
      <c r="D176" s="33" t="n">
        <v>566.5</v>
      </c>
      <c r="E176" s="33" t="n">
        <f aca="false">D176-D175</f>
        <v>17.4</v>
      </c>
      <c r="F176" s="33" t="n">
        <v>9.29</v>
      </c>
      <c r="G176" s="33" t="n">
        <f aca="false">F176-F175</f>
        <v>0.27</v>
      </c>
      <c r="H176" s="33" t="n">
        <v>121</v>
      </c>
      <c r="I176" s="33" t="n">
        <f aca="false">H176-H175</f>
        <v>5</v>
      </c>
    </row>
    <row r="177" customFormat="false" ht="13.8" hidden="false" customHeight="false" outlineLevel="0" collapsed="false">
      <c r="A177" s="32" t="n">
        <v>45833</v>
      </c>
      <c r="B177" s="33" t="n">
        <v>11961</v>
      </c>
      <c r="C177" s="33" t="n">
        <f aca="false">B177-B176</f>
        <v>-938</v>
      </c>
      <c r="D177" s="33" t="n">
        <v>522.7</v>
      </c>
      <c r="E177" s="33" t="n">
        <f aca="false">D177-D176</f>
        <v>-43.8</v>
      </c>
      <c r="F177" s="33" t="n">
        <v>8.61</v>
      </c>
      <c r="G177" s="33" t="n">
        <f aca="false">F177-F176</f>
        <v>-0.68</v>
      </c>
      <c r="H177" s="33" t="n">
        <v>111</v>
      </c>
      <c r="I177" s="33" t="n">
        <f aca="false">H177-H176</f>
        <v>-10</v>
      </c>
    </row>
    <row r="178" customFormat="false" ht="13.8" hidden="false" customHeight="false" outlineLevel="0" collapsed="false">
      <c r="A178" s="32" t="n">
        <v>45834</v>
      </c>
      <c r="B178" s="33" t="n">
        <v>18372</v>
      </c>
      <c r="C178" s="33" t="n">
        <f aca="false">B178-B177</f>
        <v>6411</v>
      </c>
      <c r="D178" s="33" t="n">
        <v>801.7</v>
      </c>
      <c r="E178" s="33" t="n">
        <f aca="false">D178-D177</f>
        <v>279</v>
      </c>
      <c r="F178" s="33" t="n">
        <v>13.23</v>
      </c>
      <c r="G178" s="33" t="n">
        <f aca="false">F178-F177</f>
        <v>4.62</v>
      </c>
      <c r="H178" s="33" t="n">
        <v>170</v>
      </c>
      <c r="I178" s="33" t="n">
        <f aca="false">H178-H177</f>
        <v>59</v>
      </c>
    </row>
    <row r="179" customFormat="false" ht="13.8" hidden="false" customHeight="false" outlineLevel="0" collapsed="false">
      <c r="A179" s="32" t="n">
        <v>45835</v>
      </c>
      <c r="B179" s="33" t="n">
        <v>15653</v>
      </c>
      <c r="C179" s="33" t="n">
        <f aca="false">B179-B178</f>
        <v>-2719</v>
      </c>
      <c r="D179" s="33" t="n">
        <v>678.7</v>
      </c>
      <c r="E179" s="33" t="n">
        <f aca="false">D179-D178</f>
        <v>-123</v>
      </c>
      <c r="F179" s="33" t="n">
        <v>11.27</v>
      </c>
      <c r="G179" s="33" t="n">
        <f aca="false">F179-F178</f>
        <v>-1.96</v>
      </c>
      <c r="H179" s="33" t="n">
        <v>140</v>
      </c>
      <c r="I179" s="33" t="n">
        <f aca="false">H179-H178</f>
        <v>-30</v>
      </c>
    </row>
    <row r="180" customFormat="false" ht="13.8" hidden="false" customHeight="false" outlineLevel="0" collapsed="false">
      <c r="A180" s="32" t="n">
        <v>45836</v>
      </c>
      <c r="B180" s="33" t="n">
        <v>19236</v>
      </c>
      <c r="C180" s="33" t="n">
        <f aca="false">B180-B179</f>
        <v>3583</v>
      </c>
      <c r="D180" s="33" t="n">
        <v>841</v>
      </c>
      <c r="E180" s="33" t="n">
        <f aca="false">D180-D179</f>
        <v>162.3</v>
      </c>
      <c r="F180" s="33" t="n">
        <v>13.85</v>
      </c>
      <c r="G180" s="33" t="n">
        <f aca="false">F180-F179</f>
        <v>2.58</v>
      </c>
      <c r="H180" s="33" t="n">
        <v>179</v>
      </c>
      <c r="I180" s="33" t="n">
        <f aca="false">H180-H179</f>
        <v>39</v>
      </c>
    </row>
    <row r="181" customFormat="false" ht="13.8" hidden="false" customHeight="false" outlineLevel="0" collapsed="false">
      <c r="A181" s="32" t="n">
        <v>45837</v>
      </c>
      <c r="B181" s="33" t="n">
        <v>12182</v>
      </c>
      <c r="C181" s="33" t="n">
        <f aca="false">B181-B180</f>
        <v>-7054</v>
      </c>
      <c r="D181" s="33" t="n">
        <v>546.1</v>
      </c>
      <c r="E181" s="33" t="n">
        <f aca="false">D181-D180</f>
        <v>-294.9</v>
      </c>
      <c r="F181" s="33" t="n">
        <v>8.77</v>
      </c>
      <c r="G181" s="33" t="n">
        <f aca="false">F181-F180</f>
        <v>-5.08</v>
      </c>
      <c r="H181" s="33" t="n">
        <v>122</v>
      </c>
      <c r="I181" s="33" t="n">
        <f aca="false">H181-H180</f>
        <v>-57</v>
      </c>
    </row>
    <row r="182" customFormat="false" ht="13.8" hidden="false" customHeight="false" outlineLevel="0" collapsed="false">
      <c r="A182" s="32" t="n">
        <v>45838</v>
      </c>
      <c r="B182" s="33" t="n">
        <v>11216</v>
      </c>
      <c r="C182" s="33" t="n">
        <f aca="false">B182-B181</f>
        <v>-966</v>
      </c>
      <c r="D182" s="33" t="n">
        <v>501.6</v>
      </c>
      <c r="E182" s="33" t="n">
        <f aca="false">D182-D181</f>
        <v>-44.5</v>
      </c>
      <c r="F182" s="33" t="n">
        <v>8.08</v>
      </c>
      <c r="G182" s="33" t="n">
        <f aca="false">F182-F181</f>
        <v>-0.69</v>
      </c>
      <c r="H182" s="33" t="n">
        <v>112</v>
      </c>
      <c r="I182" s="33" t="n">
        <f aca="false">H182-H181</f>
        <v>-10</v>
      </c>
    </row>
    <row r="183" customFormat="false" ht="13.8" hidden="false" customHeight="false" outlineLevel="0" collapsed="false">
      <c r="A183" s="32" t="n">
        <v>45839</v>
      </c>
      <c r="B183" s="33" t="n">
        <v>14665</v>
      </c>
      <c r="C183" s="33" t="n">
        <f aca="false">B183-B182</f>
        <v>3449</v>
      </c>
      <c r="D183" s="33" t="n">
        <v>640.4</v>
      </c>
      <c r="E183" s="33" t="n">
        <f aca="false">D183-D182</f>
        <v>138.8</v>
      </c>
      <c r="F183" s="33" t="n">
        <v>10.56</v>
      </c>
      <c r="G183" s="33" t="n">
        <f aca="false">F183-F182</f>
        <v>2.48</v>
      </c>
      <c r="H183" s="33" t="n">
        <v>136</v>
      </c>
      <c r="I183" s="33" t="n">
        <f aca="false">H183-H182</f>
        <v>24</v>
      </c>
      <c r="K183" s="34" t="s">
        <v>2</v>
      </c>
      <c r="L183" s="34" t="s">
        <v>179</v>
      </c>
      <c r="M183" s="34" t="s">
        <v>175</v>
      </c>
      <c r="N183" s="34" t="s">
        <v>177</v>
      </c>
    </row>
    <row r="184" customFormat="false" ht="13.8" hidden="false" customHeight="false" outlineLevel="0" collapsed="false">
      <c r="A184" s="32" t="n">
        <v>45840</v>
      </c>
      <c r="B184" s="33" t="n">
        <v>12384</v>
      </c>
      <c r="C184" s="33" t="n">
        <f aca="false">B184-B183</f>
        <v>-2281</v>
      </c>
      <c r="D184" s="33" t="n">
        <v>541.1</v>
      </c>
      <c r="E184" s="33" t="n">
        <f aca="false">D184-D183</f>
        <v>-99.3</v>
      </c>
      <c r="F184" s="33" t="n">
        <v>8.92</v>
      </c>
      <c r="G184" s="33" t="n">
        <f aca="false">F184-F183</f>
        <v>-1.64</v>
      </c>
      <c r="H184" s="33" t="n">
        <v>115</v>
      </c>
      <c r="I184" s="33" t="n">
        <f aca="false">H184-H183</f>
        <v>-21</v>
      </c>
      <c r="J184" s="1" t="s">
        <v>8</v>
      </c>
      <c r="K184" s="1" t="n">
        <f aca="false">AVERAGE($B$183:$B$213)</f>
        <v>17022.2258064516</v>
      </c>
      <c r="L184" s="1" t="n">
        <f aca="false">AVERAGE($D$183:$D$213)</f>
        <v>749.6</v>
      </c>
      <c r="M184" s="1" t="n">
        <f aca="false">AVERAGE($F$183:$F$213)</f>
        <v>12.2564516129032</v>
      </c>
      <c r="N184" s="1" t="n">
        <f aca="false">AVERAGE($H$183:$H$213)</f>
        <v>162.677419354839</v>
      </c>
    </row>
    <row r="185" customFormat="false" ht="13.8" hidden="false" customHeight="false" outlineLevel="0" collapsed="false">
      <c r="A185" s="32" t="n">
        <v>45841</v>
      </c>
      <c r="B185" s="33" t="n">
        <v>11409</v>
      </c>
      <c r="C185" s="33" t="n">
        <f aca="false">B185-B184</f>
        <v>-975</v>
      </c>
      <c r="D185" s="33" t="n">
        <v>497.8</v>
      </c>
      <c r="E185" s="33" t="n">
        <f aca="false">D185-D184</f>
        <v>-43.3</v>
      </c>
      <c r="F185" s="33" t="n">
        <v>8.21</v>
      </c>
      <c r="G185" s="33" t="n">
        <f aca="false">F185-F184</f>
        <v>-0.709999999999999</v>
      </c>
      <c r="H185" s="33" t="n">
        <v>105</v>
      </c>
      <c r="I185" s="33" t="n">
        <f aca="false">H185-H184</f>
        <v>-10</v>
      </c>
      <c r="J185" s="1" t="s">
        <v>10</v>
      </c>
      <c r="K185" s="1" t="n">
        <f aca="false">SQRT(VAR($B$183:$B$213)/COUNT($B$183:$B$213))</f>
        <v>1311.36507528071</v>
      </c>
      <c r="L185" s="1" t="n">
        <f aca="false">SQRT(VAR($D$183:$D$213)/COUNT($D$183:$D$213))</f>
        <v>58.4326438813763</v>
      </c>
      <c r="M185" s="1" t="n">
        <f aca="false">SQRT(VAR($F$183:$F$213)/COUNT($F$183:$F$213))</f>
        <v>0.94410081797012</v>
      </c>
      <c r="N185" s="1" t="n">
        <f aca="false">SQRT(VAR($H$183:$H$213)/COUNT($H$183:$H$213))</f>
        <v>12.9374331516032</v>
      </c>
    </row>
    <row r="186" customFormat="false" ht="13.8" hidden="false" customHeight="false" outlineLevel="0" collapsed="false">
      <c r="A186" s="32" t="n">
        <v>45842</v>
      </c>
      <c r="B186" s="33" t="n">
        <v>11217</v>
      </c>
      <c r="C186" s="33" t="n">
        <f aca="false">B186-B185</f>
        <v>-192</v>
      </c>
      <c r="D186" s="33" t="n">
        <v>497.7</v>
      </c>
      <c r="E186" s="33" t="n">
        <f aca="false">D186-D185</f>
        <v>-0.100000000000023</v>
      </c>
      <c r="F186" s="33" t="n">
        <v>8.08</v>
      </c>
      <c r="G186" s="33" t="n">
        <f aca="false">F186-F185</f>
        <v>-0.130000000000001</v>
      </c>
      <c r="H186" s="33" t="n">
        <v>110</v>
      </c>
      <c r="I186" s="33" t="n">
        <f aca="false">H186-H185</f>
        <v>5</v>
      </c>
      <c r="J186" s="1" t="s">
        <v>14</v>
      </c>
      <c r="K186" s="1" t="e">
        <f aca="false">MODE($B$183:$B$213)</f>
        <v>#VALUE!</v>
      </c>
      <c r="L186" s="1" t="e">
        <f aca="false">MODE($D$183:$D$213)</f>
        <v>#VALUE!</v>
      </c>
      <c r="M186" s="1" t="n">
        <f aca="false">MODE($F$183:$F$213)</f>
        <v>8.08</v>
      </c>
      <c r="N186" s="1" t="n">
        <f aca="false">MODE($H$183:$H$213)</f>
        <v>135</v>
      </c>
    </row>
    <row r="187" customFormat="false" ht="13.8" hidden="false" customHeight="false" outlineLevel="0" collapsed="false">
      <c r="A187" s="32" t="n">
        <v>45843</v>
      </c>
      <c r="B187" s="33" t="n">
        <v>8775</v>
      </c>
      <c r="C187" s="33" t="n">
        <f aca="false">B187-B186</f>
        <v>-2442</v>
      </c>
      <c r="D187" s="33" t="n">
        <v>394.2</v>
      </c>
      <c r="E187" s="33" t="n">
        <f aca="false">D187-D186</f>
        <v>-103.5</v>
      </c>
      <c r="F187" s="33" t="n">
        <v>6.32</v>
      </c>
      <c r="G187" s="33" t="n">
        <f aca="false">F187-F186</f>
        <v>-1.76</v>
      </c>
      <c r="H187" s="33" t="n">
        <v>89</v>
      </c>
      <c r="I187" s="33" t="n">
        <f aca="false">H187-H186</f>
        <v>-21</v>
      </c>
      <c r="J187" s="1" t="s">
        <v>12</v>
      </c>
      <c r="K187" s="1" t="n">
        <f aca="false">MEDIAN($B$183:$B$213)</f>
        <v>14778</v>
      </c>
      <c r="L187" s="1" t="n">
        <f aca="false">MEDIAN($D$183:$D$213)</f>
        <v>652.3</v>
      </c>
      <c r="M187" s="1" t="n">
        <f aca="false">MEDIAN($F$183:$F$213)</f>
        <v>10.64</v>
      </c>
      <c r="N187" s="1" t="n">
        <f aca="false">MEDIAN($H$183:$H$213)</f>
        <v>142</v>
      </c>
    </row>
    <row r="188" customFormat="false" ht="13.8" hidden="false" customHeight="false" outlineLevel="0" collapsed="false">
      <c r="A188" s="32" t="n">
        <v>45844</v>
      </c>
      <c r="B188" s="33" t="n">
        <v>26189</v>
      </c>
      <c r="C188" s="33" t="n">
        <f aca="false">B188-B187</f>
        <v>17414</v>
      </c>
      <c r="D188" s="33" t="n">
        <v>1151.7</v>
      </c>
      <c r="E188" s="33" t="n">
        <f aca="false">D188-D187</f>
        <v>757.5</v>
      </c>
      <c r="F188" s="33" t="n">
        <v>18.86</v>
      </c>
      <c r="G188" s="33" t="n">
        <f aca="false">F188-F187</f>
        <v>12.54</v>
      </c>
      <c r="H188" s="33" t="n">
        <v>249</v>
      </c>
      <c r="I188" s="33" t="n">
        <f aca="false">H188-H187</f>
        <v>160</v>
      </c>
      <c r="J188" s="1" t="s">
        <v>195</v>
      </c>
      <c r="K188" s="1" t="n">
        <f aca="false">QUARTILE($B$183:$B$213, 1)</f>
        <v>12038.5</v>
      </c>
      <c r="L188" s="1" t="n">
        <f aca="false">QUARTILE($D$183:$D$213, 1)</f>
        <v>529.6</v>
      </c>
      <c r="M188" s="1" t="n">
        <f aca="false">QUARTILE($F$183:$F$213, 1)</f>
        <v>8.67</v>
      </c>
      <c r="N188" s="1" t="n">
        <f aca="false">QUARTILE($H$183:$H$213, 1)</f>
        <v>113.5</v>
      </c>
    </row>
    <row r="189" customFormat="false" ht="13.8" hidden="false" customHeight="false" outlineLevel="0" collapsed="false">
      <c r="A189" s="32" t="n">
        <v>45845</v>
      </c>
      <c r="B189" s="33" t="n">
        <v>14778</v>
      </c>
      <c r="C189" s="33" t="n">
        <f aca="false">B189-B188</f>
        <v>-11411</v>
      </c>
      <c r="D189" s="33" t="n">
        <v>652.3</v>
      </c>
      <c r="E189" s="33" t="n">
        <f aca="false">D189-D188</f>
        <v>-499.4</v>
      </c>
      <c r="F189" s="33" t="n">
        <v>10.64</v>
      </c>
      <c r="G189" s="33" t="n">
        <f aca="false">F189-F188</f>
        <v>-8.22</v>
      </c>
      <c r="H189" s="33" t="n">
        <v>142</v>
      </c>
      <c r="I189" s="33" t="n">
        <f aca="false">H189-H188</f>
        <v>-107</v>
      </c>
      <c r="J189" s="1" t="s">
        <v>181</v>
      </c>
      <c r="K189" s="1" t="n">
        <f aca="false">QUARTILE($B$183:$B$213, 3)</f>
        <v>18812.5</v>
      </c>
      <c r="L189" s="1" t="n">
        <f aca="false">QUARTILE($D$183:$D$213, 3)</f>
        <v>828.5</v>
      </c>
      <c r="M189" s="1" t="n">
        <f aca="false">QUARTILE($F$183:$F$213, 3)</f>
        <v>13.545</v>
      </c>
      <c r="N189" s="1" t="n">
        <f aca="false">QUARTILE($H$183:$H$213, 3)</f>
        <v>178.5</v>
      </c>
    </row>
    <row r="190" customFormat="false" ht="13.8" hidden="false" customHeight="false" outlineLevel="0" collapsed="false">
      <c r="A190" s="32" t="n">
        <v>45846</v>
      </c>
      <c r="B190" s="33" t="n">
        <v>14223</v>
      </c>
      <c r="C190" s="33" t="n">
        <f aca="false">B190-B189</f>
        <v>-555</v>
      </c>
      <c r="D190" s="33" t="n">
        <v>629</v>
      </c>
      <c r="E190" s="33" t="n">
        <f aca="false">D190-D189</f>
        <v>-23.3</v>
      </c>
      <c r="F190" s="33" t="n">
        <v>10.24</v>
      </c>
      <c r="G190" s="33" t="n">
        <f aca="false">F190-F189</f>
        <v>-0.4</v>
      </c>
      <c r="H190" s="33" t="n">
        <v>138</v>
      </c>
      <c r="I190" s="33" t="n">
        <f aca="false">H190-H189</f>
        <v>-4</v>
      </c>
      <c r="J190" s="1" t="s">
        <v>182</v>
      </c>
      <c r="K190" s="1" t="n">
        <f aca="false">VAR($B$183:$B$213)</f>
        <v>53310029.1806451</v>
      </c>
      <c r="L190" s="1" t="n">
        <f aca="false">VAR($D$183:$D$213)</f>
        <v>105845.59</v>
      </c>
      <c r="M190" s="1" t="n">
        <f aca="false">VAR($F$183:$F$213)</f>
        <v>27.6311169892473</v>
      </c>
      <c r="N190" s="1" t="n">
        <f aca="false">VAR($H$183:$H$213)</f>
        <v>5188.69247311828</v>
      </c>
    </row>
    <row r="191" customFormat="false" ht="13.8" hidden="false" customHeight="false" outlineLevel="0" collapsed="false">
      <c r="A191" s="32" t="n">
        <v>45847</v>
      </c>
      <c r="B191" s="33" t="n">
        <v>15516</v>
      </c>
      <c r="C191" s="33" t="n">
        <f aca="false">B191-B190</f>
        <v>1293</v>
      </c>
      <c r="D191" s="33" t="n">
        <v>679.4</v>
      </c>
      <c r="E191" s="33" t="n">
        <f aca="false">D191-D190</f>
        <v>50.4</v>
      </c>
      <c r="F191" s="33" t="n">
        <v>11.17</v>
      </c>
      <c r="G191" s="33" t="n">
        <f aca="false">F191-F190</f>
        <v>0.93</v>
      </c>
      <c r="H191" s="33" t="n">
        <v>144</v>
      </c>
      <c r="I191" s="33" t="n">
        <f aca="false">H191-H190</f>
        <v>6</v>
      </c>
      <c r="J191" s="1" t="s">
        <v>16</v>
      </c>
      <c r="K191" s="1" t="n">
        <f aca="false">STDEV($B$183:$B$213)</f>
        <v>7301.37173280783</v>
      </c>
      <c r="L191" s="1" t="n">
        <f aca="false">STDEV($D$183:$D$213)</f>
        <v>325.339192228665</v>
      </c>
      <c r="M191" s="1" t="n">
        <f aca="false">STDEV($F$183:$F$213)</f>
        <v>5.25653088921271</v>
      </c>
      <c r="N191" s="1" t="n">
        <f aca="false">STDEV($H$183:$H$213)</f>
        <v>72.0325792479922</v>
      </c>
    </row>
    <row r="192" customFormat="false" ht="13.8" hidden="false" customHeight="false" outlineLevel="0" collapsed="false">
      <c r="A192" s="32" t="n">
        <v>45848</v>
      </c>
      <c r="B192" s="33" t="n">
        <v>24228</v>
      </c>
      <c r="C192" s="33" t="n">
        <f aca="false">B192-B191</f>
        <v>8712</v>
      </c>
      <c r="D192" s="33" t="n">
        <v>1055.4</v>
      </c>
      <c r="E192" s="33" t="n">
        <f aca="false">D192-D191</f>
        <v>376</v>
      </c>
      <c r="F192" s="33" t="n">
        <v>17.44</v>
      </c>
      <c r="G192" s="33" t="n">
        <f aca="false">F192-F191</f>
        <v>6.27</v>
      </c>
      <c r="H192" s="33" t="n">
        <v>221</v>
      </c>
      <c r="I192" s="33" t="n">
        <f aca="false">H192-H191</f>
        <v>77</v>
      </c>
      <c r="J192" s="1" t="s">
        <v>20</v>
      </c>
      <c r="K192" s="1" t="n">
        <f aca="false">KURT($B$183:$B$213)</f>
        <v>3.88470809571595</v>
      </c>
      <c r="L192" s="1" t="n">
        <f aca="false">KURT($D$183:$D$213)</f>
        <v>4.13985893207445</v>
      </c>
      <c r="M192" s="1" t="n">
        <f aca="false">KURT($F$183:$F$213)</f>
        <v>3.88360392218067</v>
      </c>
      <c r="N192" s="1" t="n">
        <f aca="false">KURT($H$183:$H$213)</f>
        <v>4.55772331025169</v>
      </c>
    </row>
    <row r="193" customFormat="false" ht="13.8" hidden="false" customHeight="false" outlineLevel="0" collapsed="false">
      <c r="A193" s="32" t="n">
        <v>45849</v>
      </c>
      <c r="B193" s="33" t="n">
        <v>18527</v>
      </c>
      <c r="C193" s="33" t="n">
        <f aca="false">B193-B192</f>
        <v>-5701</v>
      </c>
      <c r="D193" s="33" t="n">
        <v>819.7</v>
      </c>
      <c r="E193" s="33" t="n">
        <f aca="false">D193-D192</f>
        <v>-235.7</v>
      </c>
      <c r="F193" s="33" t="n">
        <v>13.34</v>
      </c>
      <c r="G193" s="33" t="n">
        <f aca="false">F193-F192</f>
        <v>-4.1</v>
      </c>
      <c r="H193" s="33" t="n">
        <v>178</v>
      </c>
      <c r="I193" s="33" t="n">
        <f aca="false">H193-H192</f>
        <v>-43</v>
      </c>
      <c r="J193" s="1" t="s">
        <v>22</v>
      </c>
      <c r="K193" s="1" t="n">
        <f aca="false">SKEW($B$183:$B$213)</f>
        <v>1.91202699447203</v>
      </c>
      <c r="L193" s="1" t="n">
        <f aca="false">SKEW($D$183:$D$213)</f>
        <v>1.97254887427747</v>
      </c>
      <c r="M193" s="1" t="n">
        <f aca="false">SKEW($F$183:$F$213)</f>
        <v>1.91176282897867</v>
      </c>
      <c r="N193" s="1" t="n">
        <f aca="false">SKEW($H$183:$H$213)</f>
        <v>2.06165927334044</v>
      </c>
    </row>
    <row r="194" customFormat="false" ht="13.8" hidden="false" customHeight="false" outlineLevel="0" collapsed="false">
      <c r="A194" s="32" t="n">
        <v>45850</v>
      </c>
      <c r="B194" s="33" t="n">
        <v>38713</v>
      </c>
      <c r="C194" s="33" t="n">
        <f aca="false">B194-B193</f>
        <v>20186</v>
      </c>
      <c r="D194" s="33" t="n">
        <v>1723.1</v>
      </c>
      <c r="E194" s="33" t="n">
        <f aca="false">D194-D193</f>
        <v>903.4</v>
      </c>
      <c r="F194" s="33" t="n">
        <v>27.87</v>
      </c>
      <c r="G194" s="33" t="n">
        <f aca="false">F194-F193</f>
        <v>14.53</v>
      </c>
      <c r="H194" s="33" t="n">
        <v>383</v>
      </c>
      <c r="I194" s="33" t="n">
        <f aca="false">H194-H193</f>
        <v>205</v>
      </c>
      <c r="J194" s="1" t="s">
        <v>24</v>
      </c>
      <c r="K194" s="1" t="n">
        <f aca="false">MAX($B$183:$B$213)-MIN($B$183:$B$213)</f>
        <v>30656</v>
      </c>
      <c r="L194" s="1" t="n">
        <f aca="false">MAX($D$183:$D$213)-MIN($D$183:$D$213)</f>
        <v>1366.8</v>
      </c>
      <c r="M194" s="1" t="n">
        <f aca="false">MAX($F$183:$F$213)-MIN($F$183:$F$213)</f>
        <v>22.07</v>
      </c>
      <c r="N194" s="1" t="n">
        <f aca="false">MAX($H$183:$H$213)-MIN($H$183:$H$213)</f>
        <v>300</v>
      </c>
    </row>
    <row r="195" customFormat="false" ht="13.8" hidden="false" customHeight="false" outlineLevel="0" collapsed="false">
      <c r="A195" s="32" t="n">
        <v>45851</v>
      </c>
      <c r="B195" s="33" t="n">
        <v>11693</v>
      </c>
      <c r="C195" s="33" t="n">
        <f aca="false">B195-B194</f>
        <v>-27020</v>
      </c>
      <c r="D195" s="33" t="n">
        <v>518.1</v>
      </c>
      <c r="E195" s="33" t="n">
        <f aca="false">D195-D194</f>
        <v>-1205</v>
      </c>
      <c r="F195" s="33" t="n">
        <v>8.42</v>
      </c>
      <c r="G195" s="33" t="n">
        <f aca="false">F195-F194</f>
        <v>-19.45</v>
      </c>
      <c r="H195" s="33" t="n">
        <v>112</v>
      </c>
      <c r="I195" s="33" t="n">
        <f aca="false">H195-H194</f>
        <v>-271</v>
      </c>
      <c r="J195" s="1" t="s">
        <v>26</v>
      </c>
      <c r="K195" s="1" t="n">
        <f aca="false">MIN($B$183:$B$213)</f>
        <v>8775</v>
      </c>
      <c r="L195" s="1" t="n">
        <f aca="false">MIN($D$183:$D$213)</f>
        <v>394.2</v>
      </c>
      <c r="M195" s="1" t="n">
        <f aca="false">MIN($F$183:$F$213)</f>
        <v>6.32</v>
      </c>
      <c r="N195" s="1" t="n">
        <f aca="false">MIN($H$183:$H$213)</f>
        <v>89</v>
      </c>
    </row>
    <row r="196" customFormat="false" ht="13.8" hidden="false" customHeight="false" outlineLevel="0" collapsed="false">
      <c r="A196" s="32" t="n">
        <v>45852</v>
      </c>
      <c r="B196" s="33" t="n">
        <v>16035</v>
      </c>
      <c r="C196" s="33" t="n">
        <f aca="false">B196-B195</f>
        <v>4342</v>
      </c>
      <c r="D196" s="33" t="n">
        <v>706.4</v>
      </c>
      <c r="E196" s="33" t="n">
        <f aca="false">D196-D195</f>
        <v>188.3</v>
      </c>
      <c r="F196" s="33" t="n">
        <v>11.55</v>
      </c>
      <c r="G196" s="33" t="n">
        <f aca="false">F196-F195</f>
        <v>3.13</v>
      </c>
      <c r="H196" s="33" t="n">
        <v>173</v>
      </c>
      <c r="I196" s="33" t="n">
        <f aca="false">H196-H195</f>
        <v>61</v>
      </c>
      <c r="J196" s="1" t="s">
        <v>28</v>
      </c>
      <c r="K196" s="1" t="n">
        <f aca="false">MAX($B$183:$B$213)</f>
        <v>39431</v>
      </c>
      <c r="L196" s="1" t="n">
        <f aca="false">MAX($D$183:$D$213)</f>
        <v>1761</v>
      </c>
      <c r="M196" s="1" t="n">
        <f aca="false">MAX($F$183:$F$213)</f>
        <v>28.39</v>
      </c>
      <c r="N196" s="1" t="n">
        <f aca="false">MAX($H$183:$H$213)</f>
        <v>389</v>
      </c>
    </row>
    <row r="197" customFormat="false" ht="13.8" hidden="false" customHeight="false" outlineLevel="0" collapsed="false">
      <c r="A197" s="32" t="n">
        <v>45853</v>
      </c>
      <c r="B197" s="33" t="n">
        <v>16361</v>
      </c>
      <c r="C197" s="33" t="n">
        <f aca="false">B197-B196</f>
        <v>326</v>
      </c>
      <c r="D197" s="33" t="n">
        <v>712.7</v>
      </c>
      <c r="E197" s="33" t="n">
        <f aca="false">D197-D196</f>
        <v>6.30000000000007</v>
      </c>
      <c r="F197" s="33" t="n">
        <v>11.78</v>
      </c>
      <c r="G197" s="33" t="n">
        <f aca="false">F197-F196</f>
        <v>0.229999999999999</v>
      </c>
      <c r="H197" s="33" t="n">
        <v>148</v>
      </c>
      <c r="I197" s="33" t="n">
        <f aca="false">H197-H196</f>
        <v>-25</v>
      </c>
      <c r="J197" s="1" t="s">
        <v>30</v>
      </c>
      <c r="K197" s="1" t="n">
        <f aca="false">SUM($B$183:$B$213)</f>
        <v>527689</v>
      </c>
      <c r="L197" s="1" t="n">
        <f aca="false">SUM($D$183:$D$213)</f>
        <v>23237.6</v>
      </c>
      <c r="M197" s="1" t="n">
        <f aca="false">SUM($F$183:$F$213)</f>
        <v>379.95</v>
      </c>
      <c r="N197" s="1" t="n">
        <f aca="false">SUM($H$183:$H$213)</f>
        <v>5043</v>
      </c>
    </row>
    <row r="198" customFormat="false" ht="13.8" hidden="false" customHeight="false" outlineLevel="0" collapsed="false">
      <c r="A198" s="32" t="n">
        <v>45854</v>
      </c>
      <c r="B198" s="33" t="n">
        <v>20237</v>
      </c>
      <c r="C198" s="33" t="n">
        <f aca="false">B198-B197</f>
        <v>3876</v>
      </c>
      <c r="D198" s="33" t="n">
        <v>881</v>
      </c>
      <c r="E198" s="33" t="n">
        <f aca="false">D198-D197</f>
        <v>168.3</v>
      </c>
      <c r="F198" s="33" t="n">
        <v>14.57</v>
      </c>
      <c r="G198" s="33" t="n">
        <f aca="false">F198-F197</f>
        <v>2.79</v>
      </c>
      <c r="H198" s="33" t="n">
        <v>186</v>
      </c>
      <c r="I198" s="33" t="n">
        <f aca="false">H198-H197</f>
        <v>38</v>
      </c>
      <c r="J198" s="1" t="s">
        <v>32</v>
      </c>
      <c r="K198" s="1" t="n">
        <f aca="false">COUNT($B$183:$B$213)</f>
        <v>31</v>
      </c>
      <c r="L198" s="1" t="n">
        <f aca="false">COUNT($D$183:$D$213)</f>
        <v>31</v>
      </c>
      <c r="M198" s="1" t="n">
        <f aca="false">COUNT($F$183:$F$213)</f>
        <v>31</v>
      </c>
      <c r="N198" s="1" t="n">
        <f aca="false">COUNT($H$183:$H$213)</f>
        <v>31</v>
      </c>
    </row>
    <row r="199" customFormat="false" ht="13.8" hidden="false" customHeight="false" outlineLevel="0" collapsed="false">
      <c r="A199" s="32" t="n">
        <v>45855</v>
      </c>
      <c r="B199" s="33" t="n">
        <v>17060</v>
      </c>
      <c r="C199" s="33" t="n">
        <f aca="false">B199-B198</f>
        <v>-3177</v>
      </c>
      <c r="D199" s="33" t="n">
        <v>747.7</v>
      </c>
      <c r="E199" s="33" t="n">
        <f aca="false">D199-D198</f>
        <v>-133.3</v>
      </c>
      <c r="F199" s="33" t="n">
        <v>12.28</v>
      </c>
      <c r="G199" s="33" t="n">
        <f aca="false">F199-F198</f>
        <v>-2.29</v>
      </c>
      <c r="H199" s="33" t="n">
        <v>161</v>
      </c>
      <c r="I199" s="33" t="n">
        <f aca="false">H199-H198</f>
        <v>-25</v>
      </c>
    </row>
    <row r="200" customFormat="false" ht="13.8" hidden="false" customHeight="false" outlineLevel="0" collapsed="false">
      <c r="A200" s="32" t="n">
        <v>45856</v>
      </c>
      <c r="B200" s="33" t="n">
        <v>13672</v>
      </c>
      <c r="C200" s="33" t="n">
        <f aca="false">B200-B199</f>
        <v>-3388</v>
      </c>
      <c r="D200" s="33" t="n">
        <v>608.6</v>
      </c>
      <c r="E200" s="33" t="n">
        <f aca="false">D200-D199</f>
        <v>-139.1</v>
      </c>
      <c r="F200" s="33" t="n">
        <v>9.84</v>
      </c>
      <c r="G200" s="33" t="n">
        <f aca="false">F200-F199</f>
        <v>-2.44</v>
      </c>
      <c r="H200" s="33" t="n">
        <v>135</v>
      </c>
      <c r="I200" s="33" t="n">
        <f aca="false">H200-H199</f>
        <v>-26</v>
      </c>
    </row>
    <row r="201" customFormat="false" ht="13.8" hidden="false" customHeight="false" outlineLevel="0" collapsed="false">
      <c r="A201" s="32" t="n">
        <v>45857</v>
      </c>
      <c r="B201" s="33" t="n">
        <v>25344</v>
      </c>
      <c r="C201" s="33" t="n">
        <f aca="false">B201-B200</f>
        <v>11672</v>
      </c>
      <c r="D201" s="33" t="n">
        <v>1118.9</v>
      </c>
      <c r="E201" s="33" t="n">
        <f aca="false">D201-D200</f>
        <v>510.3</v>
      </c>
      <c r="F201" s="33" t="n">
        <v>18.25</v>
      </c>
      <c r="G201" s="33" t="n">
        <f aca="false">F201-F200</f>
        <v>8.41</v>
      </c>
      <c r="H201" s="33" t="n">
        <v>243</v>
      </c>
      <c r="I201" s="33" t="n">
        <f aca="false">H201-H200</f>
        <v>108</v>
      </c>
    </row>
    <row r="202" customFormat="false" ht="13.8" hidden="false" customHeight="false" outlineLevel="0" collapsed="false">
      <c r="A202" s="32" t="n">
        <v>45858</v>
      </c>
      <c r="B202" s="33" t="n">
        <v>17585</v>
      </c>
      <c r="C202" s="33" t="n">
        <f aca="false">B202-B201</f>
        <v>-7759</v>
      </c>
      <c r="D202" s="33" t="n">
        <v>770.2</v>
      </c>
      <c r="E202" s="33" t="n">
        <f aca="false">D202-D201</f>
        <v>-348.7</v>
      </c>
      <c r="F202" s="33" t="n">
        <v>12.66</v>
      </c>
      <c r="G202" s="33" t="n">
        <f aca="false">F202-F201</f>
        <v>-5.59</v>
      </c>
      <c r="H202" s="33" t="n">
        <v>165</v>
      </c>
      <c r="I202" s="33" t="n">
        <f aca="false">H202-H201</f>
        <v>-78</v>
      </c>
    </row>
    <row r="203" customFormat="false" ht="13.8" hidden="false" customHeight="false" outlineLevel="0" collapsed="false">
      <c r="A203" s="32" t="n">
        <v>45859</v>
      </c>
      <c r="B203" s="33" t="n">
        <v>14315</v>
      </c>
      <c r="C203" s="33" t="n">
        <f aca="false">B203-B202</f>
        <v>-3270</v>
      </c>
      <c r="D203" s="33" t="n">
        <v>633.6</v>
      </c>
      <c r="E203" s="33" t="n">
        <f aca="false">D203-D202</f>
        <v>-136.6</v>
      </c>
      <c r="F203" s="33" t="n">
        <v>10.31</v>
      </c>
      <c r="G203" s="33" t="n">
        <f aca="false">F203-F202</f>
        <v>-2.35</v>
      </c>
      <c r="H203" s="33" t="n">
        <v>139</v>
      </c>
      <c r="I203" s="33" t="n">
        <f aca="false">H203-H202</f>
        <v>-26</v>
      </c>
    </row>
    <row r="204" customFormat="false" ht="13.8" hidden="false" customHeight="false" outlineLevel="0" collapsed="false">
      <c r="A204" s="32" t="n">
        <v>45860</v>
      </c>
      <c r="B204" s="33" t="n">
        <v>11222</v>
      </c>
      <c r="C204" s="33" t="n">
        <f aca="false">B204-B203</f>
        <v>-3093</v>
      </c>
      <c r="D204" s="33" t="n">
        <v>494.6</v>
      </c>
      <c r="E204" s="33" t="n">
        <f aca="false">D204-D203</f>
        <v>-139</v>
      </c>
      <c r="F204" s="33" t="n">
        <v>8.08</v>
      </c>
      <c r="G204" s="33" t="n">
        <f aca="false">F204-F203</f>
        <v>-2.23</v>
      </c>
      <c r="H204" s="33" t="n">
        <v>107</v>
      </c>
      <c r="I204" s="33" t="n">
        <f aca="false">H204-H203</f>
        <v>-32</v>
      </c>
    </row>
    <row r="205" customFormat="false" ht="13.8" hidden="false" customHeight="false" outlineLevel="0" collapsed="false">
      <c r="A205" s="32" t="n">
        <v>45861</v>
      </c>
      <c r="B205" s="33" t="n">
        <v>10732</v>
      </c>
      <c r="C205" s="33" t="n">
        <f aca="false">B205-B204</f>
        <v>-490</v>
      </c>
      <c r="D205" s="33" t="n">
        <v>468</v>
      </c>
      <c r="E205" s="33" t="n">
        <f aca="false">D205-D204</f>
        <v>-26.6</v>
      </c>
      <c r="F205" s="33" t="n">
        <v>7.73</v>
      </c>
      <c r="G205" s="33" t="n">
        <f aca="false">F205-F204</f>
        <v>-0.35</v>
      </c>
      <c r="H205" s="33" t="n">
        <v>99</v>
      </c>
      <c r="I205" s="33" t="n">
        <f aca="false">H205-H204</f>
        <v>-8</v>
      </c>
    </row>
    <row r="206" customFormat="false" ht="13.8" hidden="false" customHeight="false" outlineLevel="0" collapsed="false">
      <c r="A206" s="32" t="n">
        <v>45862</v>
      </c>
      <c r="B206" s="33" t="n">
        <v>9826</v>
      </c>
      <c r="C206" s="33" t="n">
        <f aca="false">B206-B205</f>
        <v>-906</v>
      </c>
      <c r="D206" s="33" t="n">
        <v>432.5</v>
      </c>
      <c r="E206" s="33" t="n">
        <f aca="false">D206-D205</f>
        <v>-35.5</v>
      </c>
      <c r="F206" s="33" t="n">
        <v>7.07</v>
      </c>
      <c r="G206" s="33" t="n">
        <f aca="false">F206-F205</f>
        <v>-0.66</v>
      </c>
      <c r="H206" s="33" t="n">
        <v>94</v>
      </c>
      <c r="I206" s="33" t="n">
        <f aca="false">H206-H205</f>
        <v>-5</v>
      </c>
    </row>
    <row r="207" customFormat="false" ht="13.8" hidden="false" customHeight="false" outlineLevel="0" collapsed="false">
      <c r="A207" s="32" t="n">
        <v>45863</v>
      </c>
      <c r="B207" s="33" t="n">
        <v>11248</v>
      </c>
      <c r="C207" s="33" t="n">
        <f aca="false">B207-B206</f>
        <v>1422</v>
      </c>
      <c r="D207" s="33" t="n">
        <v>493.6</v>
      </c>
      <c r="E207" s="33" t="n">
        <f aca="false">D207-D206</f>
        <v>61.1</v>
      </c>
      <c r="F207" s="33" t="n">
        <v>8.1</v>
      </c>
      <c r="G207" s="33" t="n">
        <f aca="false">F207-F206</f>
        <v>1.03</v>
      </c>
      <c r="H207" s="33" t="n">
        <v>106</v>
      </c>
      <c r="I207" s="33" t="n">
        <f aca="false">H207-H206</f>
        <v>12</v>
      </c>
    </row>
    <row r="208" customFormat="false" ht="13.8" hidden="false" customHeight="false" outlineLevel="0" collapsed="false">
      <c r="A208" s="32" t="n">
        <v>45864</v>
      </c>
      <c r="B208" s="33" t="n">
        <v>14276</v>
      </c>
      <c r="C208" s="33" t="n">
        <f aca="false">B208-B207</f>
        <v>3028</v>
      </c>
      <c r="D208" s="33" t="n">
        <v>625.8</v>
      </c>
      <c r="E208" s="33" t="n">
        <f aca="false">D208-D207</f>
        <v>132.2</v>
      </c>
      <c r="F208" s="33" t="n">
        <v>10.28</v>
      </c>
      <c r="G208" s="33" t="n">
        <f aca="false">F208-F207</f>
        <v>2.18</v>
      </c>
      <c r="H208" s="33" t="n">
        <v>135</v>
      </c>
      <c r="I208" s="33" t="n">
        <f aca="false">H208-H207</f>
        <v>29</v>
      </c>
    </row>
    <row r="209" customFormat="false" ht="13.8" hidden="false" customHeight="false" outlineLevel="0" collapsed="false">
      <c r="A209" s="32" t="n">
        <v>45865</v>
      </c>
      <c r="B209" s="33" t="n">
        <v>39431</v>
      </c>
      <c r="C209" s="33" t="n">
        <f aca="false">B209-B208</f>
        <v>25155</v>
      </c>
      <c r="D209" s="33" t="n">
        <v>1761</v>
      </c>
      <c r="E209" s="33" t="n">
        <f aca="false">D209-D208</f>
        <v>1135.2</v>
      </c>
      <c r="F209" s="33" t="n">
        <v>28.39</v>
      </c>
      <c r="G209" s="33" t="n">
        <f aca="false">F209-F208</f>
        <v>18.11</v>
      </c>
      <c r="H209" s="33" t="n">
        <v>389</v>
      </c>
      <c r="I209" s="33" t="n">
        <f aca="false">H209-H208</f>
        <v>254</v>
      </c>
    </row>
    <row r="210" customFormat="false" ht="13.8" hidden="false" customHeight="false" outlineLevel="0" collapsed="false">
      <c r="A210" s="32" t="n">
        <v>45866</v>
      </c>
      <c r="B210" s="33" t="n">
        <v>19163</v>
      </c>
      <c r="C210" s="33" t="n">
        <f aca="false">B210-B209</f>
        <v>-20268</v>
      </c>
      <c r="D210" s="33" t="n">
        <v>837.3</v>
      </c>
      <c r="E210" s="33" t="n">
        <f aca="false">D210-D209</f>
        <v>-923.7</v>
      </c>
      <c r="F210" s="33" t="n">
        <v>13.8</v>
      </c>
      <c r="G210" s="33" t="n">
        <f aca="false">F210-F209</f>
        <v>-14.59</v>
      </c>
      <c r="H210" s="33" t="n">
        <v>179</v>
      </c>
      <c r="I210" s="33" t="n">
        <f aca="false">H210-H209</f>
        <v>-210</v>
      </c>
    </row>
    <row r="211" customFormat="false" ht="13.8" hidden="false" customHeight="false" outlineLevel="0" collapsed="false">
      <c r="A211" s="32" t="n">
        <v>45867</v>
      </c>
      <c r="B211" s="33" t="n">
        <v>19098</v>
      </c>
      <c r="C211" s="33" t="n">
        <f aca="false">B211-B210</f>
        <v>-65</v>
      </c>
      <c r="D211" s="33" t="n">
        <v>842.7</v>
      </c>
      <c r="E211" s="33" t="n">
        <f aca="false">D211-D210</f>
        <v>5.40000000000009</v>
      </c>
      <c r="F211" s="33" t="n">
        <v>13.75</v>
      </c>
      <c r="G211" s="33" t="n">
        <f aca="false">F211-F210</f>
        <v>-0.0500000000000007</v>
      </c>
      <c r="H211" s="33" t="n">
        <v>183</v>
      </c>
      <c r="I211" s="33" t="n">
        <f aca="false">H211-H210</f>
        <v>4</v>
      </c>
    </row>
    <row r="212" customFormat="false" ht="13.8" hidden="false" customHeight="false" outlineLevel="0" collapsed="false">
      <c r="A212" s="32" t="n">
        <v>45868</v>
      </c>
      <c r="B212" s="33" t="n">
        <v>15522</v>
      </c>
      <c r="C212" s="33" t="n">
        <f aca="false">B212-B211</f>
        <v>-3576</v>
      </c>
      <c r="D212" s="33" t="n">
        <v>679.5</v>
      </c>
      <c r="E212" s="33" t="n">
        <f aca="false">D212-D211</f>
        <v>-163.2</v>
      </c>
      <c r="F212" s="33" t="n">
        <v>11.18</v>
      </c>
      <c r="G212" s="33" t="n">
        <f aca="false">F212-F211</f>
        <v>-2.57</v>
      </c>
      <c r="H212" s="33" t="n">
        <v>146</v>
      </c>
      <c r="I212" s="33" t="n">
        <f aca="false">H212-H211</f>
        <v>-37</v>
      </c>
    </row>
    <row r="213" customFormat="false" ht="13.8" hidden="false" customHeight="false" outlineLevel="0" collapsed="false">
      <c r="A213" s="32" t="n">
        <v>45869</v>
      </c>
      <c r="B213" s="33" t="n">
        <v>14245</v>
      </c>
      <c r="C213" s="33" t="n">
        <f aca="false">B213-B212</f>
        <v>-1277</v>
      </c>
      <c r="D213" s="33" t="n">
        <v>623.6</v>
      </c>
      <c r="E213" s="33" t="n">
        <f aca="false">D213-D212</f>
        <v>-55.9</v>
      </c>
      <c r="F213" s="33" t="n">
        <v>10.26</v>
      </c>
      <c r="G213" s="33" t="n">
        <f aca="false">F213-F212</f>
        <v>-0.92</v>
      </c>
      <c r="H213" s="33" t="n">
        <v>133</v>
      </c>
      <c r="I213" s="33" t="n">
        <f aca="false">H213-H212</f>
        <v>-13</v>
      </c>
    </row>
    <row r="214" customFormat="false" ht="13.8" hidden="false" customHeight="false" outlineLevel="0" collapsed="false">
      <c r="A214" s="32" t="n">
        <v>45870</v>
      </c>
      <c r="B214" s="33" t="n">
        <v>11912</v>
      </c>
      <c r="C214" s="33" t="n">
        <f aca="false">B214-B213</f>
        <v>-2333</v>
      </c>
      <c r="D214" s="33" t="n">
        <v>520.6</v>
      </c>
      <c r="E214" s="33" t="n">
        <f aca="false">D214-D213</f>
        <v>-103</v>
      </c>
      <c r="F214" s="33" t="n">
        <v>8.58</v>
      </c>
      <c r="G214" s="33" t="n">
        <f aca="false">F214-F213</f>
        <v>-1.68</v>
      </c>
      <c r="H214" s="33" t="n">
        <v>111</v>
      </c>
      <c r="I214" s="33" t="n">
        <f aca="false">H214-H213</f>
        <v>-22</v>
      </c>
      <c r="K214" s="34" t="s">
        <v>2</v>
      </c>
      <c r="L214" s="34" t="s">
        <v>179</v>
      </c>
      <c r="M214" s="34" t="s">
        <v>175</v>
      </c>
      <c r="N214" s="34" t="s">
        <v>177</v>
      </c>
    </row>
    <row r="215" customFormat="false" ht="13.8" hidden="false" customHeight="false" outlineLevel="0" collapsed="false">
      <c r="A215" s="32" t="n">
        <v>45871</v>
      </c>
      <c r="B215" s="33" t="n">
        <v>7422</v>
      </c>
      <c r="C215" s="33" t="n">
        <f aca="false">B215-B214</f>
        <v>-4490</v>
      </c>
      <c r="D215" s="33" t="n">
        <v>325.3</v>
      </c>
      <c r="E215" s="33" t="n">
        <f aca="false">D215-D214</f>
        <v>-195.3</v>
      </c>
      <c r="F215" s="33" t="n">
        <v>5.34</v>
      </c>
      <c r="G215" s="33" t="n">
        <f aca="false">F215-F214</f>
        <v>-3.24</v>
      </c>
      <c r="H215" s="33" t="n">
        <v>69</v>
      </c>
      <c r="I215" s="33" t="n">
        <f aca="false">H215-H214</f>
        <v>-42</v>
      </c>
      <c r="J215" s="1" t="s">
        <v>8</v>
      </c>
      <c r="K215" s="1" t="n">
        <f aca="false">AVERAGE($B$214:$B$244)</f>
        <v>17475.9032258065</v>
      </c>
      <c r="L215" s="1" t="n">
        <f aca="false">AVERAGE($D$214:$D$244)</f>
        <v>769.851612903226</v>
      </c>
      <c r="M215" s="1" t="n">
        <f aca="false">AVERAGE($F$214:$F$244)</f>
        <v>12.581935483871</v>
      </c>
      <c r="N215" s="1" t="n">
        <f aca="false">AVERAGE($H$214:$H$244)</f>
        <v>164.741935483871</v>
      </c>
    </row>
    <row r="216" customFormat="false" ht="13.8" hidden="false" customHeight="false" outlineLevel="0" collapsed="false">
      <c r="A216" s="32" t="n">
        <v>45872</v>
      </c>
      <c r="B216" s="33" t="n">
        <v>31769</v>
      </c>
      <c r="C216" s="33" t="n">
        <f aca="false">B216-B215</f>
        <v>24347</v>
      </c>
      <c r="D216" s="33" t="n">
        <v>1427.2</v>
      </c>
      <c r="E216" s="33" t="n">
        <f aca="false">D216-D215</f>
        <v>1101.9</v>
      </c>
      <c r="F216" s="33" t="n">
        <v>22.87</v>
      </c>
      <c r="G216" s="33" t="n">
        <f aca="false">F216-F215</f>
        <v>17.53</v>
      </c>
      <c r="H216" s="33" t="n">
        <v>323</v>
      </c>
      <c r="I216" s="33" t="n">
        <f aca="false">H216-H215</f>
        <v>254</v>
      </c>
      <c r="J216" s="1" t="s">
        <v>10</v>
      </c>
      <c r="K216" s="1" t="n">
        <f aca="false">SQRT(VAR($B$214:$B$244)/COUNT($B$214:$B$244))</f>
        <v>1538.76213505856</v>
      </c>
      <c r="L216" s="1" t="n">
        <f aca="false">SQRT(VAR($D$214:$D$244)/COUNT($D$214:$D$244))</f>
        <v>67.8221307286932</v>
      </c>
      <c r="M216" s="1" t="n">
        <f aca="false">SQRT(VAR($F$214:$F$244)/COUNT($F$214:$F$244))</f>
        <v>1.1080355977507</v>
      </c>
      <c r="N216" s="1" t="n">
        <f aca="false">SQRT(VAR($H$214:$H$244)/COUNT($H$214:$H$244))</f>
        <v>13.5073829068924</v>
      </c>
    </row>
    <row r="217" customFormat="false" ht="13.8" hidden="false" customHeight="false" outlineLevel="0" collapsed="false">
      <c r="A217" s="32" t="n">
        <v>45873</v>
      </c>
      <c r="B217" s="33" t="n">
        <v>13947</v>
      </c>
      <c r="C217" s="33" t="n">
        <f aca="false">B217-B216</f>
        <v>-17822</v>
      </c>
      <c r="D217" s="33" t="n">
        <v>611.5</v>
      </c>
      <c r="E217" s="33" t="n">
        <f aca="false">D217-D216</f>
        <v>-815.7</v>
      </c>
      <c r="F217" s="33" t="n">
        <v>10.04</v>
      </c>
      <c r="G217" s="33" t="n">
        <f aca="false">F217-F216</f>
        <v>-12.83</v>
      </c>
      <c r="H217" s="33" t="n">
        <v>131</v>
      </c>
      <c r="I217" s="33" t="n">
        <f aca="false">H217-H216</f>
        <v>-192</v>
      </c>
      <c r="J217" s="1" t="s">
        <v>14</v>
      </c>
      <c r="K217" s="1" t="e">
        <f aca="false">MODE($B$214:$B$244)</f>
        <v>#VALUE!</v>
      </c>
      <c r="L217" s="1" t="e">
        <f aca="false">MODE($D$214:$D$244)</f>
        <v>#VALUE!</v>
      </c>
      <c r="M217" s="1" t="n">
        <f aca="false">MODE($F$214:$F$244)</f>
        <v>10.04</v>
      </c>
      <c r="N217" s="1" t="n">
        <f aca="false">MODE($H$214:$H$244)</f>
        <v>125</v>
      </c>
    </row>
    <row r="218" customFormat="false" ht="13.8" hidden="false" customHeight="false" outlineLevel="0" collapsed="false">
      <c r="A218" s="32" t="n">
        <v>45874</v>
      </c>
      <c r="B218" s="33" t="n">
        <v>18990</v>
      </c>
      <c r="C218" s="33" t="n">
        <f aca="false">B218-B217</f>
        <v>5043</v>
      </c>
      <c r="D218" s="33" t="n">
        <v>831.7</v>
      </c>
      <c r="E218" s="33" t="n">
        <f aca="false">D218-D217</f>
        <v>220.2</v>
      </c>
      <c r="F218" s="33" t="n">
        <v>13.67</v>
      </c>
      <c r="G218" s="33" t="n">
        <f aca="false">F218-F217</f>
        <v>3.63</v>
      </c>
      <c r="H218" s="33" t="n">
        <v>178</v>
      </c>
      <c r="I218" s="33" t="n">
        <f aca="false">H218-H217</f>
        <v>47</v>
      </c>
      <c r="J218" s="1" t="s">
        <v>12</v>
      </c>
      <c r="K218" s="1" t="n">
        <f aca="false">MEDIAN($B$214:$B$244)</f>
        <v>14853</v>
      </c>
      <c r="L218" s="1" t="n">
        <f aca="false">MEDIAN($D$214:$D$244)</f>
        <v>650.4</v>
      </c>
      <c r="M218" s="1" t="n">
        <f aca="false">MEDIAN($F$214:$F$244)</f>
        <v>10.69</v>
      </c>
      <c r="N218" s="1" t="n">
        <f aca="false">MEDIAN($H$214:$H$244)</f>
        <v>139</v>
      </c>
    </row>
    <row r="219" customFormat="false" ht="13.8" hidden="false" customHeight="false" outlineLevel="0" collapsed="false">
      <c r="A219" s="32" t="n">
        <v>45875</v>
      </c>
      <c r="B219" s="33" t="n">
        <v>14853</v>
      </c>
      <c r="C219" s="33" t="n">
        <f aca="false">B219-B218</f>
        <v>-4137</v>
      </c>
      <c r="D219" s="33" t="n">
        <v>650.4</v>
      </c>
      <c r="E219" s="33" t="n">
        <f aca="false">D219-D218</f>
        <v>-181.3</v>
      </c>
      <c r="F219" s="33" t="n">
        <v>10.69</v>
      </c>
      <c r="G219" s="33" t="n">
        <f aca="false">F219-F218</f>
        <v>-2.98</v>
      </c>
      <c r="H219" s="33" t="n">
        <v>139</v>
      </c>
      <c r="I219" s="33" t="n">
        <f aca="false">H219-H218</f>
        <v>-39</v>
      </c>
      <c r="J219" s="1" t="s">
        <v>195</v>
      </c>
      <c r="K219" s="1" t="n">
        <f aca="false">QUARTILE($B$214:$B$244, 1)</f>
        <v>12531</v>
      </c>
      <c r="L219" s="1" t="n">
        <f aca="false">QUARTILE($D$214:$D$244, 1)</f>
        <v>549.9</v>
      </c>
      <c r="M219" s="1" t="n">
        <f aca="false">QUARTILE($F$214:$F$244, 1)</f>
        <v>9.025</v>
      </c>
      <c r="N219" s="1" t="n">
        <f aca="false">QUARTILE($H$214:$H$244, 1)</f>
        <v>118</v>
      </c>
    </row>
    <row r="220" customFormat="false" ht="13.8" hidden="false" customHeight="false" outlineLevel="0" collapsed="false">
      <c r="A220" s="32" t="n">
        <v>45876</v>
      </c>
      <c r="B220" s="33" t="n">
        <v>13150</v>
      </c>
      <c r="C220" s="33" t="n">
        <f aca="false">B220-B219</f>
        <v>-1703</v>
      </c>
      <c r="D220" s="33" t="n">
        <v>579.2</v>
      </c>
      <c r="E220" s="33" t="n">
        <f aca="false">D220-D219</f>
        <v>-71.1999999999999</v>
      </c>
      <c r="F220" s="33" t="n">
        <v>9.47</v>
      </c>
      <c r="G220" s="33" t="n">
        <f aca="false">F220-F219</f>
        <v>-1.22</v>
      </c>
      <c r="H220" s="33" t="n">
        <v>126</v>
      </c>
      <c r="I220" s="33" t="n">
        <f aca="false">H220-H219</f>
        <v>-13</v>
      </c>
      <c r="J220" s="1" t="s">
        <v>181</v>
      </c>
      <c r="K220" s="1" t="n">
        <f aca="false">QUARTILE($B$214:$B$244, 3)</f>
        <v>20037</v>
      </c>
      <c r="L220" s="1" t="n">
        <f aca="false">QUARTILE($D$214:$D$244, 3)</f>
        <v>880.75</v>
      </c>
      <c r="M220" s="1" t="n">
        <f aca="false">QUARTILE($F$214:$F$244, 3)</f>
        <v>14.425</v>
      </c>
      <c r="N220" s="1" t="n">
        <f aca="false">QUARTILE($H$214:$H$244, 3)</f>
        <v>190.5</v>
      </c>
    </row>
    <row r="221" customFormat="false" ht="13.8" hidden="false" customHeight="false" outlineLevel="0" collapsed="false">
      <c r="A221" s="32" t="n">
        <v>45877</v>
      </c>
      <c r="B221" s="33" t="n">
        <v>14559</v>
      </c>
      <c r="C221" s="33" t="n">
        <f aca="false">B221-B220</f>
        <v>1409</v>
      </c>
      <c r="D221" s="33" t="n">
        <v>638.5</v>
      </c>
      <c r="E221" s="33" t="n">
        <f aca="false">D221-D220</f>
        <v>59.3</v>
      </c>
      <c r="F221" s="33" t="n">
        <v>10.48</v>
      </c>
      <c r="G221" s="33" t="n">
        <f aca="false">F221-F220</f>
        <v>1.01</v>
      </c>
      <c r="H221" s="33" t="n">
        <v>138</v>
      </c>
      <c r="I221" s="33" t="n">
        <f aca="false">H221-H220</f>
        <v>12</v>
      </c>
      <c r="J221" s="1" t="s">
        <v>182</v>
      </c>
      <c r="K221" s="1" t="n">
        <f aca="false">VAR($B$214:$B$244)</f>
        <v>73401456.1569893</v>
      </c>
      <c r="L221" s="1" t="n">
        <f aca="false">VAR($D$214:$D$244)</f>
        <v>142595.083913979</v>
      </c>
      <c r="M221" s="1" t="n">
        <f aca="false">VAR($F$214:$F$244)</f>
        <v>38.0600294623656</v>
      </c>
      <c r="N221" s="1" t="n">
        <f aca="false">VAR($H$214:$H$244)</f>
        <v>5655.9311827957</v>
      </c>
    </row>
    <row r="222" customFormat="false" ht="13.8" hidden="false" customHeight="false" outlineLevel="0" collapsed="false">
      <c r="A222" s="32" t="n">
        <v>45878</v>
      </c>
      <c r="B222" s="33" t="n">
        <v>47526</v>
      </c>
      <c r="C222" s="33" t="n">
        <f aca="false">B222-B221</f>
        <v>32967</v>
      </c>
      <c r="D222" s="33" t="n">
        <v>2068.3</v>
      </c>
      <c r="E222" s="33" t="n">
        <f aca="false">D222-D221</f>
        <v>1429.8</v>
      </c>
      <c r="F222" s="33" t="n">
        <v>34.22</v>
      </c>
      <c r="G222" s="33" t="n">
        <f aca="false">F222-F221</f>
        <v>23.74</v>
      </c>
      <c r="H222" s="33" t="n">
        <v>364</v>
      </c>
      <c r="I222" s="33" t="n">
        <f aca="false">H222-H221</f>
        <v>226</v>
      </c>
      <c r="J222" s="1" t="s">
        <v>16</v>
      </c>
      <c r="K222" s="1" t="n">
        <f aca="false">STDEV($B$214:$B$244)</f>
        <v>8567.46497845128</v>
      </c>
      <c r="L222" s="1" t="n">
        <f aca="false">STDEV($D$214:$D$244)</f>
        <v>377.617642482417</v>
      </c>
      <c r="M222" s="1" t="n">
        <f aca="false">STDEV($F$214:$F$244)</f>
        <v>6.16928111390343</v>
      </c>
      <c r="N222" s="1" t="n">
        <f aca="false">STDEV($H$214:$H$244)</f>
        <v>75.205925184095</v>
      </c>
    </row>
    <row r="223" customFormat="false" ht="13.8" hidden="false" customHeight="false" outlineLevel="0" collapsed="false">
      <c r="A223" s="32" t="n">
        <v>45879</v>
      </c>
      <c r="B223" s="33" t="n">
        <v>21084</v>
      </c>
      <c r="C223" s="33" t="n">
        <f aca="false">B223-B222</f>
        <v>-26442</v>
      </c>
      <c r="D223" s="33" t="n">
        <v>929.8</v>
      </c>
      <c r="E223" s="33" t="n">
        <f aca="false">D223-D222</f>
        <v>-1138.5</v>
      </c>
      <c r="F223" s="33" t="n">
        <v>15.18</v>
      </c>
      <c r="G223" s="33" t="n">
        <f aca="false">F223-F222</f>
        <v>-19.04</v>
      </c>
      <c r="H223" s="33" t="n">
        <v>203</v>
      </c>
      <c r="I223" s="33" t="n">
        <f aca="false">H223-H222</f>
        <v>-161</v>
      </c>
      <c r="J223" s="1" t="s">
        <v>20</v>
      </c>
      <c r="K223" s="1" t="n">
        <f aca="false">KURT($B$214:$B$244)</f>
        <v>3.93811320914452</v>
      </c>
      <c r="L223" s="1" t="n">
        <f aca="false">KURT($D$214:$D$244)</f>
        <v>3.53745460191446</v>
      </c>
      <c r="M223" s="1" t="n">
        <f aca="false">KURT($F$214:$F$244)</f>
        <v>3.93707759891764</v>
      </c>
      <c r="N223" s="1" t="n">
        <f aca="false">KURT($H$214:$H$244)</f>
        <v>0.698604279953412</v>
      </c>
    </row>
    <row r="224" customFormat="false" ht="13.8" hidden="false" customHeight="false" outlineLevel="0" collapsed="false">
      <c r="A224" s="32" t="n">
        <v>45880</v>
      </c>
      <c r="B224" s="33" t="n">
        <v>13942</v>
      </c>
      <c r="C224" s="33" t="n">
        <f aca="false">B224-B223</f>
        <v>-7142</v>
      </c>
      <c r="D224" s="33" t="n">
        <v>617</v>
      </c>
      <c r="E224" s="33" t="n">
        <f aca="false">D224-D223</f>
        <v>-312.8</v>
      </c>
      <c r="F224" s="33" t="n">
        <v>10.04</v>
      </c>
      <c r="G224" s="33" t="n">
        <f aca="false">F224-F223</f>
        <v>-5.14</v>
      </c>
      <c r="H224" s="33" t="n">
        <v>135</v>
      </c>
      <c r="I224" s="33" t="n">
        <f aca="false">H224-H223</f>
        <v>-68</v>
      </c>
      <c r="J224" s="1" t="s">
        <v>22</v>
      </c>
      <c r="K224" s="1" t="n">
        <f aca="false">SKEW($B$214:$B$244)</f>
        <v>1.7425064493162</v>
      </c>
      <c r="L224" s="1" t="n">
        <f aca="false">SKEW($D$214:$D$244)</f>
        <v>1.68392854194782</v>
      </c>
      <c r="M224" s="1" t="n">
        <f aca="false">SKEW($F$214:$F$244)</f>
        <v>1.74208509186324</v>
      </c>
      <c r="N224" s="1" t="n">
        <f aca="false">SKEW($H$214:$H$244)</f>
        <v>1.1495496597286</v>
      </c>
    </row>
    <row r="225" customFormat="false" ht="13.8" hidden="false" customHeight="false" outlineLevel="0" collapsed="false">
      <c r="A225" s="32" t="n">
        <v>45881</v>
      </c>
      <c r="B225" s="33" t="n">
        <v>9822</v>
      </c>
      <c r="C225" s="33" t="n">
        <f aca="false">B225-B224</f>
        <v>-4120</v>
      </c>
      <c r="D225" s="33" t="n">
        <v>434</v>
      </c>
      <c r="E225" s="33" t="n">
        <f aca="false">D225-D224</f>
        <v>-183</v>
      </c>
      <c r="F225" s="33" t="n">
        <v>7.07</v>
      </c>
      <c r="G225" s="33" t="n">
        <f aca="false">F225-F224</f>
        <v>-2.97</v>
      </c>
      <c r="H225" s="33" t="n">
        <v>95</v>
      </c>
      <c r="I225" s="33" t="n">
        <f aca="false">H225-H224</f>
        <v>-40</v>
      </c>
      <c r="J225" s="1" t="s">
        <v>24</v>
      </c>
      <c r="K225" s="1" t="n">
        <f aca="false">MAX($B$214:$B$244)-MIN($B$214:$B$244)</f>
        <v>40343</v>
      </c>
      <c r="L225" s="1" t="n">
        <f aca="false">MAX($D$214:$D$244)-MIN($D$214:$D$244)</f>
        <v>1744.7</v>
      </c>
      <c r="M225" s="1" t="n">
        <f aca="false">MAX($F$214:$F$244)-MIN($F$214:$F$244)</f>
        <v>29.05</v>
      </c>
      <c r="N225" s="1" t="n">
        <f aca="false">MAX($H$214:$H$244)-MIN($H$214:$H$244)</f>
        <v>295</v>
      </c>
    </row>
    <row r="226" customFormat="false" ht="13.8" hidden="false" customHeight="false" outlineLevel="0" collapsed="false">
      <c r="A226" s="32" t="n">
        <v>45882</v>
      </c>
      <c r="B226" s="33" t="n">
        <v>10696</v>
      </c>
      <c r="C226" s="33" t="n">
        <f aca="false">B226-B225</f>
        <v>874</v>
      </c>
      <c r="D226" s="33" t="n">
        <v>469</v>
      </c>
      <c r="E226" s="33" t="n">
        <f aca="false">D226-D225</f>
        <v>35</v>
      </c>
      <c r="F226" s="33" t="n">
        <v>7.7</v>
      </c>
      <c r="G226" s="33" t="n">
        <f aca="false">F226-F225</f>
        <v>0.63</v>
      </c>
      <c r="H226" s="33" t="n">
        <v>101</v>
      </c>
      <c r="I226" s="33" t="n">
        <f aca="false">H226-H225</f>
        <v>6</v>
      </c>
      <c r="J226" s="1" t="s">
        <v>26</v>
      </c>
      <c r="K226" s="1" t="n">
        <f aca="false">MIN($B$214:$B$244)</f>
        <v>7183</v>
      </c>
      <c r="L226" s="1" t="n">
        <f aca="false">MIN($D$214:$D$244)</f>
        <v>323.6</v>
      </c>
      <c r="M226" s="1" t="n">
        <f aca="false">MIN($F$214:$F$244)</f>
        <v>5.17</v>
      </c>
      <c r="N226" s="1" t="n">
        <f aca="false">MIN($H$214:$H$244)</f>
        <v>69</v>
      </c>
    </row>
    <row r="227" customFormat="false" ht="13.8" hidden="false" customHeight="false" outlineLevel="0" collapsed="false">
      <c r="A227" s="32" t="n">
        <v>45883</v>
      </c>
      <c r="B227" s="33" t="n">
        <v>17219</v>
      </c>
      <c r="C227" s="33" t="n">
        <f aca="false">B227-B226</f>
        <v>6523</v>
      </c>
      <c r="D227" s="33" t="n">
        <v>749.7</v>
      </c>
      <c r="E227" s="33" t="n">
        <f aca="false">D227-D226</f>
        <v>280.7</v>
      </c>
      <c r="F227" s="33" t="n">
        <v>12.4</v>
      </c>
      <c r="G227" s="33" t="n">
        <f aca="false">F227-F226</f>
        <v>4.7</v>
      </c>
      <c r="H227" s="33" t="n">
        <v>157</v>
      </c>
      <c r="I227" s="33" t="n">
        <f aca="false">H227-H226</f>
        <v>56</v>
      </c>
      <c r="J227" s="1" t="s">
        <v>28</v>
      </c>
      <c r="K227" s="1" t="n">
        <f aca="false">MAX($B$214:$B$244)</f>
        <v>47526</v>
      </c>
      <c r="L227" s="1" t="n">
        <f aca="false">MAX($D$214:$D$244)</f>
        <v>2068.3</v>
      </c>
      <c r="M227" s="1" t="n">
        <f aca="false">MAX($F$214:$F$244)</f>
        <v>34.22</v>
      </c>
      <c r="N227" s="1" t="n">
        <f aca="false">MAX($H$214:$H$244)</f>
        <v>364</v>
      </c>
    </row>
    <row r="228" customFormat="false" ht="13.8" hidden="false" customHeight="false" outlineLevel="0" collapsed="false">
      <c r="A228" s="32" t="n">
        <v>45884</v>
      </c>
      <c r="B228" s="33" t="n">
        <v>8824</v>
      </c>
      <c r="C228" s="33" t="n">
        <f aca="false">B228-B227</f>
        <v>-8395</v>
      </c>
      <c r="D228" s="33" t="n">
        <v>384</v>
      </c>
      <c r="E228" s="33" t="n">
        <f aca="false">D228-D227</f>
        <v>-365.7</v>
      </c>
      <c r="F228" s="33" t="n">
        <v>6.35</v>
      </c>
      <c r="G228" s="33" t="n">
        <f aca="false">F228-F227</f>
        <v>-6.05</v>
      </c>
      <c r="H228" s="33" t="n">
        <v>81</v>
      </c>
      <c r="I228" s="33" t="n">
        <f aca="false">H228-H227</f>
        <v>-76</v>
      </c>
      <c r="J228" s="1" t="s">
        <v>30</v>
      </c>
      <c r="K228" s="1" t="n">
        <f aca="false">SUM($B$214:$B$244)</f>
        <v>541753</v>
      </c>
      <c r="L228" s="1" t="n">
        <f aca="false">SUM($D$214:$D$244)</f>
        <v>23865.4</v>
      </c>
      <c r="M228" s="1" t="n">
        <f aca="false">SUM($F$214:$F$244)</f>
        <v>390.04</v>
      </c>
      <c r="N228" s="1" t="n">
        <f aca="false">SUM($H$214:$H$244)</f>
        <v>5107</v>
      </c>
    </row>
    <row r="229" customFormat="false" ht="13.8" hidden="false" customHeight="false" outlineLevel="0" collapsed="false">
      <c r="A229" s="32" t="n">
        <v>45885</v>
      </c>
      <c r="B229" s="33" t="n">
        <v>13183</v>
      </c>
      <c r="C229" s="33" t="n">
        <f aca="false">B229-B228</f>
        <v>4359</v>
      </c>
      <c r="D229" s="33" t="n">
        <v>586.6</v>
      </c>
      <c r="E229" s="33" t="n">
        <f aca="false">D229-D228</f>
        <v>202.6</v>
      </c>
      <c r="F229" s="33" t="n">
        <v>9.48</v>
      </c>
      <c r="G229" s="33" t="n">
        <f aca="false">F229-F228</f>
        <v>3.13</v>
      </c>
      <c r="H229" s="33" t="n">
        <v>130</v>
      </c>
      <c r="I229" s="33" t="n">
        <f aca="false">H229-H228</f>
        <v>49</v>
      </c>
      <c r="J229" s="1" t="s">
        <v>32</v>
      </c>
      <c r="K229" s="1" t="n">
        <f aca="false">COUNT($B$214:$B$244)</f>
        <v>31</v>
      </c>
      <c r="L229" s="1" t="n">
        <f aca="false">COUNT($D$214:$D$244)</f>
        <v>31</v>
      </c>
      <c r="M229" s="1" t="n">
        <f aca="false">COUNT($F$214:$F$244)</f>
        <v>31</v>
      </c>
      <c r="N229" s="1" t="n">
        <f aca="false">COUNT($H$214:$H$244)</f>
        <v>31</v>
      </c>
    </row>
    <row r="230" customFormat="false" ht="13.8" hidden="false" customHeight="false" outlineLevel="0" collapsed="false">
      <c r="A230" s="32" t="n">
        <v>45886</v>
      </c>
      <c r="B230" s="33" t="n">
        <v>27035</v>
      </c>
      <c r="C230" s="33" t="n">
        <f aca="false">B230-B229</f>
        <v>13852</v>
      </c>
      <c r="D230" s="33" t="n">
        <v>1211.3</v>
      </c>
      <c r="E230" s="33" t="n">
        <f aca="false">D230-D229</f>
        <v>624.7</v>
      </c>
      <c r="F230" s="33" t="n">
        <v>19.47</v>
      </c>
      <c r="G230" s="33" t="n">
        <f aca="false">F230-F229</f>
        <v>9.99</v>
      </c>
      <c r="H230" s="33" t="n">
        <v>273</v>
      </c>
      <c r="I230" s="33" t="n">
        <f aca="false">H230-H229</f>
        <v>143</v>
      </c>
    </row>
    <row r="231" customFormat="false" ht="13.8" hidden="false" customHeight="false" outlineLevel="0" collapsed="false">
      <c r="A231" s="32" t="n">
        <v>45887</v>
      </c>
      <c r="B231" s="33" t="n">
        <v>13480</v>
      </c>
      <c r="C231" s="33" t="n">
        <f aca="false">B231-B230</f>
        <v>-13555</v>
      </c>
      <c r="D231" s="33" t="n">
        <v>589.2</v>
      </c>
      <c r="E231" s="33" t="n">
        <f aca="false">D231-D230</f>
        <v>-622.1</v>
      </c>
      <c r="F231" s="33" t="n">
        <v>9.71</v>
      </c>
      <c r="G231" s="33" t="n">
        <v>125</v>
      </c>
      <c r="H231" s="33" t="n">
        <v>125</v>
      </c>
      <c r="I231" s="33" t="n">
        <f aca="false">H231-H230</f>
        <v>-148</v>
      </c>
    </row>
    <row r="232" customFormat="false" ht="13.8" hidden="false" customHeight="false" outlineLevel="0" collapsed="false">
      <c r="A232" s="32" t="n">
        <v>45888</v>
      </c>
      <c r="B232" s="33" t="n">
        <v>13311</v>
      </c>
      <c r="C232" s="33" t="n">
        <f aca="false">B232-B231</f>
        <v>-169</v>
      </c>
      <c r="D232" s="33" t="n">
        <v>582.7</v>
      </c>
      <c r="E232" s="33" t="n">
        <f aca="false">D232-D231</f>
        <v>-6.5</v>
      </c>
      <c r="F232" s="33" t="n">
        <v>9.58</v>
      </c>
      <c r="G232" s="33" t="n">
        <f aca="false">F232-F231</f>
        <v>-0.130000000000001</v>
      </c>
      <c r="H232" s="33" t="n">
        <v>125</v>
      </c>
      <c r="I232" s="33" t="n">
        <f aca="false">H232-H231</f>
        <v>0</v>
      </c>
    </row>
    <row r="233" customFormat="false" ht="13.8" hidden="false" customHeight="false" outlineLevel="0" collapsed="false">
      <c r="A233" s="32" t="n">
        <v>45889</v>
      </c>
      <c r="B233" s="33" t="n">
        <v>11891</v>
      </c>
      <c r="C233" s="33" t="n">
        <f aca="false">B233-B232</f>
        <v>-1420</v>
      </c>
      <c r="D233" s="33" t="n">
        <v>517</v>
      </c>
      <c r="E233" s="33" t="n">
        <f aca="false">D233-D232</f>
        <v>-65.7000000000001</v>
      </c>
      <c r="F233" s="33" t="n">
        <v>8.56</v>
      </c>
      <c r="G233" s="33" t="n">
        <f aca="false">F233-F232</f>
        <v>-1.02</v>
      </c>
      <c r="H233" s="33" t="n">
        <v>109</v>
      </c>
      <c r="I233" s="33" t="n">
        <f aca="false">H233-H232</f>
        <v>-16</v>
      </c>
    </row>
    <row r="234" customFormat="false" ht="13.8" hidden="false" customHeight="false" outlineLevel="0" collapsed="false">
      <c r="A234" s="32" t="n">
        <v>45890</v>
      </c>
      <c r="B234" s="33" t="n">
        <v>23946</v>
      </c>
      <c r="C234" s="33" t="n">
        <f aca="false">B234-B233</f>
        <v>12055</v>
      </c>
      <c r="D234" s="33" t="n">
        <v>1046.9</v>
      </c>
      <c r="E234" s="33" t="n">
        <f aca="false">D234-D233</f>
        <v>529.9</v>
      </c>
      <c r="F234" s="33" t="n">
        <v>17.24</v>
      </c>
      <c r="G234" s="33" t="n">
        <f aca="false">F234-F233</f>
        <v>8.68</v>
      </c>
      <c r="H234" s="33" t="n">
        <v>225</v>
      </c>
      <c r="I234" s="33" t="n">
        <f aca="false">H234-H233</f>
        <v>116</v>
      </c>
    </row>
    <row r="235" customFormat="false" ht="13.8" hidden="false" customHeight="false" outlineLevel="0" collapsed="false">
      <c r="A235" s="32" t="n">
        <v>45891</v>
      </c>
      <c r="B235" s="33" t="n">
        <v>10378</v>
      </c>
      <c r="C235" s="33" t="n">
        <f aca="false">B235-B234</f>
        <v>-13568</v>
      </c>
      <c r="D235" s="33" t="n">
        <v>453.2</v>
      </c>
      <c r="E235" s="33" t="n">
        <f aca="false">D235-D234</f>
        <v>-593.7</v>
      </c>
      <c r="F235" s="33" t="n">
        <v>7.47</v>
      </c>
      <c r="G235" s="33" t="n">
        <f aca="false">F235-F234</f>
        <v>-9.77</v>
      </c>
      <c r="H235" s="33" t="n">
        <v>97</v>
      </c>
      <c r="I235" s="33" t="n">
        <f aca="false">H235-H234</f>
        <v>-128</v>
      </c>
    </row>
    <row r="236" customFormat="false" ht="13.8" hidden="false" customHeight="false" outlineLevel="0" collapsed="false">
      <c r="A236" s="32" t="n">
        <v>45892</v>
      </c>
      <c r="B236" s="33" t="n">
        <v>7183</v>
      </c>
      <c r="C236" s="33" t="n">
        <f aca="false">B236-B235</f>
        <v>-3195</v>
      </c>
      <c r="D236" s="33" t="n">
        <v>323.6</v>
      </c>
      <c r="E236" s="33" t="n">
        <f aca="false">D236-D235</f>
        <v>-129.6</v>
      </c>
      <c r="F236" s="33" t="n">
        <v>5.17</v>
      </c>
      <c r="G236" s="33" t="n">
        <f aca="false">F236-F235</f>
        <v>-2.3</v>
      </c>
      <c r="H236" s="33" t="n">
        <v>73</v>
      </c>
      <c r="I236" s="33" t="n">
        <f aca="false">H236-H235</f>
        <v>-24</v>
      </c>
    </row>
    <row r="237" customFormat="false" ht="13.8" hidden="false" customHeight="false" outlineLevel="0" collapsed="false">
      <c r="A237" s="32" t="n">
        <v>45893</v>
      </c>
      <c r="B237" s="33" t="n">
        <v>27514</v>
      </c>
      <c r="C237" s="33" t="n">
        <f aca="false">B237-B236</f>
        <v>20331</v>
      </c>
      <c r="D237" s="33" t="n">
        <v>1229.7</v>
      </c>
      <c r="E237" s="33" t="n">
        <f aca="false">D237-D236</f>
        <v>906.1</v>
      </c>
      <c r="F237" s="33" t="n">
        <v>19.81</v>
      </c>
      <c r="G237" s="33" t="n">
        <f aca="false">F237-F236</f>
        <v>14.64</v>
      </c>
      <c r="H237" s="33" t="n">
        <v>276</v>
      </c>
      <c r="I237" s="33" t="n">
        <f aca="false">H237-H236</f>
        <v>203</v>
      </c>
    </row>
    <row r="238" customFormat="false" ht="13.8" hidden="false" customHeight="false" outlineLevel="0" collapsed="false">
      <c r="A238" s="32" t="n">
        <v>45894</v>
      </c>
      <c r="B238" s="33" t="n">
        <v>16655</v>
      </c>
      <c r="C238" s="33" t="n">
        <f aca="false">B238-B237</f>
        <v>-10859</v>
      </c>
      <c r="D238" s="33" t="n">
        <v>739</v>
      </c>
      <c r="E238" s="33" t="n">
        <f aca="false">D238-D237</f>
        <v>-490.7</v>
      </c>
      <c r="F238" s="33" t="n">
        <v>11.99</v>
      </c>
      <c r="G238" s="33" t="n">
        <f aca="false">F238-F237</f>
        <v>-7.82</v>
      </c>
      <c r="H238" s="33" t="n">
        <v>163</v>
      </c>
      <c r="I238" s="33" t="n">
        <f aca="false">H238-H237</f>
        <v>-113</v>
      </c>
    </row>
    <row r="239" customFormat="false" ht="13.8" hidden="false" customHeight="false" outlineLevel="0" collapsed="false">
      <c r="A239" s="32" t="n">
        <v>45895</v>
      </c>
      <c r="B239" s="33" t="n">
        <v>17716</v>
      </c>
      <c r="C239" s="33" t="n">
        <f aca="false">B239-B238</f>
        <v>1061</v>
      </c>
      <c r="D239" s="33" t="n">
        <v>770.5</v>
      </c>
      <c r="E239" s="33" t="n">
        <f aca="false">D239-D238</f>
        <v>31.5</v>
      </c>
      <c r="F239" s="33" t="n">
        <v>12.76</v>
      </c>
      <c r="G239" s="33" t="n">
        <f aca="false">F239-F238</f>
        <v>0.77</v>
      </c>
      <c r="H239" s="33" t="n">
        <v>161</v>
      </c>
      <c r="I239" s="33" t="n">
        <f aca="false">H239-H238</f>
        <v>-2</v>
      </c>
    </row>
    <row r="240" customFormat="false" ht="13.8" hidden="false" customHeight="false" outlineLevel="0" collapsed="false">
      <c r="A240" s="32" t="n">
        <v>45896</v>
      </c>
      <c r="B240" s="33" t="n">
        <v>17554</v>
      </c>
      <c r="C240" s="33" t="n">
        <f aca="false">B240-B239</f>
        <v>-162</v>
      </c>
      <c r="D240" s="33" t="n">
        <v>764.6</v>
      </c>
      <c r="E240" s="33" t="n">
        <f aca="false">D240-D239</f>
        <v>-5.89999999999998</v>
      </c>
      <c r="F240" s="33" t="n">
        <v>12.64</v>
      </c>
      <c r="G240" s="33" t="n">
        <f aca="false">F240-F239</f>
        <v>-0.119999999999999</v>
      </c>
      <c r="H240" s="33" t="n">
        <v>162</v>
      </c>
      <c r="I240" s="33" t="n">
        <f aca="false">H240-H239</f>
        <v>1</v>
      </c>
    </row>
    <row r="241" customFormat="false" ht="13.8" hidden="false" customHeight="false" outlineLevel="0" collapsed="false">
      <c r="A241" s="32" t="n">
        <v>45897</v>
      </c>
      <c r="B241" s="33" t="n">
        <v>15977</v>
      </c>
      <c r="C241" s="33" t="n">
        <f aca="false">B241-B240</f>
        <v>-1577</v>
      </c>
      <c r="D241" s="33" t="n">
        <v>709.1</v>
      </c>
      <c r="E241" s="33" t="n">
        <f aca="false">D241-D240</f>
        <v>-55.5</v>
      </c>
      <c r="F241" s="33" t="n">
        <v>11.5</v>
      </c>
      <c r="G241" s="33" t="n">
        <f aca="false">F241-F240</f>
        <v>-1.14</v>
      </c>
      <c r="H241" s="33" t="n">
        <v>155</v>
      </c>
      <c r="I241" s="33" t="n">
        <f aca="false">H241-H240</f>
        <v>-7</v>
      </c>
    </row>
    <row r="242" customFormat="false" ht="13.8" hidden="false" customHeight="false" outlineLevel="0" collapsed="false">
      <c r="A242" s="32" t="n">
        <v>45898</v>
      </c>
      <c r="B242" s="33" t="n">
        <v>16204</v>
      </c>
      <c r="C242" s="33" t="n">
        <f aca="false">B242-B241</f>
        <v>227</v>
      </c>
      <c r="D242" s="33" t="n">
        <v>717.2</v>
      </c>
      <c r="E242" s="33" t="n">
        <f aca="false">D242-D241</f>
        <v>8.10000000000002</v>
      </c>
      <c r="F242" s="33" t="n">
        <v>11.67</v>
      </c>
      <c r="G242" s="33" t="n">
        <f aca="false">F242-F241</f>
        <v>0.17</v>
      </c>
      <c r="H242" s="33" t="n">
        <v>158</v>
      </c>
      <c r="I242" s="33" t="n">
        <f aca="false">H242-H241</f>
        <v>3</v>
      </c>
    </row>
    <row r="243" customFormat="false" ht="13.8" hidden="false" customHeight="false" outlineLevel="0" collapsed="false">
      <c r="A243" s="32" t="n">
        <v>45899</v>
      </c>
      <c r="B243" s="33" t="n">
        <v>31975</v>
      </c>
      <c r="C243" s="33" t="n">
        <f aca="false">B243-B242</f>
        <v>15771</v>
      </c>
      <c r="D243" s="33" t="n">
        <v>1402</v>
      </c>
      <c r="E243" s="33" t="n">
        <f aca="false">D243-D242</f>
        <v>684.8</v>
      </c>
      <c r="F243" s="33" t="n">
        <v>23.02</v>
      </c>
      <c r="G243" s="33" t="n">
        <f aca="false">F243-F242</f>
        <v>11.35</v>
      </c>
      <c r="H243" s="33" t="n">
        <v>301</v>
      </c>
      <c r="I243" s="33" t="n">
        <f aca="false">H243-H242</f>
        <v>143</v>
      </c>
    </row>
    <row r="244" customFormat="false" ht="13.8" hidden="false" customHeight="false" outlineLevel="0" collapsed="false">
      <c r="A244" s="32" t="n">
        <v>45900</v>
      </c>
      <c r="B244" s="33" t="n">
        <v>22036</v>
      </c>
      <c r="C244" s="33" t="n">
        <f aca="false">B244-B243</f>
        <v>-9939</v>
      </c>
      <c r="D244" s="33" t="n">
        <v>986.6</v>
      </c>
      <c r="E244" s="33" t="n">
        <f aca="false">D244-D243</f>
        <v>-415.4</v>
      </c>
      <c r="F244" s="33" t="n">
        <v>15.87</v>
      </c>
      <c r="G244" s="33" t="n">
        <f aca="false">F244-F243</f>
        <v>-7.15</v>
      </c>
      <c r="H244" s="33" t="n">
        <v>223</v>
      </c>
      <c r="I244" s="33" t="n">
        <f aca="false">H244-H243</f>
        <v>-78</v>
      </c>
    </row>
    <row r="245" customFormat="false" ht="13.8" hidden="false" customHeight="false" outlineLevel="0" collapsed="false">
      <c r="A245" s="32" t="n">
        <v>45901</v>
      </c>
      <c r="B245" s="33" t="n">
        <v>10006</v>
      </c>
      <c r="C245" s="33" t="n">
        <f aca="false">B245-B244</f>
        <v>-12030</v>
      </c>
      <c r="D245" s="33" t="n">
        <v>435.9</v>
      </c>
      <c r="E245" s="33" t="n">
        <f aca="false">D245-D244</f>
        <v>-550.7</v>
      </c>
      <c r="F245" s="33" t="n">
        <v>7.2</v>
      </c>
      <c r="G245" s="33" t="n">
        <f aca="false">F245-F244</f>
        <v>-8.67</v>
      </c>
      <c r="H245" s="33" t="n">
        <v>91</v>
      </c>
      <c r="I245" s="33" t="n">
        <f aca="false">H245-H244</f>
        <v>-132</v>
      </c>
      <c r="K245" s="34" t="s">
        <v>2</v>
      </c>
      <c r="L245" s="34" t="s">
        <v>179</v>
      </c>
      <c r="M245" s="34" t="s">
        <v>175</v>
      </c>
      <c r="N245" s="34" t="s">
        <v>177</v>
      </c>
    </row>
    <row r="246" customFormat="false" ht="13.8" hidden="false" customHeight="false" outlineLevel="0" collapsed="false">
      <c r="A246" s="32" t="n">
        <v>45902</v>
      </c>
      <c r="B246" s="33" t="n">
        <v>20823</v>
      </c>
      <c r="C246" s="33" t="n">
        <f aca="false">B246-B245</f>
        <v>10817</v>
      </c>
      <c r="D246" s="33" t="n">
        <v>911.2</v>
      </c>
      <c r="E246" s="33" t="n">
        <f aca="false">D246-D245</f>
        <v>475.3</v>
      </c>
      <c r="F246" s="33" t="n">
        <v>14.99</v>
      </c>
      <c r="G246" s="33" t="n">
        <f aca="false">F246-F245</f>
        <v>7.79</v>
      </c>
      <c r="H246" s="33" t="n">
        <v>193</v>
      </c>
      <c r="I246" s="33" t="n">
        <f aca="false">H246-H245</f>
        <v>102</v>
      </c>
      <c r="J246" s="1" t="s">
        <v>8</v>
      </c>
      <c r="K246" s="1" t="n">
        <f aca="false">AVERAGE($B$245:$B$274)</f>
        <v>14728.3333333333</v>
      </c>
      <c r="L246" s="1" t="n">
        <f aca="false">AVERAGE($D$245:$D$274)</f>
        <v>649.893333333333</v>
      </c>
      <c r="M246" s="1" t="n">
        <f aca="false">AVERAGE($F$245:$F$274)</f>
        <v>10.604</v>
      </c>
      <c r="N246" s="1" t="n">
        <f aca="false">AVERAGE($H$245:$H$274)</f>
        <v>141.1</v>
      </c>
    </row>
    <row r="247" customFormat="false" ht="13.8" hidden="false" customHeight="false" outlineLevel="0" collapsed="false">
      <c r="A247" s="32" t="n">
        <v>45903</v>
      </c>
      <c r="B247" s="33" t="n">
        <v>13224</v>
      </c>
      <c r="C247" s="33" t="n">
        <f aca="false">B247-B246</f>
        <v>-7599</v>
      </c>
      <c r="D247" s="33" t="n">
        <v>578.3</v>
      </c>
      <c r="E247" s="33" t="n">
        <f aca="false">D247-D246</f>
        <v>-332.9</v>
      </c>
      <c r="F247" s="33" t="n">
        <v>9.52</v>
      </c>
      <c r="G247" s="33" t="n">
        <f aca="false">F247-F246</f>
        <v>-5.47</v>
      </c>
      <c r="H247" s="33" t="n">
        <v>124</v>
      </c>
      <c r="I247" s="33" t="n">
        <f aca="false">H247-H246</f>
        <v>-69</v>
      </c>
      <c r="J247" s="1" t="s">
        <v>10</v>
      </c>
      <c r="K247" s="1" t="n">
        <f aca="false">SQRT(VAR($B$245:$B$274)/COUNT($B$245:$B$274))</f>
        <v>1074.59751923801</v>
      </c>
      <c r="L247" s="1" t="n">
        <f aca="false">SQRT(VAR($D$245:$D$274)/COUNT($D$245:$D$274))</f>
        <v>48.5990101912671</v>
      </c>
      <c r="M247" s="1" t="n">
        <f aca="false">SQRT(VAR($F$245:$F$274)/COUNT($F$245:$F$274))</f>
        <v>0.773724772117648</v>
      </c>
      <c r="N247" s="1" t="n">
        <f aca="false">SQRT(VAR($H$245:$H$274)/COUNT($H$245:$H$274))</f>
        <v>11.2103554343971</v>
      </c>
    </row>
    <row r="248" customFormat="false" ht="13.8" hidden="false" customHeight="false" outlineLevel="0" collapsed="false">
      <c r="A248" s="32" t="n">
        <v>45904</v>
      </c>
      <c r="B248" s="33" t="n">
        <v>6794</v>
      </c>
      <c r="C248" s="33" t="n">
        <f aca="false">B248-B247</f>
        <v>-6430</v>
      </c>
      <c r="D248" s="33" t="n">
        <v>294.8</v>
      </c>
      <c r="E248" s="33" t="n">
        <f aca="false">D248-D247</f>
        <v>-283.5</v>
      </c>
      <c r="F248" s="33" t="n">
        <v>4.89</v>
      </c>
      <c r="G248" s="33" t="n">
        <f aca="false">F248-F247</f>
        <v>-4.63</v>
      </c>
      <c r="H248" s="33" t="n">
        <v>62</v>
      </c>
      <c r="I248" s="33" t="n">
        <f aca="false">H248-H247</f>
        <v>-62</v>
      </c>
      <c r="J248" s="1" t="s">
        <v>14</v>
      </c>
      <c r="K248" s="1" t="e">
        <f aca="false">MODE($B$245:$B$274)</f>
        <v>#VALUE!</v>
      </c>
      <c r="L248" s="1" t="n">
        <f aca="false">MODE($D$245:$D$274)</f>
        <v>610.4</v>
      </c>
      <c r="M248" s="1" t="e">
        <f aca="false">MODE($F$245:$F$274)</f>
        <v>#VALUE!</v>
      </c>
      <c r="N248" s="1" t="n">
        <f aca="false">MODE($H$245:$H$274)</f>
        <v>124</v>
      </c>
    </row>
    <row r="249" customFormat="false" ht="13.8" hidden="false" customHeight="false" outlineLevel="0" collapsed="false">
      <c r="A249" s="32" t="n">
        <v>45905</v>
      </c>
      <c r="B249" s="33" t="n">
        <v>8058</v>
      </c>
      <c r="C249" s="33" t="n">
        <f aca="false">B249-B248</f>
        <v>1264</v>
      </c>
      <c r="D249" s="33" t="n">
        <v>352.6</v>
      </c>
      <c r="E249" s="33" t="n">
        <f aca="false">D249-D248</f>
        <v>57.8</v>
      </c>
      <c r="F249" s="33" t="n">
        <v>5.8</v>
      </c>
      <c r="G249" s="33" t="n">
        <f aca="false">F249-F248</f>
        <v>0.91</v>
      </c>
      <c r="H249" s="33" t="n">
        <v>75</v>
      </c>
      <c r="I249" s="33" t="n">
        <f aca="false">H249-H248</f>
        <v>13</v>
      </c>
      <c r="J249" s="1" t="s">
        <v>12</v>
      </c>
      <c r="K249" s="1" t="n">
        <f aca="false">MEDIAN($B$245:$B$274)</f>
        <v>14024.5</v>
      </c>
      <c r="L249" s="1" t="n">
        <f aca="false">MEDIAN($D$245:$D$274)</f>
        <v>614.6</v>
      </c>
      <c r="M249" s="1" t="n">
        <f aca="false">MEDIAN($F$245:$F$274)</f>
        <v>10.1</v>
      </c>
      <c r="N249" s="1" t="n">
        <f aca="false">MEDIAN($H$245:$H$274)</f>
        <v>132.5</v>
      </c>
    </row>
    <row r="250" customFormat="false" ht="13.8" hidden="false" customHeight="false" outlineLevel="0" collapsed="false">
      <c r="A250" s="32" t="n">
        <v>45906</v>
      </c>
      <c r="B250" s="33" t="n">
        <v>31088</v>
      </c>
      <c r="C250" s="33" t="n">
        <f aca="false">B250-B249</f>
        <v>23030</v>
      </c>
      <c r="D250" s="33" t="n">
        <v>1408.4</v>
      </c>
      <c r="E250" s="33" t="n">
        <f aca="false">D250-D249</f>
        <v>1055.8</v>
      </c>
      <c r="F250" s="33" t="n">
        <v>22.38</v>
      </c>
      <c r="G250" s="33" t="n">
        <f aca="false">F250-F249</f>
        <v>16.58</v>
      </c>
      <c r="H250" s="33" t="n">
        <v>321</v>
      </c>
      <c r="I250" s="33" t="n">
        <f aca="false">H250-H249</f>
        <v>246</v>
      </c>
      <c r="J250" s="1" t="s">
        <v>195</v>
      </c>
      <c r="K250" s="1" t="n">
        <f aca="false">QUARTILE($B$245:$B$274, 1)</f>
        <v>10826.25</v>
      </c>
      <c r="L250" s="1" t="n">
        <f aca="false">QUARTILE($D$245:$D$274, 1)</f>
        <v>476.55</v>
      </c>
      <c r="M250" s="1" t="n">
        <f aca="false">QUARTILE($F$245:$F$274, 1)</f>
        <v>7.7975</v>
      </c>
      <c r="N250" s="1" t="n">
        <f aca="false">QUARTILE($H$245:$H$274, 1)</f>
        <v>103.5</v>
      </c>
    </row>
    <row r="251" customFormat="false" ht="13.8" hidden="false" customHeight="false" outlineLevel="0" collapsed="false">
      <c r="A251" s="32" t="n">
        <v>45907</v>
      </c>
      <c r="B251" s="33" t="n">
        <v>17005</v>
      </c>
      <c r="C251" s="33" t="n">
        <f aca="false">B251-B250</f>
        <v>-14083</v>
      </c>
      <c r="D251" s="33" t="n">
        <v>758.9</v>
      </c>
      <c r="E251" s="33" t="n">
        <f aca="false">D251-D250</f>
        <v>-649.5</v>
      </c>
      <c r="F251" s="33" t="n">
        <v>12.24</v>
      </c>
      <c r="G251" s="33" t="n">
        <f aca="false">F251-F250</f>
        <v>-10.14</v>
      </c>
      <c r="H251" s="33" t="n">
        <v>169</v>
      </c>
      <c r="I251" s="33" t="n">
        <f aca="false">H251-H250</f>
        <v>-152</v>
      </c>
      <c r="J251" s="1" t="s">
        <v>181</v>
      </c>
      <c r="K251" s="1" t="n">
        <f aca="false">QUARTILE($B$245:$B$274, 3)</f>
        <v>16841.25</v>
      </c>
      <c r="L251" s="1" t="n">
        <f aca="false">QUARTILE($D$245:$D$274, 3)</f>
        <v>748.6</v>
      </c>
      <c r="M251" s="1" t="n">
        <f aca="false">QUARTILE($F$245:$F$274, 3)</f>
        <v>12.1225</v>
      </c>
      <c r="N251" s="1" t="n">
        <f aca="false">QUARTILE($H$245:$H$274, 3)</f>
        <v>163.5</v>
      </c>
    </row>
    <row r="252" customFormat="false" ht="13.8" hidden="false" customHeight="false" outlineLevel="0" collapsed="false">
      <c r="A252" s="32" t="n">
        <v>45908</v>
      </c>
      <c r="B252" s="33" t="n">
        <v>20301</v>
      </c>
      <c r="C252" s="33" t="n">
        <f aca="false">B252-B251</f>
        <v>3296</v>
      </c>
      <c r="D252" s="33" t="n">
        <v>900</v>
      </c>
      <c r="E252" s="33" t="n">
        <f aca="false">D252-D251</f>
        <v>141.1</v>
      </c>
      <c r="F252" s="33" t="n">
        <v>14.62</v>
      </c>
      <c r="G252" s="33" t="n">
        <f aca="false">F252-F251</f>
        <v>2.38</v>
      </c>
      <c r="H252" s="33" t="n">
        <v>197</v>
      </c>
      <c r="I252" s="33" t="n">
        <f aca="false">H252-H251</f>
        <v>28</v>
      </c>
      <c r="J252" s="1" t="s">
        <v>182</v>
      </c>
      <c r="K252" s="1" t="n">
        <f aca="false">VAR($B$245:$B$274)</f>
        <v>34642794.8505747</v>
      </c>
      <c r="L252" s="1" t="n">
        <f aca="false">VAR($D$245:$D$274)</f>
        <v>70855.9137471265</v>
      </c>
      <c r="M252" s="1" t="n">
        <f aca="false">VAR($F$245:$F$274)</f>
        <v>17.9595006896552</v>
      </c>
      <c r="N252" s="1" t="n">
        <f aca="false">VAR($H$245:$H$274)</f>
        <v>3770.16206896552</v>
      </c>
    </row>
    <row r="253" customFormat="false" ht="13.8" hidden="false" customHeight="false" outlineLevel="0" collapsed="false">
      <c r="A253" s="32" t="n">
        <v>45909</v>
      </c>
      <c r="B253" s="33" t="n">
        <v>12454</v>
      </c>
      <c r="C253" s="33" t="n">
        <f aca="false">B253-B252</f>
        <v>-7847</v>
      </c>
      <c r="D253" s="33" t="n">
        <v>550.8</v>
      </c>
      <c r="E253" s="33" t="n">
        <f aca="false">D253-D252</f>
        <v>-349.2</v>
      </c>
      <c r="F253" s="33" t="n">
        <v>8.97</v>
      </c>
      <c r="G253" s="33" t="n">
        <f aca="false">F253-F252</f>
        <v>-5.65</v>
      </c>
      <c r="H253" s="33" t="n">
        <v>120</v>
      </c>
      <c r="I253" s="33" t="n">
        <f aca="false">H253-H252</f>
        <v>-77</v>
      </c>
      <c r="J253" s="1" t="s">
        <v>16</v>
      </c>
      <c r="K253" s="1" t="n">
        <f aca="false">STDEV($B$245:$B$274)</f>
        <v>5885.81301525751</v>
      </c>
      <c r="L253" s="1" t="n">
        <f aca="false">STDEV($D$245:$D$274)</f>
        <v>266.187741541804</v>
      </c>
      <c r="M253" s="1" t="n">
        <f aca="false">STDEV($F$245:$F$274)</f>
        <v>4.2378651098938</v>
      </c>
      <c r="N253" s="1" t="n">
        <f aca="false">STDEV($H$245:$H$274)</f>
        <v>61.4016454906993</v>
      </c>
    </row>
    <row r="254" customFormat="false" ht="13.8" hidden="false" customHeight="false" outlineLevel="0" collapsed="false">
      <c r="A254" s="32" t="n">
        <v>45910</v>
      </c>
      <c r="B254" s="33" t="n">
        <v>10014</v>
      </c>
      <c r="C254" s="33" t="n">
        <f aca="false">B254-B253</f>
        <v>-2440</v>
      </c>
      <c r="D254" s="33" t="n">
        <v>438</v>
      </c>
      <c r="E254" s="33" t="n">
        <f aca="false">D254-D253</f>
        <v>-112.8</v>
      </c>
      <c r="F254" s="33" t="n">
        <v>7.21</v>
      </c>
      <c r="G254" s="33" t="n">
        <f aca="false">F254-F253</f>
        <v>-1.76</v>
      </c>
      <c r="H254" s="33" t="n">
        <v>93</v>
      </c>
      <c r="I254" s="33" t="n">
        <f aca="false">H254-H253</f>
        <v>-27</v>
      </c>
      <c r="J254" s="1" t="s">
        <v>20</v>
      </c>
      <c r="K254" s="1" t="n">
        <f aca="false">KURT($B$245:$B$274)</f>
        <v>1.74652430701286</v>
      </c>
      <c r="L254" s="1" t="n">
        <f aca="false">KURT($D$245:$D$274)</f>
        <v>2.18083514407593</v>
      </c>
      <c r="M254" s="1" t="n">
        <f aca="false">KURT($F$245:$F$274)</f>
        <v>1.74474825024816</v>
      </c>
      <c r="N254" s="1" t="n">
        <f aca="false">KURT($H$245:$H$274)</f>
        <v>2.90810125458242</v>
      </c>
    </row>
    <row r="255" customFormat="false" ht="13.8" hidden="false" customHeight="false" outlineLevel="0" collapsed="false">
      <c r="A255" s="32" t="n">
        <v>45911</v>
      </c>
      <c r="B255" s="33" t="n">
        <v>7383</v>
      </c>
      <c r="C255" s="33" t="n">
        <f aca="false">B255-B254</f>
        <v>-2631</v>
      </c>
      <c r="D255" s="33" t="n">
        <v>329.7</v>
      </c>
      <c r="E255" s="33" t="n">
        <f aca="false">D255-D254</f>
        <v>-108.3</v>
      </c>
      <c r="F255" s="33" t="n">
        <v>5.32</v>
      </c>
      <c r="G255" s="33" t="n">
        <f aca="false">F255-F254</f>
        <v>-1.89</v>
      </c>
      <c r="H255" s="33" t="n">
        <v>72</v>
      </c>
      <c r="I255" s="33" t="n">
        <f aca="false">H255-H254</f>
        <v>-21</v>
      </c>
      <c r="J255" s="1" t="s">
        <v>22</v>
      </c>
      <c r="K255" s="1" t="n">
        <f aca="false">SKEW($B$245:$B$274)</f>
        <v>1.12459374741326</v>
      </c>
      <c r="L255" s="1" t="n">
        <f aca="false">SKEW($D$245:$D$274)</f>
        <v>1.26814731781469</v>
      </c>
      <c r="M255" s="1" t="n">
        <f aca="false">SKEW($F$245:$F$274)</f>
        <v>1.12429421710995</v>
      </c>
      <c r="N255" s="1" t="n">
        <f aca="false">SKEW($H$245:$H$274)</f>
        <v>1.52132248164777</v>
      </c>
    </row>
    <row r="256" customFormat="false" ht="13.8" hidden="false" customHeight="false" outlineLevel="0" collapsed="false">
      <c r="A256" s="32" t="n">
        <v>45912</v>
      </c>
      <c r="B256" s="33" t="n">
        <v>14111</v>
      </c>
      <c r="C256" s="33" t="n">
        <f aca="false">B256-B255</f>
        <v>6728</v>
      </c>
      <c r="D256" s="33" t="n">
        <v>618.8</v>
      </c>
      <c r="E256" s="33" t="n">
        <f aca="false">D256-D255</f>
        <v>289.1</v>
      </c>
      <c r="F256" s="33" t="n">
        <v>10.16</v>
      </c>
      <c r="G256" s="33" t="n">
        <f aca="false">F256-F255</f>
        <v>4.84</v>
      </c>
      <c r="H256" s="33" t="n">
        <v>133</v>
      </c>
      <c r="I256" s="33" t="n">
        <f aca="false">H256-H255</f>
        <v>61</v>
      </c>
      <c r="J256" s="1" t="s">
        <v>24</v>
      </c>
      <c r="K256" s="1" t="n">
        <f aca="false">MAX($B$245:$B$274)-MIN($B$245:$B$274)</f>
        <v>24570</v>
      </c>
      <c r="L256" s="1" t="n">
        <f aca="false">MAX($D$245:$D$274)-MIN($D$245:$D$274)</f>
        <v>1115.8</v>
      </c>
      <c r="M256" s="1" t="n">
        <f aca="false">MAX($F$245:$F$274)-MIN($F$245:$F$274)</f>
        <v>17.69</v>
      </c>
      <c r="N256" s="1" t="n">
        <f aca="false">MAX($H$245:$H$274)-MIN($H$245:$H$274)</f>
        <v>259</v>
      </c>
    </row>
    <row r="257" customFormat="false" ht="13.8" hidden="false" customHeight="false" outlineLevel="0" collapsed="false">
      <c r="A257" s="32" t="n">
        <v>45913</v>
      </c>
      <c r="B257" s="33" t="n">
        <v>13938</v>
      </c>
      <c r="C257" s="33" t="n">
        <f aca="false">B257-B256</f>
        <v>-173</v>
      </c>
      <c r="D257" s="33" t="n">
        <v>610.4</v>
      </c>
      <c r="E257" s="33" t="n">
        <f aca="false">D257-D256</f>
        <v>-8.39999999999998</v>
      </c>
      <c r="F257" s="33" t="n">
        <v>10.04</v>
      </c>
      <c r="G257" s="33" t="n">
        <f aca="false">F257-F256</f>
        <v>-0.120000000000001</v>
      </c>
      <c r="H257" s="33" t="n">
        <v>131</v>
      </c>
      <c r="I257" s="33" t="n">
        <f aca="false">H257-H256</f>
        <v>-2</v>
      </c>
      <c r="J257" s="1" t="s">
        <v>26</v>
      </c>
      <c r="K257" s="1" t="n">
        <f aca="false">MIN($B$245:$B$274)</f>
        <v>6518</v>
      </c>
      <c r="L257" s="1" t="n">
        <f aca="false">MIN($D$245:$D$274)</f>
        <v>292.6</v>
      </c>
      <c r="M257" s="1" t="n">
        <f aca="false">MIN($F$245:$F$274)</f>
        <v>4.69</v>
      </c>
      <c r="N257" s="1" t="n">
        <f aca="false">MIN($H$245:$H$274)</f>
        <v>62</v>
      </c>
    </row>
    <row r="258" customFormat="false" ht="13.8" hidden="false" customHeight="false" outlineLevel="0" collapsed="false">
      <c r="A258" s="32" t="n">
        <v>45914</v>
      </c>
      <c r="B258" s="33" t="n">
        <v>8096</v>
      </c>
      <c r="C258" s="33" t="n">
        <f aca="false">B258-B257</f>
        <v>-5842</v>
      </c>
      <c r="D258" s="33" t="n">
        <v>368.3</v>
      </c>
      <c r="E258" s="33" t="n">
        <f aca="false">D258-D257</f>
        <v>-242.1</v>
      </c>
      <c r="F258" s="33" t="n">
        <v>5.83</v>
      </c>
      <c r="G258" s="33" t="n">
        <f aca="false">F258-F257</f>
        <v>-4.21</v>
      </c>
      <c r="H258" s="33" t="n">
        <v>83</v>
      </c>
      <c r="I258" s="33" t="n">
        <f aca="false">H258-H257</f>
        <v>-48</v>
      </c>
      <c r="J258" s="1" t="s">
        <v>28</v>
      </c>
      <c r="K258" s="1" t="n">
        <f aca="false">MAX($B$245:$B$274)</f>
        <v>31088</v>
      </c>
      <c r="L258" s="1" t="n">
        <f aca="false">MAX($D$245:$D$274)</f>
        <v>1408.4</v>
      </c>
      <c r="M258" s="1" t="n">
        <f aca="false">MAX($F$245:$F$274)</f>
        <v>22.38</v>
      </c>
      <c r="N258" s="1" t="n">
        <f aca="false">MAX($H$245:$H$274)</f>
        <v>321</v>
      </c>
    </row>
    <row r="259" customFormat="false" ht="13.8" hidden="false" customHeight="false" outlineLevel="0" collapsed="false">
      <c r="A259" s="32" t="n">
        <v>45915</v>
      </c>
      <c r="B259" s="33" t="n">
        <v>13140</v>
      </c>
      <c r="C259" s="33" t="n">
        <f aca="false">B259-B258</f>
        <v>5044</v>
      </c>
      <c r="D259" s="33" t="n">
        <v>575.6</v>
      </c>
      <c r="E259" s="33" t="n">
        <f aca="false">D259-D258</f>
        <v>207.3</v>
      </c>
      <c r="F259" s="33" t="n">
        <v>9.46</v>
      </c>
      <c r="G259" s="33" t="n">
        <f aca="false">F259-F258</f>
        <v>3.63</v>
      </c>
      <c r="H259" s="33" t="n">
        <v>123</v>
      </c>
      <c r="I259" s="33" t="n">
        <f aca="false">H259-H258</f>
        <v>40</v>
      </c>
      <c r="J259" s="1" t="s">
        <v>30</v>
      </c>
      <c r="K259" s="1" t="n">
        <f aca="false">SUM($B$245:$B$274)</f>
        <v>441850</v>
      </c>
      <c r="L259" s="1" t="n">
        <f aca="false">SUM($D$245:$D$274)</f>
        <v>19496.8</v>
      </c>
      <c r="M259" s="1" t="n">
        <f aca="false">SUM($F$245:$F$274)</f>
        <v>318.12</v>
      </c>
      <c r="N259" s="1" t="n">
        <f aca="false">SUM($H$245:$H$274)</f>
        <v>4233</v>
      </c>
    </row>
    <row r="260" customFormat="false" ht="13.8" hidden="false" customHeight="false" outlineLevel="0" collapsed="false">
      <c r="A260" s="32" t="n">
        <v>45916</v>
      </c>
      <c r="B260" s="33" t="n">
        <v>15074</v>
      </c>
      <c r="C260" s="33" t="n">
        <f aca="false">B260-B259</f>
        <v>1934</v>
      </c>
      <c r="D260" s="33" t="n">
        <v>658.2</v>
      </c>
      <c r="E260" s="33" t="n">
        <f aca="false">D260-D259</f>
        <v>82.6</v>
      </c>
      <c r="F260" s="33" t="n">
        <v>10.85</v>
      </c>
      <c r="G260" s="33" t="n">
        <f aca="false">F260-F259</f>
        <v>1.39</v>
      </c>
      <c r="H260" s="33" t="n">
        <v>139</v>
      </c>
      <c r="I260" s="33" t="n">
        <f aca="false">H260-H259</f>
        <v>16</v>
      </c>
      <c r="J260" s="1" t="s">
        <v>32</v>
      </c>
      <c r="K260" s="1" t="n">
        <f aca="false">COUNT($B$245:$B$274)</f>
        <v>30</v>
      </c>
      <c r="L260" s="1" t="n">
        <f aca="false">COUNT($D$245:$D$274)</f>
        <v>30</v>
      </c>
      <c r="M260" s="1" t="n">
        <f aca="false">COUNT($F$245:$F$274)</f>
        <v>30</v>
      </c>
      <c r="N260" s="1" t="n">
        <f aca="false">COUNT($H$245:$H$274)</f>
        <v>30</v>
      </c>
    </row>
    <row r="261" customFormat="false" ht="13.8" hidden="false" customHeight="false" outlineLevel="0" collapsed="false">
      <c r="A261" s="32" t="n">
        <v>45917</v>
      </c>
      <c r="B261" s="33" t="n">
        <v>16350</v>
      </c>
      <c r="C261" s="33" t="n">
        <f aca="false">B261-B260</f>
        <v>1276</v>
      </c>
      <c r="D261" s="33" t="n">
        <v>717.7</v>
      </c>
      <c r="E261" s="33" t="n">
        <f aca="false">D261-D260</f>
        <v>59.5</v>
      </c>
      <c r="F261" s="33" t="n">
        <v>11.77</v>
      </c>
      <c r="G261" s="33" t="n">
        <f aca="false">F261-F260</f>
        <v>0.92</v>
      </c>
      <c r="H261" s="33" t="n">
        <v>153</v>
      </c>
      <c r="I261" s="33" t="n">
        <f aca="false">H261-H260</f>
        <v>14</v>
      </c>
    </row>
    <row r="262" customFormat="false" ht="13.8" hidden="false" customHeight="false" outlineLevel="0" collapsed="false">
      <c r="A262" s="32" t="n">
        <v>45918</v>
      </c>
      <c r="B262" s="33" t="n">
        <v>13309</v>
      </c>
      <c r="C262" s="33" t="n">
        <f aca="false">B262-B261</f>
        <v>-3041</v>
      </c>
      <c r="D262" s="33" t="n">
        <v>583.5</v>
      </c>
      <c r="E262" s="33" t="n">
        <f aca="false">D262-D261</f>
        <v>-134.2</v>
      </c>
      <c r="F262" s="33" t="n">
        <v>9.58</v>
      </c>
      <c r="G262" s="33" t="n">
        <f aca="false">F262-F261</f>
        <v>-2.19</v>
      </c>
      <c r="H262" s="33" t="n">
        <v>124</v>
      </c>
      <c r="I262" s="33" t="n">
        <f aca="false">H262-H261</f>
        <v>-29</v>
      </c>
    </row>
    <row r="263" customFormat="false" ht="13.8" hidden="false" customHeight="false" outlineLevel="0" collapsed="false">
      <c r="A263" s="32" t="n">
        <v>45919</v>
      </c>
      <c r="B263" s="33" t="n">
        <v>6518</v>
      </c>
      <c r="C263" s="33" t="n">
        <f aca="false">B263-B262</f>
        <v>-6791</v>
      </c>
      <c r="D263" s="33" t="n">
        <v>292.6</v>
      </c>
      <c r="E263" s="33" t="n">
        <f aca="false">D263-D262</f>
        <v>-290.9</v>
      </c>
      <c r="F263" s="33" t="n">
        <v>4.69</v>
      </c>
      <c r="G263" s="33" t="n">
        <f aca="false">F263-F262</f>
        <v>-4.89</v>
      </c>
      <c r="H263" s="33" t="n">
        <v>66</v>
      </c>
      <c r="I263" s="33" t="n">
        <f aca="false">H263-H262</f>
        <v>-58</v>
      </c>
    </row>
    <row r="264" customFormat="false" ht="13.8" hidden="false" customHeight="false" outlineLevel="0" collapsed="false">
      <c r="A264" s="32" t="n">
        <v>45920</v>
      </c>
      <c r="B264" s="33" t="n">
        <v>10674</v>
      </c>
      <c r="C264" s="33" t="n">
        <f aca="false">B264-B263</f>
        <v>4156</v>
      </c>
      <c r="D264" s="33" t="n">
        <v>470.9</v>
      </c>
      <c r="E264" s="33" t="n">
        <f aca="false">D264-D263</f>
        <v>178.3</v>
      </c>
      <c r="F264" s="33" t="n">
        <v>7.69</v>
      </c>
      <c r="G264" s="33" t="n">
        <f aca="false">F264-F263</f>
        <v>3</v>
      </c>
      <c r="H264" s="33" t="n">
        <v>103</v>
      </c>
      <c r="I264" s="33" t="n">
        <f aca="false">H264-H263</f>
        <v>37</v>
      </c>
    </row>
    <row r="265" customFormat="false" ht="13.8" hidden="false" customHeight="false" outlineLevel="0" collapsed="false">
      <c r="A265" s="32" t="n">
        <v>45921</v>
      </c>
      <c r="B265" s="33" t="n">
        <v>29721</v>
      </c>
      <c r="C265" s="33" t="n">
        <f aca="false">B265-B264</f>
        <v>19047</v>
      </c>
      <c r="D265" s="33" t="n">
        <v>1350.9</v>
      </c>
      <c r="E265" s="33" t="n">
        <f aca="false">D265-D264</f>
        <v>880</v>
      </c>
      <c r="F265" s="33" t="n">
        <v>21.4</v>
      </c>
      <c r="G265" s="33" t="n">
        <f aca="false">F265-F264</f>
        <v>13.71</v>
      </c>
      <c r="H265" s="33" t="n">
        <v>312</v>
      </c>
      <c r="I265" s="33" t="n">
        <f aca="false">H265-H264</f>
        <v>209</v>
      </c>
    </row>
    <row r="266" customFormat="false" ht="13.8" hidden="false" customHeight="false" outlineLevel="0" collapsed="false">
      <c r="A266" s="32" t="n">
        <v>45922</v>
      </c>
      <c r="B266" s="33" t="n">
        <v>13781</v>
      </c>
      <c r="C266" s="33" t="n">
        <f aca="false">B266-B265</f>
        <v>-15940</v>
      </c>
      <c r="D266" s="33" t="n">
        <v>610.4</v>
      </c>
      <c r="E266" s="33" t="n">
        <f aca="false">D266-D265</f>
        <v>-740.5</v>
      </c>
      <c r="F266" s="33" t="n">
        <v>9.92</v>
      </c>
      <c r="G266" s="33" t="n">
        <f aca="false">F266-F265</f>
        <v>-11.48</v>
      </c>
      <c r="H266" s="33" t="n">
        <v>132</v>
      </c>
      <c r="I266" s="33" t="n">
        <f aca="false">H266-H265</f>
        <v>-180</v>
      </c>
    </row>
    <row r="267" customFormat="false" ht="13.8" hidden="false" customHeight="false" outlineLevel="0" collapsed="false">
      <c r="A267" s="32" t="n">
        <v>45923</v>
      </c>
      <c r="B267" s="33" t="n">
        <v>21498</v>
      </c>
      <c r="C267" s="33" t="n">
        <f aca="false">B267-B266</f>
        <v>7717</v>
      </c>
      <c r="D267" s="33" t="n">
        <v>948.7</v>
      </c>
      <c r="E267" s="33" t="n">
        <f aca="false">D267-D266</f>
        <v>338.3</v>
      </c>
      <c r="F267" s="33" t="n">
        <v>15.48</v>
      </c>
      <c r="G267" s="33" t="n">
        <f aca="false">F267-F266</f>
        <v>5.56</v>
      </c>
      <c r="H267" s="33" t="n">
        <v>217</v>
      </c>
      <c r="I267" s="33" t="n">
        <f aca="false">H267-H266</f>
        <v>85</v>
      </c>
    </row>
    <row r="268" customFormat="false" ht="13.8" hidden="false" customHeight="false" outlineLevel="0" collapsed="false">
      <c r="A268" s="32" t="n">
        <v>45924</v>
      </c>
      <c r="B268" s="33" t="n">
        <v>18661</v>
      </c>
      <c r="C268" s="33" t="n">
        <f aca="false">B268-B267</f>
        <v>-2837</v>
      </c>
      <c r="D268" s="33" t="n">
        <v>809.1</v>
      </c>
      <c r="E268" s="33" t="n">
        <f aca="false">D268-D267</f>
        <v>-139.6</v>
      </c>
      <c r="F268" s="33" t="n">
        <v>13.44</v>
      </c>
      <c r="G268" s="33" t="n">
        <f aca="false">F268-F267</f>
        <v>-2.04</v>
      </c>
      <c r="H268" s="33" t="n">
        <v>167</v>
      </c>
      <c r="I268" s="33" t="n">
        <f aca="false">H268-H267</f>
        <v>-50</v>
      </c>
    </row>
    <row r="269" customFormat="false" ht="13.8" hidden="false" customHeight="false" outlineLevel="0" collapsed="false">
      <c r="A269" s="32" t="n">
        <v>45925</v>
      </c>
      <c r="B269" s="33" t="n">
        <v>15997</v>
      </c>
      <c r="C269" s="33" t="n">
        <f aca="false">B269-B268</f>
        <v>-2664</v>
      </c>
      <c r="D269" s="33" t="n">
        <v>696</v>
      </c>
      <c r="E269" s="33" t="n">
        <f aca="false">D269-D268</f>
        <v>-113.1</v>
      </c>
      <c r="F269" s="33" t="n">
        <v>11.52</v>
      </c>
      <c r="G269" s="33" t="n">
        <f aca="false">F269-F268</f>
        <v>-1.92</v>
      </c>
      <c r="H269" s="33" t="n">
        <v>146</v>
      </c>
      <c r="I269" s="33" t="n">
        <f aca="false">H269-H268</f>
        <v>-21</v>
      </c>
    </row>
    <row r="270" customFormat="false" ht="13.8" hidden="false" customHeight="false" outlineLevel="0" collapsed="false">
      <c r="A270" s="32" t="n">
        <v>45926</v>
      </c>
      <c r="B270" s="33" t="n">
        <v>15243</v>
      </c>
      <c r="C270" s="33" t="n">
        <f aca="false">B270-B269</f>
        <v>-754</v>
      </c>
      <c r="D270" s="33" t="n">
        <v>664.2</v>
      </c>
      <c r="E270" s="33" t="n">
        <f aca="false">D270-D269</f>
        <v>-31.8</v>
      </c>
      <c r="F270" s="33" t="n">
        <v>10.97</v>
      </c>
      <c r="G270" s="33" t="n">
        <f aca="false">F270-F269</f>
        <v>-0.549999999999999</v>
      </c>
      <c r="H270" s="33" t="n">
        <v>140</v>
      </c>
      <c r="I270" s="33" t="n">
        <f aca="false">H270-H269</f>
        <v>-6</v>
      </c>
    </row>
    <row r="271" customFormat="false" ht="13.8" hidden="false" customHeight="false" outlineLevel="0" collapsed="false">
      <c r="A271" s="32" t="n">
        <v>45927</v>
      </c>
      <c r="B271" s="33" t="n">
        <v>11283</v>
      </c>
      <c r="C271" s="33" t="n">
        <f aca="false">B271-B270</f>
        <v>-3960</v>
      </c>
      <c r="D271" s="33" t="n">
        <v>493.5</v>
      </c>
      <c r="E271" s="33" t="n">
        <f aca="false">D271-D270</f>
        <v>-170.7</v>
      </c>
      <c r="F271" s="33" t="n">
        <v>8.12</v>
      </c>
      <c r="G271" s="33" t="n">
        <f aca="false">F271-F270</f>
        <v>-2.85</v>
      </c>
      <c r="H271" s="33" t="n">
        <v>105</v>
      </c>
      <c r="I271" s="33" t="n">
        <f aca="false">H271-H270</f>
        <v>-35</v>
      </c>
    </row>
    <row r="272" customFormat="false" ht="13.8" hidden="false" customHeight="false" outlineLevel="0" collapsed="false">
      <c r="A272" s="32" t="n">
        <v>45928</v>
      </c>
      <c r="B272" s="33" t="n">
        <v>14377</v>
      </c>
      <c r="C272" s="33" t="n">
        <f aca="false">B272-B271</f>
        <v>3094</v>
      </c>
      <c r="D272" s="33" t="n">
        <v>629.4</v>
      </c>
      <c r="E272" s="33" t="n">
        <f aca="false">D272-D271</f>
        <v>135.9</v>
      </c>
      <c r="F272" s="33" t="n">
        <v>10.35</v>
      </c>
      <c r="G272" s="33" t="n">
        <f aca="false">F272-F271</f>
        <v>2.23</v>
      </c>
      <c r="H272" s="33" t="n">
        <v>134</v>
      </c>
      <c r="I272" s="33" t="n">
        <f aca="false">H272-H271</f>
        <v>29</v>
      </c>
    </row>
    <row r="273" customFormat="false" ht="13.8" hidden="false" customHeight="false" outlineLevel="0" collapsed="false">
      <c r="A273" s="32" t="n">
        <v>45929</v>
      </c>
      <c r="B273" s="33" t="n">
        <v>14559</v>
      </c>
      <c r="C273" s="33" t="n">
        <f aca="false">B273-B272</f>
        <v>182</v>
      </c>
      <c r="D273" s="33" t="n">
        <v>638.2</v>
      </c>
      <c r="E273" s="33" t="n">
        <f aca="false">D273-D272</f>
        <v>8.80000000000007</v>
      </c>
      <c r="F273" s="33" t="n">
        <v>10.48</v>
      </c>
      <c r="G273" s="33" t="n">
        <f aca="false">F273-F272</f>
        <v>0.130000000000001</v>
      </c>
      <c r="H273" s="33" t="n">
        <v>137</v>
      </c>
      <c r="I273" s="33" t="n">
        <f aca="false">H273-H272</f>
        <v>3</v>
      </c>
    </row>
    <row r="274" customFormat="false" ht="13.8" hidden="false" customHeight="false" outlineLevel="0" collapsed="false">
      <c r="A274" s="32" t="n">
        <v>45930</v>
      </c>
      <c r="B274" s="33" t="n">
        <v>18370</v>
      </c>
      <c r="C274" s="33" t="n">
        <f aca="false">B274-B273</f>
        <v>3811</v>
      </c>
      <c r="D274" s="33" t="n">
        <v>801.8</v>
      </c>
      <c r="E274" s="33" t="n">
        <f aca="false">D274-D273</f>
        <v>163.6</v>
      </c>
      <c r="F274" s="33" t="n">
        <v>13.23</v>
      </c>
      <c r="G274" s="33" t="n">
        <f aca="false">F274-F273</f>
        <v>2.75</v>
      </c>
      <c r="H274" s="33" t="n">
        <v>171</v>
      </c>
      <c r="I274" s="33" t="n">
        <f aca="false">H274-H273</f>
        <v>34</v>
      </c>
    </row>
    <row r="275" customFormat="false" ht="13.8" hidden="false" customHeight="false" outlineLevel="0" collapsed="false">
      <c r="A275" s="32" t="n">
        <v>45931</v>
      </c>
      <c r="B275" s="33" t="n">
        <v>16738</v>
      </c>
      <c r="C275" s="33" t="n">
        <f aca="false">B275-B274</f>
        <v>-1632</v>
      </c>
      <c r="D275" s="33" t="n">
        <v>728.7</v>
      </c>
      <c r="E275" s="33" t="n">
        <f aca="false">D275-D274</f>
        <v>-73.0999999999999</v>
      </c>
      <c r="F275" s="33" t="n">
        <v>12.05</v>
      </c>
      <c r="G275" s="33" t="n">
        <f aca="false">F275-F274</f>
        <v>-1.18</v>
      </c>
      <c r="H275" s="33" t="n">
        <v>154</v>
      </c>
      <c r="I275" s="33" t="n">
        <f aca="false">H275-H274</f>
        <v>-17</v>
      </c>
      <c r="K275" s="34" t="s">
        <v>2</v>
      </c>
      <c r="L275" s="34" t="s">
        <v>179</v>
      </c>
      <c r="M275" s="34" t="s">
        <v>175</v>
      </c>
      <c r="N275" s="34" t="s">
        <v>177</v>
      </c>
    </row>
    <row r="276" customFormat="false" ht="13.8" hidden="false" customHeight="false" outlineLevel="0" collapsed="false">
      <c r="A276" s="32" t="n">
        <v>45932</v>
      </c>
      <c r="B276" s="33" t="n">
        <v>11458</v>
      </c>
      <c r="C276" s="33" t="n">
        <f aca="false">B276-B275</f>
        <v>-5280</v>
      </c>
      <c r="D276" s="33" t="n">
        <v>504.4</v>
      </c>
      <c r="E276" s="33" t="n">
        <f aca="false">D276-D275</f>
        <v>-224.3</v>
      </c>
      <c r="F276" s="33" t="n">
        <v>8.25</v>
      </c>
      <c r="G276" s="33" t="n">
        <f aca="false">F276-F275</f>
        <v>-3.8</v>
      </c>
      <c r="H276" s="33" t="n">
        <v>108</v>
      </c>
      <c r="I276" s="33" t="n">
        <f aca="false">H276-H275</f>
        <v>-46</v>
      </c>
      <c r="J276" s="1" t="s">
        <v>8</v>
      </c>
      <c r="K276" s="1" t="n">
        <f aca="false">AVERAGE($B$275:$B$305)</f>
        <v>14959.7096774194</v>
      </c>
      <c r="L276" s="1" t="n">
        <f aca="false">AVERAGE($D$275:$D$305)</f>
        <v>658.396774193548</v>
      </c>
      <c r="M276" s="1" t="n">
        <f aca="false">AVERAGE($F$275:$F$305)</f>
        <v>10.7709677419355</v>
      </c>
      <c r="N276" s="1" t="n">
        <f aca="false">AVERAGE($H$275:$H$305)</f>
        <v>141.548387096774</v>
      </c>
    </row>
    <row r="277" customFormat="false" ht="13.8" hidden="false" customHeight="false" outlineLevel="0" collapsed="false">
      <c r="A277" s="32" t="n">
        <v>45933</v>
      </c>
      <c r="B277" s="33" t="n">
        <v>16242</v>
      </c>
      <c r="C277" s="33" t="n">
        <f aca="false">B277-B276</f>
        <v>4784</v>
      </c>
      <c r="D277" s="33" t="n">
        <v>708.1</v>
      </c>
      <c r="E277" s="33" t="n">
        <f aca="false">D277-D276</f>
        <v>203.7</v>
      </c>
      <c r="F277" s="33" t="n">
        <v>11.69</v>
      </c>
      <c r="G277" s="33" t="n">
        <f aca="false">F277-F276</f>
        <v>3.44</v>
      </c>
      <c r="H277" s="33" t="n">
        <v>149</v>
      </c>
      <c r="I277" s="33" t="n">
        <f aca="false">H277-H276</f>
        <v>41</v>
      </c>
      <c r="J277" s="1" t="s">
        <v>10</v>
      </c>
      <c r="K277" s="1" t="n">
        <f aca="false">SQRT(VAR($B$275:$B$305)/COUNT($B$275:$B$305))</f>
        <v>751.385384549871</v>
      </c>
      <c r="L277" s="1" t="n">
        <f aca="false">SQRT(VAR($D$275:$D$305)/COUNT($D$275:$D$305))</f>
        <v>32.8493110462347</v>
      </c>
      <c r="M277" s="1" t="n">
        <f aca="false">SQRT(VAR($F$275:$F$305)/COUNT($F$275:$F$305))</f>
        <v>0.541098515236477</v>
      </c>
      <c r="N277" s="1" t="n">
        <f aca="false">SQRT(VAR($H$275:$H$305)/COUNT($H$275:$H$305))</f>
        <v>7.12497330078792</v>
      </c>
    </row>
    <row r="278" customFormat="false" ht="13.8" hidden="false" customHeight="false" outlineLevel="0" collapsed="false">
      <c r="A278" s="32" t="n">
        <v>45934</v>
      </c>
      <c r="B278" s="33" t="n">
        <v>6599</v>
      </c>
      <c r="C278" s="33" t="n">
        <f aca="false">B278-B277</f>
        <v>-9643</v>
      </c>
      <c r="D278" s="33" t="n">
        <v>307.9</v>
      </c>
      <c r="E278" s="33" t="n">
        <f aca="false">D278-D277</f>
        <v>-400.2</v>
      </c>
      <c r="F278" s="33" t="n">
        <v>4.75</v>
      </c>
      <c r="G278" s="33" t="n">
        <f aca="false">F278-F277</f>
        <v>-6.94</v>
      </c>
      <c r="H278" s="33" t="n">
        <v>73</v>
      </c>
      <c r="I278" s="33" t="n">
        <f aca="false">H278-H277</f>
        <v>-76</v>
      </c>
      <c r="J278" s="1" t="s">
        <v>14</v>
      </c>
      <c r="K278" s="1" t="e">
        <f aca="false">MODE($B$275:$B$305)</f>
        <v>#VALUE!</v>
      </c>
      <c r="L278" s="1" t="n">
        <f aca="false">MODE($D$275:$D$305)</f>
        <v>794.2</v>
      </c>
      <c r="M278" s="1" t="n">
        <f aca="false">MODE($F$275:$F$305)</f>
        <v>10.45</v>
      </c>
      <c r="N278" s="1" t="n">
        <f aca="false">MODE($H$275:$H$305)</f>
        <v>109</v>
      </c>
    </row>
    <row r="279" customFormat="false" ht="13.8" hidden="false" customHeight="false" outlineLevel="0" collapsed="false">
      <c r="A279" s="32" t="n">
        <v>45935</v>
      </c>
      <c r="B279" s="33" t="n">
        <v>11039</v>
      </c>
      <c r="C279" s="33" t="n">
        <f aca="false">B279-B278</f>
        <v>4440</v>
      </c>
      <c r="D279" s="33" t="n">
        <v>491.4</v>
      </c>
      <c r="E279" s="33" t="n">
        <f aca="false">D279-D278</f>
        <v>183.5</v>
      </c>
      <c r="F279" s="33" t="n">
        <v>7.95</v>
      </c>
      <c r="G279" s="33" t="n">
        <f aca="false">F279-F278</f>
        <v>3.2</v>
      </c>
      <c r="H279" s="33" t="n">
        <v>109</v>
      </c>
      <c r="I279" s="33" t="n">
        <f aca="false">H279-H278</f>
        <v>36</v>
      </c>
      <c r="J279" s="1" t="s">
        <v>12</v>
      </c>
      <c r="K279" s="1" t="n">
        <f aca="false">MEDIAN($B$275:$B$305)</f>
        <v>15475</v>
      </c>
      <c r="L279" s="1" t="n">
        <f aca="false">MEDIAN($D$275:$D$305)</f>
        <v>671.3</v>
      </c>
      <c r="M279" s="1" t="n">
        <f aca="false">MEDIAN($F$275:$F$305)</f>
        <v>11.14</v>
      </c>
      <c r="N279" s="1" t="n">
        <f aca="false">MEDIAN($H$275:$H$305)</f>
        <v>140</v>
      </c>
    </row>
    <row r="280" customFormat="false" ht="13.8" hidden="false" customHeight="false" outlineLevel="0" collapsed="false">
      <c r="A280" s="32" t="n">
        <v>45936</v>
      </c>
      <c r="B280" s="33" t="n">
        <v>14570</v>
      </c>
      <c r="C280" s="33" t="n">
        <f aca="false">B280-B279</f>
        <v>3531</v>
      </c>
      <c r="D280" s="33" t="n">
        <v>639.1</v>
      </c>
      <c r="E280" s="33" t="n">
        <f aca="false">D280-D279</f>
        <v>147.7</v>
      </c>
      <c r="F280" s="33" t="n">
        <v>10.49</v>
      </c>
      <c r="G280" s="33" t="n">
        <f aca="false">F280-F279</f>
        <v>2.54</v>
      </c>
      <c r="H280" s="33" t="n">
        <v>137</v>
      </c>
      <c r="I280" s="33" t="n">
        <f aca="false">H280-H279</f>
        <v>28</v>
      </c>
      <c r="J280" s="1" t="s">
        <v>195</v>
      </c>
      <c r="K280" s="1" t="n">
        <f aca="false">QUARTILE($B$275:$B$305, 1)</f>
        <v>11678.5</v>
      </c>
      <c r="L280" s="1" t="n">
        <f aca="false">QUARTILE($D$275:$D$305, 1)</f>
        <v>511.5</v>
      </c>
      <c r="M280" s="1" t="n">
        <f aca="false">QUARTILE($F$275:$F$305, 1)</f>
        <v>8.41</v>
      </c>
      <c r="N280" s="1" t="n">
        <f aca="false">QUARTILE($H$275:$H$305, 1)</f>
        <v>109</v>
      </c>
    </row>
    <row r="281" customFormat="false" ht="13.8" hidden="false" customHeight="false" outlineLevel="0" collapsed="false">
      <c r="A281" s="32" t="n">
        <v>45937</v>
      </c>
      <c r="B281" s="33" t="n">
        <v>14519</v>
      </c>
      <c r="C281" s="33" t="n">
        <f aca="false">B281-B280</f>
        <v>-51</v>
      </c>
      <c r="D281" s="33" t="n">
        <v>631</v>
      </c>
      <c r="E281" s="33" t="n">
        <f aca="false">D281-D280</f>
        <v>-8.10000000000002</v>
      </c>
      <c r="F281" s="33" t="n">
        <v>10.45</v>
      </c>
      <c r="G281" s="33" t="n">
        <f aca="false">F281-F280</f>
        <v>-0.0400000000000009</v>
      </c>
      <c r="H281" s="33" t="n">
        <v>132</v>
      </c>
      <c r="I281" s="33" t="n">
        <f aca="false">H281-H280</f>
        <v>-5</v>
      </c>
      <c r="J281" s="1" t="s">
        <v>181</v>
      </c>
      <c r="K281" s="1" t="n">
        <f aca="false">QUARTILE($B$275:$B$305, 3)</f>
        <v>18161.5</v>
      </c>
      <c r="L281" s="1" t="n">
        <f aca="false">QUARTILE($D$275:$D$305, 3)</f>
        <v>793.15</v>
      </c>
      <c r="M281" s="1" t="n">
        <f aca="false">QUARTILE($F$275:$F$305, 3)</f>
        <v>13.08</v>
      </c>
      <c r="N281" s="1" t="n">
        <f aca="false">QUARTILE($H$275:$H$305, 3)</f>
        <v>167.5</v>
      </c>
    </row>
    <row r="282" customFormat="false" ht="13.8" hidden="false" customHeight="false" outlineLevel="0" collapsed="false">
      <c r="A282" s="32" t="n">
        <v>45938</v>
      </c>
      <c r="B282" s="33" t="n">
        <v>18203</v>
      </c>
      <c r="C282" s="33" t="n">
        <f aca="false">B282-B281</f>
        <v>3684</v>
      </c>
      <c r="D282" s="33" t="n">
        <v>791.5</v>
      </c>
      <c r="E282" s="33" t="n">
        <f aca="false">D282-D281</f>
        <v>160.5</v>
      </c>
      <c r="F282" s="33" t="n">
        <v>13.11</v>
      </c>
      <c r="G282" s="33" t="n">
        <f aca="false">F282-F281</f>
        <v>2.66</v>
      </c>
      <c r="H282" s="33" t="n">
        <v>166</v>
      </c>
      <c r="I282" s="33" t="n">
        <f aca="false">H282-H281</f>
        <v>34</v>
      </c>
      <c r="J282" s="1" t="s">
        <v>182</v>
      </c>
      <c r="K282" s="1" t="n">
        <f aca="false">VAR($B$275:$B$305)</f>
        <v>17501979.8795699</v>
      </c>
      <c r="L282" s="1" t="n">
        <f aca="false">VAR($D$275:$D$305)</f>
        <v>33451.3943225806</v>
      </c>
      <c r="M282" s="1" t="n">
        <f aca="false">VAR($F$275:$F$305)</f>
        <v>9.07641569892473</v>
      </c>
      <c r="N282" s="1" t="n">
        <f aca="false">VAR($H$275:$H$305)</f>
        <v>1573.72258064516</v>
      </c>
    </row>
    <row r="283" customFormat="false" ht="13.8" hidden="false" customHeight="false" outlineLevel="0" collapsed="false">
      <c r="A283" s="32" t="n">
        <v>45939</v>
      </c>
      <c r="B283" s="33" t="n">
        <v>18438</v>
      </c>
      <c r="C283" s="33" t="n">
        <f aca="false">B283-B282</f>
        <v>235</v>
      </c>
      <c r="D283" s="33" t="n">
        <v>803.9</v>
      </c>
      <c r="E283" s="33" t="n">
        <f aca="false">D283-D282</f>
        <v>12.4</v>
      </c>
      <c r="F283" s="33" t="n">
        <v>13.28</v>
      </c>
      <c r="G283" s="33" t="n">
        <f aca="false">F283-F282</f>
        <v>0.17</v>
      </c>
      <c r="H283" s="33" t="n">
        <v>168</v>
      </c>
      <c r="I283" s="33" t="n">
        <f aca="false">H283-H282</f>
        <v>2</v>
      </c>
      <c r="J283" s="1" t="s">
        <v>16</v>
      </c>
      <c r="K283" s="1" t="n">
        <f aca="false">STDEV($B$275:$B$305)</f>
        <v>4183.53676684811</v>
      </c>
      <c r="L283" s="1" t="n">
        <f aca="false">STDEV($D$275:$D$305)</f>
        <v>182.897223386744</v>
      </c>
      <c r="M283" s="1" t="n">
        <f aca="false">STDEV($F$275:$F$305)</f>
        <v>3.0127090299139</v>
      </c>
      <c r="N283" s="1" t="n">
        <f aca="false">STDEV($H$275:$H$305)</f>
        <v>39.6701724302424</v>
      </c>
    </row>
    <row r="284" customFormat="false" ht="13.8" hidden="false" customHeight="false" outlineLevel="0" collapsed="false">
      <c r="A284" s="32" t="n">
        <v>45940</v>
      </c>
      <c r="B284" s="33" t="n">
        <v>11899</v>
      </c>
      <c r="C284" s="33" t="n">
        <f aca="false">B284-B283</f>
        <v>-6539</v>
      </c>
      <c r="D284" s="33" t="n">
        <v>518.6</v>
      </c>
      <c r="E284" s="33" t="n">
        <f aca="false">D284-D283</f>
        <v>-285.3</v>
      </c>
      <c r="F284" s="33" t="n">
        <v>8.57</v>
      </c>
      <c r="G284" s="33" t="n">
        <f aca="false">F284-F283</f>
        <v>-4.71</v>
      </c>
      <c r="H284" s="33" t="n">
        <v>109</v>
      </c>
      <c r="I284" s="33" t="n">
        <f aca="false">H284-H283</f>
        <v>-59</v>
      </c>
      <c r="J284" s="1" t="s">
        <v>20</v>
      </c>
      <c r="K284" s="1" t="n">
        <f aca="false">KURT($B$275:$B$305)</f>
        <v>-0.647813408115558</v>
      </c>
      <c r="L284" s="1" t="n">
        <f aca="false">KURT($D$275:$D$305)</f>
        <v>-0.663383193066661</v>
      </c>
      <c r="M284" s="1" t="n">
        <f aca="false">KURT($F$275:$F$305)</f>
        <v>-0.647028038694991</v>
      </c>
      <c r="N284" s="1" t="n">
        <f aca="false">KURT($H$275:$H$305)</f>
        <v>-0.443946998987654</v>
      </c>
    </row>
    <row r="285" customFormat="false" ht="13.8" hidden="false" customHeight="false" outlineLevel="0" collapsed="false">
      <c r="A285" s="32" t="n">
        <v>45941</v>
      </c>
      <c r="B285" s="33" t="n">
        <v>9419</v>
      </c>
      <c r="C285" s="33" t="n">
        <f aca="false">B285-B284</f>
        <v>-2480</v>
      </c>
      <c r="D285" s="33" t="n">
        <v>429.2</v>
      </c>
      <c r="E285" s="33" t="n">
        <f aca="false">D285-D284</f>
        <v>-89.4</v>
      </c>
      <c r="F285" s="33" t="n">
        <v>6.78</v>
      </c>
      <c r="G285" s="33" t="n">
        <f aca="false">F285-F284</f>
        <v>-1.79</v>
      </c>
      <c r="H285" s="33" t="n">
        <v>99</v>
      </c>
      <c r="I285" s="33" t="n">
        <f aca="false">H285-H284</f>
        <v>-10</v>
      </c>
      <c r="J285" s="1" t="s">
        <v>22</v>
      </c>
      <c r="K285" s="1" t="n">
        <f aca="false">SKEW($B$275:$B$305)</f>
        <v>-0.421542612270921</v>
      </c>
      <c r="L285" s="1" t="n">
        <f aca="false">SKEW($D$275:$D$305)</f>
        <v>-0.353408225947769</v>
      </c>
      <c r="M285" s="1" t="n">
        <f aca="false">SKEW($F$275:$F$305)</f>
        <v>-0.420873136917019</v>
      </c>
      <c r="N285" s="1" t="n">
        <f aca="false">SKEW($H$275:$H$305)</f>
        <v>-0.100284575403206</v>
      </c>
    </row>
    <row r="286" customFormat="false" ht="13.8" hidden="false" customHeight="false" outlineLevel="0" collapsed="false">
      <c r="A286" s="32" t="n">
        <v>45942</v>
      </c>
      <c r="B286" s="33" t="n">
        <v>21760</v>
      </c>
      <c r="C286" s="33" t="n">
        <f aca="false">B286-B285</f>
        <v>12341</v>
      </c>
      <c r="D286" s="33" t="n">
        <v>988.1</v>
      </c>
      <c r="E286" s="33" t="n">
        <f aca="false">D286-D285</f>
        <v>558.9</v>
      </c>
      <c r="F286" s="33" t="n">
        <v>15.67</v>
      </c>
      <c r="G286" s="33" t="n">
        <f aca="false">F286-F285</f>
        <v>8.89</v>
      </c>
      <c r="H286" s="33" t="n">
        <v>228</v>
      </c>
      <c r="I286" s="33" t="n">
        <f aca="false">H286-H285</f>
        <v>129</v>
      </c>
      <c r="J286" s="1" t="s">
        <v>24</v>
      </c>
      <c r="K286" s="1" t="n">
        <f aca="false">MAX($B$275:$B$305)-MIN($B$275:$B$305)</f>
        <v>15161</v>
      </c>
      <c r="L286" s="1" t="n">
        <f aca="false">MAX($D$275:$D$305)-MIN($D$275:$D$305)</f>
        <v>680.2</v>
      </c>
      <c r="M286" s="1" t="n">
        <f aca="false">MAX($F$275:$F$305)-MIN($F$275:$F$305)</f>
        <v>10.92</v>
      </c>
      <c r="N286" s="1" t="n">
        <f aca="false">MAX($H$275:$H$305)-MIN($H$275:$H$305)</f>
        <v>157</v>
      </c>
    </row>
    <row r="287" customFormat="false" ht="13.8" hidden="false" customHeight="false" outlineLevel="0" collapsed="false">
      <c r="A287" s="32" t="n">
        <v>45943</v>
      </c>
      <c r="B287" s="33" t="n">
        <v>19915</v>
      </c>
      <c r="C287" s="33" t="n">
        <f aca="false">B287-B286</f>
        <v>-1845</v>
      </c>
      <c r="D287" s="33" t="n">
        <v>866.1</v>
      </c>
      <c r="E287" s="33" t="n">
        <f aca="false">D287-D286</f>
        <v>-122</v>
      </c>
      <c r="F287" s="33" t="n">
        <v>14.34</v>
      </c>
      <c r="G287" s="33" t="n">
        <f aca="false">F287-F286</f>
        <v>-1.33</v>
      </c>
      <c r="H287" s="33" t="n">
        <v>182</v>
      </c>
      <c r="I287" s="33" t="n">
        <f aca="false">H287-H286</f>
        <v>-46</v>
      </c>
      <c r="J287" s="1" t="s">
        <v>26</v>
      </c>
      <c r="K287" s="1" t="n">
        <f aca="false">MIN($B$275:$B$305)</f>
        <v>6599</v>
      </c>
      <c r="L287" s="1" t="n">
        <f aca="false">MIN($D$275:$D$305)</f>
        <v>307.9</v>
      </c>
      <c r="M287" s="1" t="n">
        <f aca="false">MIN($F$275:$F$305)</f>
        <v>4.75</v>
      </c>
      <c r="N287" s="1" t="n">
        <f aca="false">MIN($H$275:$H$305)</f>
        <v>71</v>
      </c>
    </row>
    <row r="288" customFormat="false" ht="13.8" hidden="false" customHeight="false" outlineLevel="0" collapsed="false">
      <c r="A288" s="32" t="n">
        <v>45944</v>
      </c>
      <c r="B288" s="33" t="n">
        <v>17235</v>
      </c>
      <c r="C288" s="33" t="n">
        <f aca="false">B288-B287</f>
        <v>-2680</v>
      </c>
      <c r="D288" s="33" t="n">
        <v>751</v>
      </c>
      <c r="E288" s="33" t="n">
        <f aca="false">D288-D287</f>
        <v>-115.1</v>
      </c>
      <c r="F288" s="33" t="n">
        <v>12.41</v>
      </c>
      <c r="G288" s="33" t="n">
        <f aca="false">F288-F287</f>
        <v>-1.93</v>
      </c>
      <c r="H288" s="33" t="n">
        <v>159</v>
      </c>
      <c r="I288" s="33" t="n">
        <f aca="false">H288-H287</f>
        <v>-23</v>
      </c>
      <c r="J288" s="1" t="s">
        <v>28</v>
      </c>
      <c r="K288" s="1" t="n">
        <f aca="false">MAX($B$275:$B$305)</f>
        <v>21760</v>
      </c>
      <c r="L288" s="1" t="n">
        <f aca="false">MAX($D$275:$D$305)</f>
        <v>988.1</v>
      </c>
      <c r="M288" s="1" t="n">
        <f aca="false">MAX($F$275:$F$305)</f>
        <v>15.67</v>
      </c>
      <c r="N288" s="1" t="n">
        <f aca="false">MAX($H$275:$H$305)</f>
        <v>228</v>
      </c>
    </row>
    <row r="289" customFormat="false" ht="13.8" hidden="false" customHeight="false" outlineLevel="0" collapsed="false">
      <c r="A289" s="32" t="n">
        <v>45945</v>
      </c>
      <c r="B289" s="33" t="n">
        <v>13930</v>
      </c>
      <c r="C289" s="33" t="n">
        <f aca="false">B289-B288</f>
        <v>-3305</v>
      </c>
      <c r="D289" s="33" t="n">
        <v>614.4</v>
      </c>
      <c r="E289" s="33" t="n">
        <f aca="false">D289-D288</f>
        <v>-136.6</v>
      </c>
      <c r="F289" s="33" t="n">
        <v>10.03</v>
      </c>
      <c r="G289" s="33" t="n">
        <f aca="false">F289-F288</f>
        <v>-2.38</v>
      </c>
      <c r="H289" s="33" t="n">
        <v>133</v>
      </c>
      <c r="I289" s="33" t="n">
        <f aca="false">H289-H288</f>
        <v>-26</v>
      </c>
      <c r="J289" s="1" t="s">
        <v>30</v>
      </c>
      <c r="K289" s="1" t="n">
        <f aca="false">SUM($B$275:$B$305)</f>
        <v>463751</v>
      </c>
      <c r="L289" s="1" t="n">
        <f aca="false">SUM($D$275:$D$305)</f>
        <v>20410.3</v>
      </c>
      <c r="M289" s="1" t="n">
        <f aca="false">SUM($F$275:$F$305)</f>
        <v>333.9</v>
      </c>
      <c r="N289" s="1" t="n">
        <f aca="false">SUM($H$275:$H$305)</f>
        <v>4388</v>
      </c>
    </row>
    <row r="290" customFormat="false" ht="13.8" hidden="false" customHeight="false" outlineLevel="0" collapsed="false">
      <c r="A290" s="32" t="n">
        <v>45946</v>
      </c>
      <c r="B290" s="33" t="n">
        <v>21080</v>
      </c>
      <c r="C290" s="33" t="n">
        <f aca="false">B290-B289</f>
        <v>7150</v>
      </c>
      <c r="D290" s="33" t="n">
        <v>916.3</v>
      </c>
      <c r="E290" s="33" t="n">
        <f aca="false">D290-D289</f>
        <v>301.9</v>
      </c>
      <c r="F290" s="33" t="n">
        <v>15.18</v>
      </c>
      <c r="G290" s="33" t="n">
        <f aca="false">F290-F289</f>
        <v>5.15</v>
      </c>
      <c r="H290" s="33" t="n">
        <v>192</v>
      </c>
      <c r="I290" s="33" t="n">
        <f aca="false">H290-H289</f>
        <v>59</v>
      </c>
      <c r="J290" s="1" t="s">
        <v>32</v>
      </c>
      <c r="K290" s="1" t="n">
        <f aca="false">COUNT($B$275:$B$305)</f>
        <v>31</v>
      </c>
      <c r="L290" s="1" t="n">
        <f aca="false">COUNT($D$275:$D$305)</f>
        <v>31</v>
      </c>
      <c r="M290" s="1" t="n">
        <f aca="false">COUNT($F$275:$F$305)</f>
        <v>31</v>
      </c>
      <c r="N290" s="1" t="n">
        <f aca="false">COUNT($H$275:$H$305)</f>
        <v>31</v>
      </c>
    </row>
    <row r="291" customFormat="false" ht="13.8" hidden="false" customHeight="false" outlineLevel="0" collapsed="false">
      <c r="A291" s="32" t="n">
        <v>45947</v>
      </c>
      <c r="B291" s="33" t="n">
        <v>7545</v>
      </c>
      <c r="C291" s="33" t="n">
        <f aca="false">B291-B290</f>
        <v>-13535</v>
      </c>
      <c r="D291" s="33" t="n">
        <v>331.7</v>
      </c>
      <c r="E291" s="33" t="n">
        <f aca="false">D291-D290</f>
        <v>-584.6</v>
      </c>
      <c r="F291" s="33" t="n">
        <v>5.43</v>
      </c>
      <c r="G291" s="33" t="n">
        <f aca="false">F291-F290</f>
        <v>-9.75</v>
      </c>
      <c r="H291" s="33" t="n">
        <v>71</v>
      </c>
      <c r="I291" s="33" t="n">
        <f aca="false">H291-H290</f>
        <v>-121</v>
      </c>
    </row>
    <row r="292" customFormat="false" ht="13.8" hidden="false" customHeight="false" outlineLevel="0" collapsed="false">
      <c r="A292" s="32" t="n">
        <v>45948</v>
      </c>
      <c r="B292" s="33" t="n">
        <v>17279</v>
      </c>
      <c r="C292" s="33" t="n">
        <f aca="false">B292-B291</f>
        <v>9734</v>
      </c>
      <c r="D292" s="33" t="n">
        <v>794.2</v>
      </c>
      <c r="E292" s="33" t="n">
        <f aca="false">D292-D291</f>
        <v>462.5</v>
      </c>
      <c r="F292" s="33" t="n">
        <v>12.44</v>
      </c>
      <c r="G292" s="33" t="n">
        <f aca="false">F292-F291</f>
        <v>7.01</v>
      </c>
      <c r="H292" s="33" t="n">
        <v>186</v>
      </c>
      <c r="I292" s="33" t="n">
        <f aca="false">H292-H291</f>
        <v>115</v>
      </c>
    </row>
    <row r="293" customFormat="false" ht="13.8" hidden="false" customHeight="false" outlineLevel="0" collapsed="false">
      <c r="A293" s="32" t="n">
        <v>45949</v>
      </c>
      <c r="B293" s="33" t="n">
        <v>18268</v>
      </c>
      <c r="C293" s="33" t="n">
        <f aca="false">B293-B292</f>
        <v>989</v>
      </c>
      <c r="D293" s="33" t="n">
        <v>840.3</v>
      </c>
      <c r="E293" s="33" t="n">
        <f aca="false">D293-D292</f>
        <v>46.0999999999999</v>
      </c>
      <c r="F293" s="33" t="n">
        <v>13.15</v>
      </c>
      <c r="G293" s="33" t="n">
        <f aca="false">F293-F292</f>
        <v>0.710000000000001</v>
      </c>
      <c r="H293" s="33" t="n">
        <v>197</v>
      </c>
      <c r="I293" s="33" t="n">
        <f aca="false">H293-H292</f>
        <v>11</v>
      </c>
    </row>
    <row r="294" customFormat="false" ht="13.8" hidden="false" customHeight="false" outlineLevel="0" collapsed="false">
      <c r="A294" s="32" t="n">
        <v>45950</v>
      </c>
      <c r="B294" s="33" t="n">
        <v>18120</v>
      </c>
      <c r="C294" s="33" t="n">
        <f aca="false">B294-B293</f>
        <v>-148</v>
      </c>
      <c r="D294" s="33" t="n">
        <v>794.2</v>
      </c>
      <c r="E294" s="33" t="n">
        <f aca="false">D294-D293</f>
        <v>-46.0999999999999</v>
      </c>
      <c r="F294" s="33" t="n">
        <v>13.05</v>
      </c>
      <c r="G294" s="33" t="n">
        <f aca="false">F294-F293</f>
        <v>-0.0999999999999996</v>
      </c>
      <c r="H294" s="33" t="n">
        <v>169</v>
      </c>
      <c r="I294" s="33" t="n">
        <f aca="false">H294-H293</f>
        <v>-28</v>
      </c>
    </row>
    <row r="295" customFormat="false" ht="13.8" hidden="false" customHeight="false" outlineLevel="0" collapsed="false">
      <c r="A295" s="32" t="n">
        <v>45951</v>
      </c>
      <c r="B295" s="33" t="n">
        <v>21041</v>
      </c>
      <c r="C295" s="33" t="n">
        <f aca="false">B295-B294</f>
        <v>2921</v>
      </c>
      <c r="D295" s="33" t="n">
        <v>908.3</v>
      </c>
      <c r="E295" s="33" t="n">
        <f aca="false">D295-D294</f>
        <v>114.1</v>
      </c>
      <c r="F295" s="33" t="n">
        <v>15.15</v>
      </c>
      <c r="G295" s="33" t="n">
        <f aca="false">F295-F294</f>
        <v>2.1</v>
      </c>
      <c r="H295" s="33" t="n">
        <v>186</v>
      </c>
      <c r="I295" s="33" t="n">
        <f aca="false">H295-H294</f>
        <v>17</v>
      </c>
    </row>
    <row r="296" customFormat="false" ht="13.8" hidden="false" customHeight="false" outlineLevel="0" collapsed="false">
      <c r="A296" s="32" t="n">
        <v>45952</v>
      </c>
      <c r="B296" s="33" t="n">
        <v>15475</v>
      </c>
      <c r="C296" s="33" t="n">
        <f aca="false">B296-B295</f>
        <v>-5566</v>
      </c>
      <c r="D296" s="33" t="n">
        <v>671.3</v>
      </c>
      <c r="E296" s="33" t="n">
        <f aca="false">D296-D295</f>
        <v>-237</v>
      </c>
      <c r="F296" s="33" t="n">
        <v>11.14</v>
      </c>
      <c r="G296" s="33" t="n">
        <f aca="false">F296-F295</f>
        <v>-4.01</v>
      </c>
      <c r="H296" s="33" t="n">
        <v>140</v>
      </c>
      <c r="I296" s="33" t="n">
        <f aca="false">H296-H295</f>
        <v>-46</v>
      </c>
    </row>
    <row r="297" customFormat="false" ht="13.8" hidden="false" customHeight="false" outlineLevel="0" collapsed="false">
      <c r="A297" s="32" t="n">
        <v>45953</v>
      </c>
      <c r="B297" s="33" t="n">
        <v>18343</v>
      </c>
      <c r="C297" s="33" t="n">
        <f aca="false">B297-B296</f>
        <v>2868</v>
      </c>
      <c r="D297" s="33" t="n">
        <v>792.1</v>
      </c>
      <c r="E297" s="33" t="n">
        <f aca="false">D297-D296</f>
        <v>120.8</v>
      </c>
      <c r="F297" s="33" t="n">
        <v>13.21</v>
      </c>
      <c r="G297" s="33" t="n">
        <f aca="false">F297-F296</f>
        <v>2.07</v>
      </c>
      <c r="H297" s="33" t="n">
        <v>162</v>
      </c>
      <c r="I297" s="33" t="n">
        <f aca="false">H297-H296</f>
        <v>22</v>
      </c>
    </row>
    <row r="298" customFormat="false" ht="13.8" hidden="false" customHeight="false" outlineLevel="0" collapsed="false">
      <c r="A298" s="32" t="n">
        <v>45954</v>
      </c>
      <c r="B298" s="33" t="n">
        <v>10953</v>
      </c>
      <c r="C298" s="33" t="n">
        <f aca="false">B298-B297</f>
        <v>-7390</v>
      </c>
      <c r="D298" s="33" t="n">
        <v>483.2</v>
      </c>
      <c r="E298" s="33" t="n">
        <f aca="false">D298-D297</f>
        <v>-308.9</v>
      </c>
      <c r="F298" s="33" t="n">
        <v>7.89</v>
      </c>
      <c r="G298" s="33" t="n">
        <f aca="false">F298-F297</f>
        <v>-5.32</v>
      </c>
      <c r="H298" s="33" t="n">
        <v>104</v>
      </c>
      <c r="I298" s="33" t="n">
        <f aca="false">H298-H297</f>
        <v>-58</v>
      </c>
    </row>
    <row r="299" customFormat="false" ht="13.8" hidden="false" customHeight="false" outlineLevel="0" collapsed="false">
      <c r="A299" s="32" t="n">
        <v>45955</v>
      </c>
      <c r="B299" s="33" t="n">
        <v>17241</v>
      </c>
      <c r="C299" s="33" t="n">
        <f aca="false">B299-B298</f>
        <v>6288</v>
      </c>
      <c r="D299" s="33" t="n">
        <v>762.6</v>
      </c>
      <c r="E299" s="33" t="n">
        <f aca="false">D299-D298</f>
        <v>279.4</v>
      </c>
      <c r="F299" s="33" t="n">
        <v>12.41</v>
      </c>
      <c r="G299" s="33" t="n">
        <f aca="false">F299-F298</f>
        <v>4.52</v>
      </c>
      <c r="H299" s="33" t="n">
        <v>167</v>
      </c>
      <c r="I299" s="33" t="n">
        <f aca="false">H299-H298</f>
        <v>63</v>
      </c>
    </row>
    <row r="300" customFormat="false" ht="13.8" hidden="false" customHeight="false" outlineLevel="0" collapsed="false">
      <c r="A300" s="32" t="n">
        <v>45956</v>
      </c>
      <c r="B300" s="33" t="n">
        <v>7530</v>
      </c>
      <c r="C300" s="33" t="n">
        <f aca="false">B300-B299</f>
        <v>-9711</v>
      </c>
      <c r="D300" s="33" t="n">
        <v>333.6</v>
      </c>
      <c r="E300" s="33" t="n">
        <f aca="false">D300-D299</f>
        <v>-429</v>
      </c>
      <c r="F300" s="33" t="n">
        <v>5.42</v>
      </c>
      <c r="G300" s="33" t="n">
        <f aca="false">F300-F299</f>
        <v>-6.99</v>
      </c>
      <c r="H300" s="33" t="n">
        <v>72</v>
      </c>
      <c r="I300" s="33" t="n">
        <f aca="false">H300-H299</f>
        <v>-95</v>
      </c>
    </row>
    <row r="301" customFormat="false" ht="13.8" hidden="false" customHeight="false" outlineLevel="0" collapsed="false">
      <c r="A301" s="32" t="n">
        <v>45957</v>
      </c>
      <c r="B301" s="33" t="n">
        <v>14033</v>
      </c>
      <c r="C301" s="33" t="n">
        <f aca="false">B301-B300</f>
        <v>6503</v>
      </c>
      <c r="D301" s="33" t="n">
        <v>616.6</v>
      </c>
      <c r="E301" s="33" t="n">
        <f aca="false">D301-D300</f>
        <v>283</v>
      </c>
      <c r="F301" s="33" t="n">
        <v>10.1</v>
      </c>
      <c r="G301" s="33" t="n">
        <f aca="false">F301-F300</f>
        <v>4.68</v>
      </c>
      <c r="H301" s="33" t="n">
        <v>133</v>
      </c>
      <c r="I301" s="33" t="n">
        <f aca="false">H301-H300</f>
        <v>61</v>
      </c>
    </row>
    <row r="302" customFormat="false" ht="13.8" hidden="false" customHeight="false" outlineLevel="0" collapsed="false">
      <c r="A302" s="32" t="n">
        <v>45958</v>
      </c>
      <c r="B302" s="33" t="n">
        <v>14517</v>
      </c>
      <c r="C302" s="33" t="n">
        <f aca="false">B302-B301</f>
        <v>484</v>
      </c>
      <c r="D302" s="33" t="n">
        <v>630.4</v>
      </c>
      <c r="E302" s="33" t="n">
        <f aca="false">D302-D301</f>
        <v>13.8</v>
      </c>
      <c r="F302" s="33" t="n">
        <v>10.45</v>
      </c>
      <c r="G302" s="33" t="n">
        <f aca="false">F302-F301</f>
        <v>0.35</v>
      </c>
      <c r="H302" s="33" t="n">
        <v>132</v>
      </c>
      <c r="I302" s="33" t="n">
        <f aca="false">H302-H301</f>
        <v>-1</v>
      </c>
    </row>
    <row r="303" customFormat="false" ht="13.8" hidden="false" customHeight="false" outlineLevel="0" collapsed="false">
      <c r="A303" s="32" t="n">
        <v>45959</v>
      </c>
      <c r="B303" s="33" t="n">
        <v>16297</v>
      </c>
      <c r="C303" s="33" t="n">
        <f aca="false">B303-B302</f>
        <v>1780</v>
      </c>
      <c r="D303" s="33" t="n">
        <v>714.8</v>
      </c>
      <c r="E303" s="33" t="n">
        <f aca="false">D303-D302</f>
        <v>84.4</v>
      </c>
      <c r="F303" s="33" t="n">
        <v>11.73</v>
      </c>
      <c r="G303" s="33" t="n">
        <f aca="false">F303-F302</f>
        <v>1.28</v>
      </c>
      <c r="H303" s="33" t="n">
        <v>152</v>
      </c>
      <c r="I303" s="33" t="n">
        <f aca="false">H303-H302</f>
        <v>20</v>
      </c>
    </row>
    <row r="304" customFormat="false" ht="13.8" hidden="false" customHeight="false" outlineLevel="0" collapsed="false">
      <c r="A304" s="32" t="n">
        <v>45960</v>
      </c>
      <c r="B304" s="33" t="n">
        <v>15096</v>
      </c>
      <c r="C304" s="33" t="n">
        <f aca="false">B304-B303</f>
        <v>-1201</v>
      </c>
      <c r="D304" s="33" t="n">
        <v>654.9</v>
      </c>
      <c r="E304" s="33" t="n">
        <f aca="false">D304-D303</f>
        <v>-59.9</v>
      </c>
      <c r="F304" s="33" t="n">
        <v>10.87</v>
      </c>
      <c r="G304" s="33" t="n">
        <f aca="false">F304-F303</f>
        <v>-0.860000000000001</v>
      </c>
      <c r="H304" s="33" t="n">
        <v>136</v>
      </c>
      <c r="I304" s="33" t="n">
        <f aca="false">H304-H303</f>
        <v>-16</v>
      </c>
    </row>
    <row r="305" customFormat="false" ht="13.8" hidden="false" customHeight="false" outlineLevel="0" collapsed="false">
      <c r="A305" s="32" t="n">
        <v>45961</v>
      </c>
      <c r="B305" s="33" t="n">
        <v>8969</v>
      </c>
      <c r="C305" s="33" t="n">
        <f aca="false">B305-B304</f>
        <v>-6127</v>
      </c>
      <c r="D305" s="33" t="n">
        <v>392.4</v>
      </c>
      <c r="E305" s="33" t="n">
        <f aca="false">D305-D304</f>
        <v>-262.5</v>
      </c>
      <c r="F305" s="33" t="n">
        <v>6.46</v>
      </c>
      <c r="G305" s="33" t="n">
        <f aca="false">F305-F304</f>
        <v>-4.41</v>
      </c>
      <c r="H305" s="33" t="n">
        <v>83</v>
      </c>
      <c r="I305" s="33" t="n">
        <f aca="false">H305-H304</f>
        <v>-53</v>
      </c>
    </row>
    <row r="306" customFormat="false" ht="13.8" hidden="false" customHeight="false" outlineLevel="0" collapsed="false">
      <c r="A306" s="32" t="n">
        <v>45962</v>
      </c>
      <c r="B306" s="33" t="n">
        <v>18311</v>
      </c>
      <c r="C306" s="33" t="n">
        <f aca="false">B306-B305</f>
        <v>9342</v>
      </c>
      <c r="D306" s="33" t="n">
        <v>837.8</v>
      </c>
      <c r="E306" s="33" t="n">
        <f aca="false">D306-D305</f>
        <v>445.4</v>
      </c>
      <c r="F306" s="33" t="n">
        <v>13.18</v>
      </c>
      <c r="G306" s="33" t="n">
        <f aca="false">F306-F305</f>
        <v>6.72</v>
      </c>
      <c r="H306" s="33" t="n">
        <v>194</v>
      </c>
      <c r="I306" s="33" t="n">
        <f aca="false">H306-H305</f>
        <v>111</v>
      </c>
      <c r="K306" s="34" t="s">
        <v>2</v>
      </c>
      <c r="L306" s="34" t="s">
        <v>179</v>
      </c>
      <c r="M306" s="34" t="s">
        <v>175</v>
      </c>
      <c r="N306" s="34" t="s">
        <v>177</v>
      </c>
    </row>
    <row r="307" customFormat="false" ht="13.8" hidden="false" customHeight="false" outlineLevel="0" collapsed="false">
      <c r="A307" s="32" t="n">
        <v>45963</v>
      </c>
      <c r="B307" s="33" t="n">
        <v>14701</v>
      </c>
      <c r="C307" s="33" t="n">
        <f aca="false">B307-B306</f>
        <v>-3610</v>
      </c>
      <c r="D307" s="33" t="n">
        <v>647.2</v>
      </c>
      <c r="E307" s="33" t="n">
        <f aca="false">D307-D306</f>
        <v>-190.6</v>
      </c>
      <c r="F307" s="33" t="n">
        <v>10.58</v>
      </c>
      <c r="G307" s="33" t="n">
        <f aca="false">F307-F306</f>
        <v>-2.6</v>
      </c>
      <c r="H307" s="33" t="n">
        <v>138</v>
      </c>
      <c r="I307" s="33" t="n">
        <f aca="false">H307-H306</f>
        <v>-56</v>
      </c>
      <c r="J307" s="1" t="s">
        <v>8</v>
      </c>
      <c r="K307" s="1" t="n">
        <f aca="false">AVERAGE($B$306:$B$335)</f>
        <v>14493.2</v>
      </c>
      <c r="L307" s="1" t="n">
        <f aca="false">AVERAGE($D$306:$D$335)</f>
        <v>638.933333333333</v>
      </c>
      <c r="M307" s="1" t="n">
        <f aca="false">AVERAGE($F$306:$F$335)</f>
        <v>10.4346666666667</v>
      </c>
      <c r="N307" s="1" t="n">
        <f aca="false">AVERAGE($H$306:$H$335)</f>
        <v>137.933333333333</v>
      </c>
    </row>
    <row r="308" customFormat="false" ht="13.8" hidden="false" customHeight="false" outlineLevel="0" collapsed="false">
      <c r="A308" s="32" t="n">
        <v>45964</v>
      </c>
      <c r="B308" s="33" t="n">
        <v>13047</v>
      </c>
      <c r="C308" s="33" t="n">
        <f aca="false">B308-B307</f>
        <v>-1654</v>
      </c>
      <c r="D308" s="33" t="n">
        <v>570.2</v>
      </c>
      <c r="E308" s="33" t="n">
        <f aca="false">D308-D307</f>
        <v>-77</v>
      </c>
      <c r="F308" s="33" t="n">
        <v>9.39</v>
      </c>
      <c r="G308" s="33" t="n">
        <f aca="false">F308-F307</f>
        <v>-1.19</v>
      </c>
      <c r="H308" s="33" t="n">
        <v>121</v>
      </c>
      <c r="I308" s="33" t="n">
        <f aca="false">H308-H307</f>
        <v>-17</v>
      </c>
      <c r="J308" s="1" t="s">
        <v>10</v>
      </c>
      <c r="K308" s="1" t="n">
        <f aca="false">SQRT(VAR($B$306:$B$335)/COUNT($B$306:$B$335))</f>
        <v>1031.44718375376</v>
      </c>
      <c r="L308" s="1" t="n">
        <f aca="false">SQRT(VAR($D$306:$D$335)/COUNT($D$306:$D$335))</f>
        <v>44.9611117620686</v>
      </c>
      <c r="M308" s="1" t="n">
        <f aca="false">SQRT(VAR($F$306:$F$335)/COUNT($F$306:$F$335))</f>
        <v>0.742656575593343</v>
      </c>
      <c r="N308" s="1" t="n">
        <f aca="false">SQRT(VAR($H$306:$H$335)/COUNT($H$306:$H$335))</f>
        <v>9.54540671066617</v>
      </c>
    </row>
    <row r="309" customFormat="false" ht="13.8" hidden="false" customHeight="false" outlineLevel="0" collapsed="false">
      <c r="A309" s="32" t="n">
        <v>45965</v>
      </c>
      <c r="B309" s="33" t="n">
        <v>11180</v>
      </c>
      <c r="C309" s="33" t="n">
        <f aca="false">B309-B308</f>
        <v>-1867</v>
      </c>
      <c r="D309" s="33" t="n">
        <v>490.2</v>
      </c>
      <c r="E309" s="33" t="n">
        <f aca="false">D309-D308</f>
        <v>-80.0000000000001</v>
      </c>
      <c r="F309" s="33" t="n">
        <v>8.05</v>
      </c>
      <c r="G309" s="33" t="n">
        <f aca="false">F309-F308</f>
        <v>-1.34</v>
      </c>
      <c r="H309" s="33" t="n">
        <v>105</v>
      </c>
      <c r="I309" s="33" t="n">
        <f aca="false">H309-H308</f>
        <v>-16</v>
      </c>
      <c r="J309" s="1" t="s">
        <v>14</v>
      </c>
      <c r="K309" s="1" t="e">
        <f aca="false">MODE($B$306:$B$335)</f>
        <v>#VALUE!</v>
      </c>
      <c r="L309" s="1" t="e">
        <f aca="false">MODE($D$306:$D$335)</f>
        <v>#VALUE!</v>
      </c>
      <c r="M309" s="1" t="e">
        <f aca="false">MODE($F$306:$F$335)</f>
        <v>#VALUE!</v>
      </c>
      <c r="N309" s="1" t="n">
        <f aca="false">MODE($H$306:$H$335)</f>
        <v>126</v>
      </c>
    </row>
    <row r="310" customFormat="false" ht="13.8" hidden="false" customHeight="false" outlineLevel="0" collapsed="false">
      <c r="A310" s="32" t="n">
        <v>45966</v>
      </c>
      <c r="B310" s="33" t="n">
        <v>6969</v>
      </c>
      <c r="C310" s="33" t="n">
        <f aca="false">B310-B309</f>
        <v>-4211</v>
      </c>
      <c r="D310" s="33" t="n">
        <v>304.8</v>
      </c>
      <c r="E310" s="33" t="n">
        <f aca="false">D310-D309</f>
        <v>-185.4</v>
      </c>
      <c r="F310" s="33" t="n">
        <v>5.02</v>
      </c>
      <c r="G310" s="33" t="n">
        <f aca="false">F310-F309</f>
        <v>-3.03</v>
      </c>
      <c r="H310" s="33" t="n">
        <v>64</v>
      </c>
      <c r="I310" s="33" t="n">
        <f aca="false">H310-H309</f>
        <v>-41</v>
      </c>
      <c r="J310" s="1" t="s">
        <v>12</v>
      </c>
      <c r="K310" s="1" t="n">
        <f aca="false">MEDIAN($B$306:$B$335)</f>
        <v>13603</v>
      </c>
      <c r="L310" s="1" t="n">
        <f aca="false">MEDIAN($D$306:$D$335)</f>
        <v>594.7</v>
      </c>
      <c r="M310" s="1" t="n">
        <f aca="false">MEDIAN($F$306:$F$335)</f>
        <v>9.795</v>
      </c>
      <c r="N310" s="1" t="n">
        <f aca="false">MEDIAN($H$306:$H$335)</f>
        <v>128.5</v>
      </c>
    </row>
    <row r="311" customFormat="false" ht="13.8" hidden="false" customHeight="false" outlineLevel="0" collapsed="false">
      <c r="A311" s="32" t="n">
        <v>45967</v>
      </c>
      <c r="B311" s="33" t="n">
        <v>7207</v>
      </c>
      <c r="C311" s="33" t="n">
        <f aca="false">B311-B310</f>
        <v>238</v>
      </c>
      <c r="D311" s="33" t="n">
        <v>312.2</v>
      </c>
      <c r="E311" s="33" t="n">
        <f aca="false">D311-D310</f>
        <v>7.39999999999998</v>
      </c>
      <c r="F311" s="33" t="n">
        <v>5.19</v>
      </c>
      <c r="G311" s="33" t="n">
        <f aca="false">F311-F310</f>
        <v>0.170000000000001</v>
      </c>
      <c r="H311" s="33" t="n">
        <v>65</v>
      </c>
      <c r="I311" s="33" t="n">
        <f aca="false">H311-H310</f>
        <v>1</v>
      </c>
      <c r="J311" s="1" t="s">
        <v>195</v>
      </c>
      <c r="K311" s="1" t="n">
        <f aca="false">QUARTILE($B$306:$B$335, 1)</f>
        <v>11336.75</v>
      </c>
      <c r="L311" s="1" t="n">
        <f aca="false">QUARTILE($D$306:$D$335, 1)</f>
        <v>497.675</v>
      </c>
      <c r="M311" s="1" t="n">
        <f aca="false">QUARTILE($F$306:$F$335, 1)</f>
        <v>8.1625</v>
      </c>
      <c r="N311" s="1" t="n">
        <f aca="false">QUARTILE($H$306:$H$335, 1)</f>
        <v>107</v>
      </c>
    </row>
    <row r="312" customFormat="false" ht="13.8" hidden="false" customHeight="false" outlineLevel="0" collapsed="false">
      <c r="A312" s="32" t="n">
        <v>45968</v>
      </c>
      <c r="B312" s="33" t="n">
        <v>9616</v>
      </c>
      <c r="C312" s="33" t="n">
        <f aca="false">B312-B311</f>
        <v>2409</v>
      </c>
      <c r="D312" s="33" t="n">
        <v>415.7</v>
      </c>
      <c r="E312" s="33" t="n">
        <f aca="false">D312-D311</f>
        <v>103.5</v>
      </c>
      <c r="F312" s="33" t="n">
        <v>6.92</v>
      </c>
      <c r="G312" s="33" t="n">
        <f aca="false">F312-F311</f>
        <v>1.73</v>
      </c>
      <c r="H312" s="33" t="n">
        <v>85</v>
      </c>
      <c r="I312" s="33" t="n">
        <f aca="false">H312-H311</f>
        <v>20</v>
      </c>
      <c r="J312" s="1" t="s">
        <v>181</v>
      </c>
      <c r="K312" s="1" t="n">
        <f aca="false">QUARTILE($B$306:$B$335, 3)</f>
        <v>16916.25</v>
      </c>
      <c r="L312" s="1" t="n">
        <f aca="false">QUARTILE($D$306:$D$335, 3)</f>
        <v>736.65</v>
      </c>
      <c r="M312" s="1" t="n">
        <f aca="false">QUARTILE($F$306:$F$335, 3)</f>
        <v>12.1825</v>
      </c>
      <c r="N312" s="1" t="n">
        <f aca="false">QUARTILE($H$306:$H$335, 3)</f>
        <v>156.75</v>
      </c>
    </row>
    <row r="313" customFormat="false" ht="13.8" hidden="false" customHeight="false" outlineLevel="0" collapsed="false">
      <c r="A313" s="32" t="n">
        <v>45969</v>
      </c>
      <c r="B313" s="33" t="n">
        <v>12628</v>
      </c>
      <c r="C313" s="33" t="n">
        <f aca="false">B313-B312</f>
        <v>3012</v>
      </c>
      <c r="D313" s="33" t="n">
        <v>555.1</v>
      </c>
      <c r="E313" s="33" t="n">
        <f aca="false">D313-D312</f>
        <v>139.4</v>
      </c>
      <c r="F313" s="33" t="n">
        <v>9.09</v>
      </c>
      <c r="G313" s="33" t="n">
        <f aca="false">F313-F312</f>
        <v>2.17</v>
      </c>
      <c r="H313" s="33" t="n">
        <v>119</v>
      </c>
      <c r="I313" s="33" t="n">
        <f aca="false">H313-H312</f>
        <v>34</v>
      </c>
      <c r="J313" s="1" t="s">
        <v>182</v>
      </c>
      <c r="K313" s="1" t="n">
        <f aca="false">VAR($B$306:$B$335)</f>
        <v>31916498.7862069</v>
      </c>
      <c r="L313" s="1" t="n">
        <f aca="false">VAR($D$306:$D$335)</f>
        <v>60645.0471264368</v>
      </c>
      <c r="M313" s="1" t="n">
        <f aca="false">VAR($F$306:$F$335)</f>
        <v>16.5461636781609</v>
      </c>
      <c r="N313" s="1" t="n">
        <f aca="false">VAR($H$306:$H$335)</f>
        <v>2733.44367816092</v>
      </c>
    </row>
    <row r="314" customFormat="false" ht="13.8" hidden="false" customHeight="false" outlineLevel="0" collapsed="false">
      <c r="A314" s="32" t="n">
        <v>45970</v>
      </c>
      <c r="B314" s="33" t="n">
        <v>15623</v>
      </c>
      <c r="C314" s="33" t="n">
        <f aca="false">B314-B313</f>
        <v>2995</v>
      </c>
      <c r="D314" s="33" t="n">
        <v>700.4</v>
      </c>
      <c r="E314" s="33" t="n">
        <f aca="false">D314-D313</f>
        <v>145.3</v>
      </c>
      <c r="F314" s="33" t="n">
        <v>11.25</v>
      </c>
      <c r="G314" s="33" t="n">
        <f aca="false">F314-F313</f>
        <v>2.16</v>
      </c>
      <c r="H314" s="33" t="n">
        <v>157</v>
      </c>
      <c r="I314" s="33" t="n">
        <f aca="false">H314-H313</f>
        <v>38</v>
      </c>
      <c r="J314" s="1" t="s">
        <v>16</v>
      </c>
      <c r="K314" s="1" t="n">
        <f aca="false">STDEV($B$306:$B$335)</f>
        <v>5649.46889417111</v>
      </c>
      <c r="L314" s="1" t="n">
        <f aca="false">STDEV($D$306:$D$335)</f>
        <v>246.262151225958</v>
      </c>
      <c r="M314" s="1" t="n">
        <f aca="false">STDEV($F$306:$F$335)</f>
        <v>4.06769758932015</v>
      </c>
      <c r="N314" s="1" t="n">
        <f aca="false">STDEV($H$306:$H$335)</f>
        <v>52.2823457599305</v>
      </c>
    </row>
    <row r="315" customFormat="false" ht="13.8" hidden="false" customHeight="false" outlineLevel="0" collapsed="false">
      <c r="A315" s="32" t="n">
        <v>45971</v>
      </c>
      <c r="B315" s="33" t="n">
        <v>13313</v>
      </c>
      <c r="C315" s="33" t="n">
        <f aca="false">B315-B314</f>
        <v>-2310</v>
      </c>
      <c r="D315" s="33" t="n">
        <v>583.3</v>
      </c>
      <c r="E315" s="33" t="n">
        <f aca="false">D315-D314</f>
        <v>-117.1</v>
      </c>
      <c r="F315" s="33" t="n">
        <v>9.59</v>
      </c>
      <c r="G315" s="33" t="n">
        <f aca="false">F315-F314</f>
        <v>-1.66</v>
      </c>
      <c r="H315" s="33" t="n">
        <v>125</v>
      </c>
      <c r="I315" s="33" t="n">
        <f aca="false">H315-H314</f>
        <v>-32</v>
      </c>
      <c r="J315" s="1" t="s">
        <v>20</v>
      </c>
      <c r="K315" s="1" t="n">
        <f aca="false">KURT($B$306:$B$335)</f>
        <v>0.903843105552211</v>
      </c>
      <c r="L315" s="1" t="n">
        <f aca="false">KURT($D$306:$D$335)</f>
        <v>0.855046458286847</v>
      </c>
      <c r="M315" s="1" t="n">
        <f aca="false">KURT($F$306:$F$335)</f>
        <v>0.906446316021401</v>
      </c>
      <c r="N315" s="1" t="n">
        <f aca="false">KURT($H$306:$H$335)</f>
        <v>0.678108468124954</v>
      </c>
    </row>
    <row r="316" customFormat="false" ht="13.8" hidden="false" customHeight="false" outlineLevel="0" collapsed="false">
      <c r="A316" s="32" t="n">
        <v>45972</v>
      </c>
      <c r="B316" s="33" t="n">
        <v>13014</v>
      </c>
      <c r="C316" s="33" t="n">
        <f aca="false">B316-B315</f>
        <v>-299</v>
      </c>
      <c r="D316" s="33" t="n">
        <v>575.8</v>
      </c>
      <c r="E316" s="33" t="n">
        <f aca="false">D316-D315</f>
        <v>-7.5</v>
      </c>
      <c r="F316" s="33" t="n">
        <v>9.37</v>
      </c>
      <c r="G316" s="33" t="n">
        <f aca="false">F316-F315</f>
        <v>-0.220000000000001</v>
      </c>
      <c r="H316" s="33" t="n">
        <v>126</v>
      </c>
      <c r="I316" s="33" t="n">
        <f aca="false">H316-H315</f>
        <v>1</v>
      </c>
      <c r="J316" s="1" t="s">
        <v>22</v>
      </c>
      <c r="K316" s="1" t="n">
        <f aca="false">SKEW($B$306:$B$335)</f>
        <v>0.894122137436623</v>
      </c>
      <c r="L316" s="1" t="n">
        <f aca="false">SKEW($D$306:$D$335)</f>
        <v>0.872823837626245</v>
      </c>
      <c r="M316" s="1" t="n">
        <f aca="false">SKEW($F$306:$F$335)</f>
        <v>0.895149424530849</v>
      </c>
      <c r="N316" s="1" t="n">
        <f aca="false">SKEW($H$306:$H$335)</f>
        <v>0.812628812183794</v>
      </c>
    </row>
    <row r="317" customFormat="false" ht="13.8" hidden="false" customHeight="false" outlineLevel="0" collapsed="false">
      <c r="A317" s="32" t="n">
        <v>45973</v>
      </c>
      <c r="B317" s="33" t="n">
        <v>14350</v>
      </c>
      <c r="C317" s="33" t="n">
        <f aca="false">B317-B316</f>
        <v>1336</v>
      </c>
      <c r="D317" s="33" t="n">
        <v>638.9</v>
      </c>
      <c r="E317" s="33" t="n">
        <f aca="false">D317-D316</f>
        <v>63.1</v>
      </c>
      <c r="F317" s="33" t="n">
        <v>10.33</v>
      </c>
      <c r="G317" s="33" t="n">
        <f aca="false">F317-F316</f>
        <v>0.960000000000001</v>
      </c>
      <c r="H317" s="33" t="n">
        <v>141</v>
      </c>
      <c r="I317" s="33" t="n">
        <f aca="false">H317-H316</f>
        <v>15</v>
      </c>
      <c r="J317" s="1" t="s">
        <v>24</v>
      </c>
      <c r="K317" s="1" t="n">
        <f aca="false">MAX($B$306:$B$335)-MIN($B$306:$B$335)</f>
        <v>22829</v>
      </c>
      <c r="L317" s="1" t="n">
        <f aca="false">MAX($D$306:$D$335)-MIN($D$306:$D$335)</f>
        <v>988.1</v>
      </c>
      <c r="M317" s="1" t="n">
        <f aca="false">MAX($F$306:$F$335)-MIN($F$306:$F$335)</f>
        <v>16.44</v>
      </c>
      <c r="N317" s="1" t="n">
        <f aca="false">MAX($H$306:$H$335)-MIN($H$306:$H$335)</f>
        <v>205</v>
      </c>
    </row>
    <row r="318" customFormat="false" ht="13.8" hidden="false" customHeight="false" outlineLevel="0" collapsed="false">
      <c r="A318" s="32" t="n">
        <v>45974</v>
      </c>
      <c r="B318" s="33" t="n">
        <v>16725</v>
      </c>
      <c r="C318" s="33" t="n">
        <f aca="false">B318-B317</f>
        <v>2375</v>
      </c>
      <c r="D318" s="33" t="n">
        <v>725.1</v>
      </c>
      <c r="E318" s="33" t="n">
        <f aca="false">D318-D317</f>
        <v>86.2000000000001</v>
      </c>
      <c r="F318" s="33" t="n">
        <v>12.04</v>
      </c>
      <c r="G318" s="33" t="n">
        <f aca="false">F318-F317</f>
        <v>1.71</v>
      </c>
      <c r="H318" s="33" t="n">
        <v>150</v>
      </c>
      <c r="I318" s="33" t="n">
        <f aca="false">H318-H317</f>
        <v>9</v>
      </c>
      <c r="J318" s="1" t="s">
        <v>26</v>
      </c>
      <c r="K318" s="1" t="n">
        <f aca="false">MIN($B$306:$B$335)</f>
        <v>6223</v>
      </c>
      <c r="L318" s="1" t="n">
        <f aca="false">MIN($D$306:$D$335)</f>
        <v>279.5</v>
      </c>
      <c r="M318" s="1" t="n">
        <f aca="false">MIN($F$306:$F$335)</f>
        <v>4.48</v>
      </c>
      <c r="N318" s="1" t="n">
        <f aca="false">MIN($H$306:$H$335)</f>
        <v>62</v>
      </c>
    </row>
    <row r="319" customFormat="false" ht="13.8" hidden="false" customHeight="false" outlineLevel="0" collapsed="false">
      <c r="A319" s="32" t="n">
        <v>45975</v>
      </c>
      <c r="B319" s="33" t="n">
        <v>15505</v>
      </c>
      <c r="C319" s="33" t="n">
        <f aca="false">B319-B318</f>
        <v>-1220</v>
      </c>
      <c r="D319" s="33" t="n">
        <v>677.2</v>
      </c>
      <c r="E319" s="33" t="n">
        <f aca="false">D319-D318</f>
        <v>-47.9</v>
      </c>
      <c r="F319" s="33" t="n">
        <v>11.16</v>
      </c>
      <c r="G319" s="33" t="n">
        <f aca="false">F319-F318</f>
        <v>-0.879999999999999</v>
      </c>
      <c r="H319" s="33" t="n">
        <v>143</v>
      </c>
      <c r="I319" s="33" t="n">
        <f aca="false">H319-H318</f>
        <v>-7</v>
      </c>
      <c r="J319" s="1" t="s">
        <v>28</v>
      </c>
      <c r="K319" s="1" t="n">
        <f aca="false">MAX($B$306:$B$335)</f>
        <v>29052</v>
      </c>
      <c r="L319" s="1" t="n">
        <f aca="false">MAX($D$306:$D$335)</f>
        <v>1267.6</v>
      </c>
      <c r="M319" s="1" t="n">
        <f aca="false">MAX($F$306:$F$335)</f>
        <v>20.92</v>
      </c>
      <c r="N319" s="1" t="n">
        <f aca="false">MAX($H$306:$H$335)</f>
        <v>267</v>
      </c>
    </row>
    <row r="320" customFormat="false" ht="13.8" hidden="false" customHeight="false" outlineLevel="0" collapsed="false">
      <c r="A320" s="32" t="n">
        <v>45976</v>
      </c>
      <c r="B320" s="33" t="n">
        <v>10457</v>
      </c>
      <c r="C320" s="33" t="n">
        <f aca="false">B320-B319</f>
        <v>-5048</v>
      </c>
      <c r="D320" s="33" t="n">
        <v>465.3</v>
      </c>
      <c r="E320" s="33" t="n">
        <f aca="false">D320-D319</f>
        <v>-211.9</v>
      </c>
      <c r="F320" s="33" t="n">
        <v>7.53</v>
      </c>
      <c r="G320" s="33" t="n">
        <f aca="false">F320-F319</f>
        <v>-3.63</v>
      </c>
      <c r="H320" s="33" t="n">
        <v>103</v>
      </c>
      <c r="I320" s="33" t="n">
        <f aca="false">H320-H319</f>
        <v>-40</v>
      </c>
      <c r="J320" s="1" t="s">
        <v>30</v>
      </c>
      <c r="K320" s="1" t="n">
        <f aca="false">SUM($B$306:$B$335)</f>
        <v>434796</v>
      </c>
      <c r="L320" s="1" t="n">
        <f aca="false">SUM($D$306:$D$335)</f>
        <v>19168</v>
      </c>
      <c r="M320" s="1" t="n">
        <f aca="false">SUM($F$306:$F$335)</f>
        <v>313.04</v>
      </c>
      <c r="N320" s="1" t="n">
        <f aca="false">SUM($H$306:$H$335)</f>
        <v>4138</v>
      </c>
    </row>
    <row r="321" customFormat="false" ht="13.8" hidden="false" customHeight="false" outlineLevel="0" collapsed="false">
      <c r="A321" s="32" t="n">
        <v>45977</v>
      </c>
      <c r="B321" s="33" t="n">
        <v>7748</v>
      </c>
      <c r="C321" s="33" t="n">
        <f aca="false">B321-B320</f>
        <v>-2709</v>
      </c>
      <c r="D321" s="33" t="n">
        <v>350.5</v>
      </c>
      <c r="E321" s="33" t="n">
        <f aca="false">D321-D320</f>
        <v>-114.8</v>
      </c>
      <c r="F321" s="33" t="n">
        <v>5.58</v>
      </c>
      <c r="G321" s="33" t="n">
        <f aca="false">F321-F320</f>
        <v>-1.95</v>
      </c>
      <c r="H321" s="33" t="n">
        <v>80</v>
      </c>
      <c r="I321" s="33" t="n">
        <f aca="false">H321-H320</f>
        <v>-23</v>
      </c>
      <c r="J321" s="1" t="s">
        <v>32</v>
      </c>
      <c r="K321" s="1" t="n">
        <f aca="false">COUNT($B$306:$B$335)</f>
        <v>30</v>
      </c>
      <c r="L321" s="1" t="n">
        <f aca="false">COUNT($D$306:$D$335)</f>
        <v>30</v>
      </c>
      <c r="M321" s="1" t="n">
        <f aca="false">COUNT($F$306:$F$335)</f>
        <v>30</v>
      </c>
      <c r="N321" s="1" t="n">
        <f aca="false">COUNT($H$306:$H$335)</f>
        <v>30</v>
      </c>
    </row>
    <row r="322" customFormat="false" ht="13.8" hidden="false" customHeight="false" outlineLevel="0" collapsed="false">
      <c r="A322" s="32" t="n">
        <v>45978</v>
      </c>
      <c r="B322" s="33" t="n">
        <v>22103</v>
      </c>
      <c r="C322" s="33" t="n">
        <f aca="false">B322-B321</f>
        <v>14355</v>
      </c>
      <c r="D322" s="33" t="n">
        <v>972.3</v>
      </c>
      <c r="E322" s="33" t="n">
        <f aca="false">D322-D321</f>
        <v>621.8</v>
      </c>
      <c r="F322" s="33" t="n">
        <v>15.91</v>
      </c>
      <c r="G322" s="33" t="n">
        <f aca="false">F322-F321</f>
        <v>10.33</v>
      </c>
      <c r="H322" s="33" t="n">
        <v>211</v>
      </c>
      <c r="I322" s="33" t="n">
        <f aca="false">H322-H321</f>
        <v>131</v>
      </c>
    </row>
    <row r="323" customFormat="false" ht="13.8" hidden="false" customHeight="false" outlineLevel="0" collapsed="false">
      <c r="A323" s="32" t="n">
        <v>45979</v>
      </c>
      <c r="B323" s="33" t="n">
        <v>13623</v>
      </c>
      <c r="C323" s="33" t="n">
        <f aca="false">B323-B322</f>
        <v>-8480</v>
      </c>
      <c r="D323" s="33" t="n">
        <v>594.4</v>
      </c>
      <c r="E323" s="33" t="n">
        <f aca="false">D323-D322</f>
        <v>-377.9</v>
      </c>
      <c r="F323" s="33" t="n">
        <v>9.81</v>
      </c>
      <c r="G323" s="33" t="n">
        <f aca="false">F323-F322</f>
        <v>-6.1</v>
      </c>
      <c r="H323" s="33" t="n">
        <v>126</v>
      </c>
      <c r="I323" s="33" t="n">
        <f aca="false">H323-H322</f>
        <v>-85</v>
      </c>
    </row>
    <row r="324" customFormat="false" ht="13.8" hidden="false" customHeight="false" outlineLevel="0" collapsed="false">
      <c r="A324" s="32" t="n">
        <v>45980</v>
      </c>
      <c r="B324" s="33" t="n">
        <v>23189</v>
      </c>
      <c r="C324" s="33" t="n">
        <f aca="false">B324-B323</f>
        <v>9566</v>
      </c>
      <c r="D324" s="33" t="n">
        <v>1008.9</v>
      </c>
      <c r="E324" s="33" t="n">
        <f aca="false">D324-D323</f>
        <v>414.5</v>
      </c>
      <c r="F324" s="33" t="n">
        <v>16.7</v>
      </c>
      <c r="G324" s="33" t="n">
        <f aca="false">F324-F323</f>
        <v>6.89</v>
      </c>
      <c r="H324" s="33" t="n">
        <v>213</v>
      </c>
      <c r="I324" s="33" t="n">
        <f aca="false">H324-H323</f>
        <v>87</v>
      </c>
    </row>
    <row r="325" customFormat="false" ht="13.8" hidden="false" customHeight="false" outlineLevel="0" collapsed="false">
      <c r="A325" s="32" t="n">
        <v>45981</v>
      </c>
      <c r="B325" s="33" t="n">
        <v>13583</v>
      </c>
      <c r="C325" s="33" t="n">
        <f aca="false">B325-B324</f>
        <v>-9606</v>
      </c>
      <c r="D325" s="33" t="n">
        <v>595</v>
      </c>
      <c r="E325" s="33" t="n">
        <f aca="false">D325-D324</f>
        <v>-413.9</v>
      </c>
      <c r="F325" s="33" t="n">
        <v>9.78</v>
      </c>
      <c r="G325" s="33" t="n">
        <f aca="false">F325-F324</f>
        <v>-6.92</v>
      </c>
      <c r="H325" s="33" t="n">
        <v>127</v>
      </c>
      <c r="I325" s="33" t="n">
        <f aca="false">H325-H324</f>
        <v>-86</v>
      </c>
    </row>
    <row r="326" customFormat="false" ht="13.8" hidden="false" customHeight="false" outlineLevel="0" collapsed="false">
      <c r="A326" s="32" t="n">
        <v>45982</v>
      </c>
      <c r="B326" s="33" t="n">
        <v>11807</v>
      </c>
      <c r="C326" s="33" t="n">
        <f aca="false">B326-B325</f>
        <v>-1776</v>
      </c>
      <c r="D326" s="33" t="n">
        <v>520.1</v>
      </c>
      <c r="E326" s="33" t="n">
        <f aca="false">D326-D325</f>
        <v>-74.9</v>
      </c>
      <c r="F326" s="33" t="n">
        <v>8.5</v>
      </c>
      <c r="G326" s="33" t="n">
        <f aca="false">F326-F325</f>
        <v>-1.28</v>
      </c>
      <c r="H326" s="33" t="n">
        <v>113</v>
      </c>
      <c r="I326" s="33" t="n">
        <f aca="false">H326-H325</f>
        <v>-14</v>
      </c>
    </row>
    <row r="327" customFormat="false" ht="13.8" hidden="false" customHeight="false" outlineLevel="0" collapsed="false">
      <c r="A327" s="32" t="n">
        <v>45983</v>
      </c>
      <c r="B327" s="33" t="n">
        <v>12097</v>
      </c>
      <c r="C327" s="33" t="n">
        <f aca="false">B327-B326</f>
        <v>290</v>
      </c>
      <c r="D327" s="33" t="n">
        <v>556.9</v>
      </c>
      <c r="E327" s="33" t="n">
        <f aca="false">D327-D326</f>
        <v>36.8</v>
      </c>
      <c r="F327" s="33" t="n">
        <v>8.71</v>
      </c>
      <c r="G327" s="33" t="n">
        <f aca="false">F327-F326</f>
        <v>0.210000000000001</v>
      </c>
      <c r="H327" s="33" t="n">
        <v>130</v>
      </c>
      <c r="I327" s="33" t="n">
        <f aca="false">H327-H326</f>
        <v>17</v>
      </c>
    </row>
    <row r="328" customFormat="false" ht="13.8" hidden="false" customHeight="false" outlineLevel="0" collapsed="false">
      <c r="A328" s="32" t="n">
        <v>45984</v>
      </c>
      <c r="B328" s="33" t="n">
        <v>6223</v>
      </c>
      <c r="C328" s="33" t="n">
        <f aca="false">B328-B327</f>
        <v>-5874</v>
      </c>
      <c r="D328" s="33" t="n">
        <v>279.5</v>
      </c>
      <c r="E328" s="33" t="n">
        <f aca="false">D328-D327</f>
        <v>-277.4</v>
      </c>
      <c r="F328" s="33" t="n">
        <v>4.48</v>
      </c>
      <c r="G328" s="33" t="n">
        <f aca="false">F328-F327</f>
        <v>-4.23</v>
      </c>
      <c r="H328" s="33" t="n">
        <v>62</v>
      </c>
      <c r="I328" s="33" t="n">
        <f aca="false">H328-H327</f>
        <v>-68</v>
      </c>
    </row>
    <row r="329" customFormat="false" ht="13.8" hidden="false" customHeight="false" outlineLevel="0" collapsed="false">
      <c r="A329" s="32" t="n">
        <v>45985</v>
      </c>
      <c r="B329" s="33" t="n">
        <v>27720</v>
      </c>
      <c r="C329" s="33" t="n">
        <f aca="false">B329-B328</f>
        <v>21497</v>
      </c>
      <c r="D329" s="33" t="n">
        <v>1218.2</v>
      </c>
      <c r="E329" s="33" t="n">
        <f aca="false">D329-D328</f>
        <v>938.7</v>
      </c>
      <c r="F329" s="33" t="n">
        <v>19.96</v>
      </c>
      <c r="G329" s="33" t="n">
        <f aca="false">F329-F328</f>
        <v>15.48</v>
      </c>
      <c r="H329" s="33" t="n">
        <v>261</v>
      </c>
      <c r="I329" s="33" t="n">
        <f aca="false">H329-H328</f>
        <v>199</v>
      </c>
    </row>
    <row r="330" customFormat="false" ht="13.8" hidden="false" customHeight="false" outlineLevel="0" collapsed="false">
      <c r="A330" s="32" t="n">
        <v>45986</v>
      </c>
      <c r="B330" s="33" t="n">
        <v>18949</v>
      </c>
      <c r="C330" s="33" t="n">
        <f aca="false">B330-B329</f>
        <v>-8771</v>
      </c>
      <c r="D330" s="33" t="n">
        <v>819.8</v>
      </c>
      <c r="E330" s="33" t="n">
        <f aca="false">D330-D329</f>
        <v>-398.4</v>
      </c>
      <c r="F330" s="33" t="n">
        <v>13.64</v>
      </c>
      <c r="G330" s="33" t="n">
        <f aca="false">F330-F329</f>
        <v>-6.32</v>
      </c>
      <c r="H330" s="33" t="n">
        <v>169</v>
      </c>
      <c r="I330" s="33" t="n">
        <f aca="false">H330-H329</f>
        <v>-92</v>
      </c>
    </row>
    <row r="331" customFormat="false" ht="13.8" hidden="false" customHeight="false" outlineLevel="0" collapsed="false">
      <c r="A331" s="32" t="n">
        <v>45987</v>
      </c>
      <c r="B331" s="33" t="n">
        <v>29052</v>
      </c>
      <c r="C331" s="33" t="n">
        <f aca="false">B331-B330</f>
        <v>10103</v>
      </c>
      <c r="D331" s="33" t="n">
        <v>1267.6</v>
      </c>
      <c r="E331" s="33" t="n">
        <f aca="false">D331-D330</f>
        <v>447.8</v>
      </c>
      <c r="F331" s="33" t="n">
        <v>20.92</v>
      </c>
      <c r="G331" s="33" t="n">
        <f aca="false">F331-F330</f>
        <v>7.28</v>
      </c>
      <c r="H331" s="33" t="n">
        <v>267</v>
      </c>
      <c r="I331" s="33" t="n">
        <f aca="false">H331-H330</f>
        <v>98</v>
      </c>
    </row>
    <row r="332" customFormat="false" ht="13.8" hidden="false" customHeight="false" outlineLevel="0" collapsed="false">
      <c r="A332" s="32" t="n">
        <v>45988</v>
      </c>
      <c r="B332" s="33" t="n">
        <v>16980</v>
      </c>
      <c r="C332" s="33" t="n">
        <f aca="false">B332-B331</f>
        <v>-12072</v>
      </c>
      <c r="D332" s="33" t="n">
        <v>740.5</v>
      </c>
      <c r="E332" s="33" t="n">
        <f aca="false">D332-D331</f>
        <v>-527.1</v>
      </c>
      <c r="F332" s="33" t="n">
        <v>12.23</v>
      </c>
      <c r="G332" s="33" t="n">
        <f aca="false">F332-F331</f>
        <v>-8.69</v>
      </c>
      <c r="H332" s="33" t="n">
        <v>156</v>
      </c>
      <c r="I332" s="33" t="n">
        <f aca="false">H332-H331</f>
        <v>-111</v>
      </c>
    </row>
    <row r="333" customFormat="false" ht="13.8" hidden="false" customHeight="false" outlineLevel="0" collapsed="false">
      <c r="A333" s="32" t="n">
        <v>45989</v>
      </c>
      <c r="B333" s="33" t="n">
        <v>14653</v>
      </c>
      <c r="C333" s="33" t="n">
        <f aca="false">B333-B332</f>
        <v>-2327</v>
      </c>
      <c r="D333" s="33" t="n">
        <v>659</v>
      </c>
      <c r="E333" s="33" t="n">
        <f aca="false">D333-D332</f>
        <v>-81.5</v>
      </c>
      <c r="F333" s="33" t="n">
        <v>10.55</v>
      </c>
      <c r="G333" s="33" t="n">
        <f aca="false">F333-F332</f>
        <v>-1.68</v>
      </c>
      <c r="H333" s="33" t="n">
        <v>147</v>
      </c>
      <c r="I333" s="33" t="n">
        <f aca="false">H333-H332</f>
        <v>-9</v>
      </c>
    </row>
    <row r="334" customFormat="false" ht="13.8" hidden="false" customHeight="false" outlineLevel="0" collapsed="false">
      <c r="A334" s="32" t="n">
        <v>45990</v>
      </c>
      <c r="B334" s="33" t="n">
        <v>7292</v>
      </c>
      <c r="C334" s="33" t="n">
        <f aca="false">B334-B333</f>
        <v>-7361</v>
      </c>
      <c r="D334" s="33" t="n">
        <v>331.7</v>
      </c>
      <c r="E334" s="33" t="n">
        <f aca="false">D334-D333</f>
        <v>-327.3</v>
      </c>
      <c r="F334" s="33" t="n">
        <v>5.25</v>
      </c>
      <c r="G334" s="33" t="n">
        <f aca="false">F334-F333</f>
        <v>-5.3</v>
      </c>
      <c r="H334" s="33" t="n">
        <v>76</v>
      </c>
      <c r="I334" s="33" t="n">
        <f aca="false">H334-H333</f>
        <v>-71</v>
      </c>
    </row>
    <row r="335" customFormat="false" ht="13.8" hidden="false" customHeight="false" outlineLevel="0" collapsed="false">
      <c r="A335" s="32" t="n">
        <v>45991</v>
      </c>
      <c r="B335" s="33" t="n">
        <v>17131</v>
      </c>
      <c r="C335" s="33" t="n">
        <f aca="false">B335-B334</f>
        <v>9839</v>
      </c>
      <c r="D335" s="33" t="n">
        <v>754.4</v>
      </c>
      <c r="E335" s="33" t="n">
        <f aca="false">D335-D334</f>
        <v>422.7</v>
      </c>
      <c r="F335" s="33" t="n">
        <v>12.33</v>
      </c>
      <c r="G335" s="33" t="n">
        <f aca="false">F335-F334</f>
        <v>7.08</v>
      </c>
      <c r="H335" s="33" t="n">
        <v>164</v>
      </c>
      <c r="I335" s="33" t="n">
        <f aca="false">H335-H334</f>
        <v>88</v>
      </c>
    </row>
    <row r="336" customFormat="false" ht="13.8" hidden="false" customHeight="false" outlineLevel="0" collapsed="false">
      <c r="A336" s="32" t="n">
        <v>45992</v>
      </c>
      <c r="B336" s="33" t="n">
        <v>21619</v>
      </c>
      <c r="C336" s="33" t="n">
        <f aca="false">B336-B335</f>
        <v>4488</v>
      </c>
      <c r="D336" s="33" t="n">
        <v>937.2</v>
      </c>
      <c r="E336" s="33" t="n">
        <f aca="false">D336-D335</f>
        <v>182.8</v>
      </c>
      <c r="F336" s="33" t="n">
        <v>15.57</v>
      </c>
      <c r="G336" s="33" t="n">
        <f aca="false">F336-F335</f>
        <v>3.24</v>
      </c>
      <c r="H336" s="33" t="n">
        <v>193</v>
      </c>
      <c r="I336" s="33" t="n">
        <f aca="false">H336-H335</f>
        <v>29</v>
      </c>
      <c r="K336" s="34" t="s">
        <v>2</v>
      </c>
      <c r="L336" s="34" t="s">
        <v>179</v>
      </c>
      <c r="M336" s="34" t="s">
        <v>175</v>
      </c>
      <c r="N336" s="34" t="s">
        <v>177</v>
      </c>
    </row>
    <row r="337" customFormat="false" ht="13.8" hidden="false" customHeight="false" outlineLevel="0" collapsed="false">
      <c r="A337" s="32" t="n">
        <v>45993</v>
      </c>
      <c r="B337" s="33" t="n">
        <v>22863</v>
      </c>
      <c r="C337" s="33" t="n">
        <f aca="false">B337-B336</f>
        <v>1244</v>
      </c>
      <c r="D337" s="33" t="n">
        <v>1010.9</v>
      </c>
      <c r="E337" s="33" t="n">
        <f aca="false">D337-D336</f>
        <v>73.6999999999999</v>
      </c>
      <c r="F337" s="33" t="n">
        <v>16.46</v>
      </c>
      <c r="G337" s="33" t="n">
        <f aca="false">F337-F336</f>
        <v>0.890000000000001</v>
      </c>
      <c r="H337" s="33" t="n">
        <v>220</v>
      </c>
      <c r="I337" s="33" t="n">
        <f aca="false">H337-H336</f>
        <v>27</v>
      </c>
      <c r="J337" s="1" t="s">
        <v>8</v>
      </c>
      <c r="K337" s="1" t="n">
        <f aca="false">AVERAGE($B$336:$B$366)</f>
        <v>14008.0967741936</v>
      </c>
      <c r="L337" s="1" t="n">
        <f aca="false">AVERAGE($D$336:$D$366)</f>
        <v>622.651612903226</v>
      </c>
      <c r="M337" s="1" t="n">
        <f aca="false">AVERAGE($F$336:$F$366)</f>
        <v>10.0851612903226</v>
      </c>
      <c r="N337" s="1" t="n">
        <f aca="false">AVERAGE($H$336:$H$366)</f>
        <v>136.41935483871</v>
      </c>
    </row>
    <row r="338" customFormat="false" ht="13.8" hidden="false" customHeight="false" outlineLevel="0" collapsed="false">
      <c r="A338" s="32" t="n">
        <v>45994</v>
      </c>
      <c r="B338" s="33" t="n">
        <v>9109</v>
      </c>
      <c r="C338" s="33" t="n">
        <f aca="false">B338-B337</f>
        <v>-13754</v>
      </c>
      <c r="D338" s="33" t="n">
        <v>401.5</v>
      </c>
      <c r="E338" s="33" t="n">
        <f aca="false">D338-D337</f>
        <v>-609.4</v>
      </c>
      <c r="F338" s="33" t="n">
        <v>6.56</v>
      </c>
      <c r="G338" s="33" t="n">
        <f aca="false">F338-F337</f>
        <v>-9.9</v>
      </c>
      <c r="H338" s="33" t="n">
        <v>86</v>
      </c>
      <c r="I338" s="33" t="n">
        <f aca="false">H338-H337</f>
        <v>-134</v>
      </c>
      <c r="J338" s="1" t="s">
        <v>10</v>
      </c>
      <c r="K338" s="1" t="n">
        <f aca="false">SQRT(VAR($B$336:$B$366)/COUNT($B$336:$B$366))</f>
        <v>1028.3007690996</v>
      </c>
      <c r="L338" s="1" t="n">
        <f aca="false">SQRT(VAR($D$336:$D$366)/COUNT($D$336:$D$366))</f>
        <v>44.9568820597797</v>
      </c>
      <c r="M338" s="1" t="n">
        <f aca="false">SQRT(VAR($F$336:$F$366)/COUNT($F$336:$F$366))</f>
        <v>0.740339484896145</v>
      </c>
      <c r="N338" s="1" t="n">
        <f aca="false">SQRT(VAR($H$336:$H$366)/COUNT($H$336:$H$366))</f>
        <v>9.63470141644125</v>
      </c>
    </row>
    <row r="339" customFormat="false" ht="13.8" hidden="false" customHeight="false" outlineLevel="0" collapsed="false">
      <c r="A339" s="32" t="n">
        <v>45995</v>
      </c>
      <c r="B339" s="33" t="n">
        <v>14498</v>
      </c>
      <c r="C339" s="33" t="n">
        <f aca="false">B339-B338</f>
        <v>5389</v>
      </c>
      <c r="D339" s="33" t="n">
        <v>651.6</v>
      </c>
      <c r="E339" s="33" t="n">
        <f aca="false">D339-D338</f>
        <v>250.1</v>
      </c>
      <c r="F339" s="33" t="n">
        <v>10.44</v>
      </c>
      <c r="G339" s="33" t="n">
        <f aca="false">F339-F338</f>
        <v>3.88</v>
      </c>
      <c r="H339" s="33" t="n">
        <v>145</v>
      </c>
      <c r="I339" s="33" t="n">
        <f aca="false">H339-H338</f>
        <v>59</v>
      </c>
      <c r="J339" s="1" t="s">
        <v>14</v>
      </c>
      <c r="K339" s="1" t="e">
        <f aca="false">MODE($B$336:$B$366)</f>
        <v>#VALUE!</v>
      </c>
      <c r="L339" s="1" t="e">
        <f aca="false">MODE($D$336:$D$366)</f>
        <v>#VALUE!</v>
      </c>
      <c r="M339" s="1" t="e">
        <f aca="false">MODE($F$336:$F$366)</f>
        <v>#VALUE!</v>
      </c>
      <c r="N339" s="1" t="n">
        <f aca="false">MODE($H$336:$H$366)</f>
        <v>67</v>
      </c>
    </row>
    <row r="340" customFormat="false" ht="13.8" hidden="false" customHeight="false" outlineLevel="0" collapsed="false">
      <c r="A340" s="32" t="n">
        <v>45996</v>
      </c>
      <c r="B340" s="33" t="n">
        <v>20965</v>
      </c>
      <c r="C340" s="33" t="n">
        <f aca="false">B340-B339</f>
        <v>6467</v>
      </c>
      <c r="D340" s="33" t="n">
        <v>912.8</v>
      </c>
      <c r="E340" s="33" t="n">
        <f aca="false">D340-D339</f>
        <v>261.2</v>
      </c>
      <c r="F340" s="33" t="n">
        <v>15.09</v>
      </c>
      <c r="G340" s="33" t="n">
        <f aca="false">F340-F339</f>
        <v>4.65</v>
      </c>
      <c r="H340" s="33" t="n">
        <v>192</v>
      </c>
      <c r="I340" s="33" t="n">
        <f aca="false">H340-H339</f>
        <v>47</v>
      </c>
      <c r="J340" s="1" t="s">
        <v>12</v>
      </c>
      <c r="K340" s="1" t="n">
        <f aca="false">MEDIAN($B$336:$B$366)</f>
        <v>14634</v>
      </c>
      <c r="L340" s="1" t="n">
        <f aca="false">MEDIAN($D$336:$D$366)</f>
        <v>651.6</v>
      </c>
      <c r="M340" s="1" t="n">
        <f aca="false">MEDIAN($F$336:$F$366)</f>
        <v>10.54</v>
      </c>
      <c r="N340" s="1" t="n">
        <f aca="false">MEDIAN($H$336:$H$366)</f>
        <v>143</v>
      </c>
    </row>
    <row r="341" customFormat="false" ht="13.8" hidden="false" customHeight="false" outlineLevel="0" collapsed="false">
      <c r="A341" s="32" t="n">
        <v>45997</v>
      </c>
      <c r="B341" s="33" t="n">
        <v>13044</v>
      </c>
      <c r="C341" s="33" t="n">
        <f aca="false">B341-B340</f>
        <v>-7921</v>
      </c>
      <c r="D341" s="33" t="n">
        <v>608.9</v>
      </c>
      <c r="E341" s="33" t="n">
        <f aca="false">D341-D340</f>
        <v>-303.9</v>
      </c>
      <c r="F341" s="33" t="n">
        <v>9.39</v>
      </c>
      <c r="G341" s="33" t="n">
        <f aca="false">F341-F340</f>
        <v>-5.7</v>
      </c>
      <c r="H341" s="33" t="n">
        <v>145</v>
      </c>
      <c r="I341" s="33" t="n">
        <f aca="false">H341-H340</f>
        <v>-47</v>
      </c>
      <c r="J341" s="1" t="s">
        <v>195</v>
      </c>
      <c r="K341" s="1" t="n">
        <f aca="false">QUARTILE($B$336:$B$366, 1)</f>
        <v>9270</v>
      </c>
      <c r="L341" s="1" t="n">
        <f aca="false">QUARTILE($D$336:$D$366, 1)</f>
        <v>414.55</v>
      </c>
      <c r="M341" s="1" t="n">
        <f aca="false">QUARTILE($F$336:$F$366, 1)</f>
        <v>6.675</v>
      </c>
      <c r="N341" s="1" t="n">
        <f aca="false">QUARTILE($H$336:$H$366, 1)</f>
        <v>92</v>
      </c>
    </row>
    <row r="342" customFormat="false" ht="13.8" hidden="false" customHeight="false" outlineLevel="0" collapsed="false">
      <c r="A342" s="32" t="n">
        <v>45998</v>
      </c>
      <c r="B342" s="33" t="n">
        <v>14936</v>
      </c>
      <c r="C342" s="33" t="n">
        <f aca="false">B342-B341</f>
        <v>1892</v>
      </c>
      <c r="D342" s="33" t="n">
        <v>658.9</v>
      </c>
      <c r="E342" s="33" t="n">
        <f aca="false">D342-D341</f>
        <v>50</v>
      </c>
      <c r="F342" s="33" t="n">
        <v>10.75</v>
      </c>
      <c r="G342" s="33" t="n">
        <f aca="false">F342-F341</f>
        <v>1.36</v>
      </c>
      <c r="H342" s="33" t="n">
        <v>143</v>
      </c>
      <c r="I342" s="33" t="n">
        <f aca="false">H342-H341</f>
        <v>-2</v>
      </c>
      <c r="J342" s="1" t="s">
        <v>181</v>
      </c>
      <c r="K342" s="1" t="n">
        <f aca="false">QUARTILE($B$336:$B$366, 3)</f>
        <v>18561</v>
      </c>
      <c r="L342" s="1" t="n">
        <f aca="false">QUARTILE($D$336:$D$366, 3)</f>
        <v>813.9</v>
      </c>
      <c r="M342" s="1" t="n">
        <f aca="false">QUARTILE($F$336:$F$366, 3)</f>
        <v>13.36</v>
      </c>
      <c r="N342" s="1" t="n">
        <f aca="false">QUARTILE($H$336:$H$366, 3)</f>
        <v>174</v>
      </c>
    </row>
    <row r="343" customFormat="false" ht="13.8" hidden="false" customHeight="false" outlineLevel="0" collapsed="false">
      <c r="A343" s="32" t="n">
        <v>45999</v>
      </c>
      <c r="B343" s="33" t="n">
        <v>9393</v>
      </c>
      <c r="C343" s="33" t="n">
        <f aca="false">B343-B342</f>
        <v>-5543</v>
      </c>
      <c r="D343" s="33" t="n">
        <v>423.7</v>
      </c>
      <c r="E343" s="33" t="n">
        <f aca="false">D343-D342</f>
        <v>-235.2</v>
      </c>
      <c r="F343" s="33" t="n">
        <v>6.76</v>
      </c>
      <c r="G343" s="33" t="n">
        <f aca="false">F343-F342</f>
        <v>-3.99</v>
      </c>
      <c r="H343" s="33" t="n">
        <v>96</v>
      </c>
      <c r="I343" s="33" t="n">
        <f aca="false">H343-H342</f>
        <v>-47</v>
      </c>
      <c r="J343" s="1" t="s">
        <v>182</v>
      </c>
      <c r="K343" s="1" t="n">
        <f aca="false">VAR($B$336:$B$366)</f>
        <v>32779476.6236559</v>
      </c>
      <c r="L343" s="1" t="n">
        <f aca="false">VAR($D$336:$D$366)</f>
        <v>62654.7585806452</v>
      </c>
      <c r="M343" s="1" t="n">
        <f aca="false">VAR($F$336:$F$366)</f>
        <v>16.991179139785</v>
      </c>
      <c r="N343" s="1" t="n">
        <f aca="false">VAR($H$336:$H$366)</f>
        <v>2877.65161290323</v>
      </c>
    </row>
    <row r="344" customFormat="false" ht="13.8" hidden="false" customHeight="false" outlineLevel="0" collapsed="false">
      <c r="A344" s="32" t="n">
        <v>46000</v>
      </c>
      <c r="B344" s="33" t="n">
        <v>11314</v>
      </c>
      <c r="C344" s="33" t="n">
        <f aca="false">B344-B343</f>
        <v>1921</v>
      </c>
      <c r="D344" s="33" t="n">
        <v>502</v>
      </c>
      <c r="E344" s="33" t="n">
        <f aca="false">D344-D343</f>
        <v>78.3</v>
      </c>
      <c r="F344" s="33" t="n">
        <v>8.15</v>
      </c>
      <c r="G344" s="33" t="n">
        <f aca="false">F344-F343</f>
        <v>1.39</v>
      </c>
      <c r="H344" s="33" t="n">
        <v>109</v>
      </c>
      <c r="I344" s="33" t="n">
        <f aca="false">H344-H343</f>
        <v>13</v>
      </c>
      <c r="J344" s="1" t="s">
        <v>16</v>
      </c>
      <c r="K344" s="1" t="n">
        <f aca="false">STDEV($B$336:$B$366)</f>
        <v>5725.33637646348</v>
      </c>
      <c r="L344" s="1" t="n">
        <f aca="false">STDEV($D$336:$D$366)</f>
        <v>250.309325796394</v>
      </c>
      <c r="M344" s="1" t="n">
        <f aca="false">STDEV($F$336:$F$366)</f>
        <v>4.12203580040069</v>
      </c>
      <c r="N344" s="1" t="n">
        <f aca="false">STDEV($H$336:$H$366)</f>
        <v>53.6437471929695</v>
      </c>
    </row>
    <row r="345" customFormat="false" ht="13.8" hidden="false" customHeight="false" outlineLevel="0" collapsed="false">
      <c r="A345" s="32" t="n">
        <v>46001</v>
      </c>
      <c r="B345" s="33" t="n">
        <v>6206</v>
      </c>
      <c r="C345" s="33" t="n">
        <f aca="false">B345-B344</f>
        <v>-5108</v>
      </c>
      <c r="D345" s="33" t="n">
        <v>287.4</v>
      </c>
      <c r="E345" s="33" t="n">
        <f aca="false">D345-D344</f>
        <v>-214.6</v>
      </c>
      <c r="F345" s="33" t="n">
        <v>4.47</v>
      </c>
      <c r="G345" s="33" t="n">
        <f aca="false">F345-F344</f>
        <v>-3.68</v>
      </c>
      <c r="H345" s="33" t="n">
        <v>67</v>
      </c>
      <c r="I345" s="33" t="n">
        <f aca="false">H345-H344</f>
        <v>-42</v>
      </c>
      <c r="J345" s="1" t="s">
        <v>20</v>
      </c>
      <c r="K345" s="1" t="n">
        <f aca="false">KURT($B$336:$B$366)</f>
        <v>-0.766447245601278</v>
      </c>
      <c r="L345" s="1" t="n">
        <f aca="false">KURT($D$336:$D$366)</f>
        <v>-0.723887029857762</v>
      </c>
      <c r="M345" s="1" t="n">
        <f aca="false">KURT($F$336:$F$366)</f>
        <v>-0.764953018292737</v>
      </c>
      <c r="N345" s="1" t="n">
        <f aca="false">KURT($H$336:$H$366)</f>
        <v>-0.626965123823576</v>
      </c>
    </row>
    <row r="346" customFormat="false" ht="13.8" hidden="false" customHeight="false" outlineLevel="0" collapsed="false">
      <c r="A346" s="32" t="n">
        <v>46002</v>
      </c>
      <c r="B346" s="33" t="n">
        <v>15909</v>
      </c>
      <c r="C346" s="33" t="n">
        <f aca="false">B346-B345</f>
        <v>9703</v>
      </c>
      <c r="D346" s="33" t="n">
        <v>698.4</v>
      </c>
      <c r="E346" s="33" t="n">
        <f aca="false">D346-D345</f>
        <v>411</v>
      </c>
      <c r="F346" s="33" t="n">
        <v>11.45</v>
      </c>
      <c r="G346" s="33" t="n">
        <f aca="false">F346-F345</f>
        <v>6.98</v>
      </c>
      <c r="H346" s="33" t="n">
        <v>148</v>
      </c>
      <c r="I346" s="33" t="n">
        <f aca="false">H346-H345</f>
        <v>81</v>
      </c>
      <c r="J346" s="1" t="s">
        <v>22</v>
      </c>
      <c r="K346" s="1" t="n">
        <f aca="false">SKEW($B$336:$B$366)</f>
        <v>-0.30474099173162</v>
      </c>
      <c r="L346" s="1" t="n">
        <f aca="false">SKEW($D$336:$D$366)</f>
        <v>-0.307384803533065</v>
      </c>
      <c r="M346" s="1" t="n">
        <f aca="false">SKEW($F$336:$F$366)</f>
        <v>-0.304928048605822</v>
      </c>
      <c r="N346" s="1" t="n">
        <f aca="false">SKEW($H$336:$H$366)</f>
        <v>-0.283171921812798</v>
      </c>
    </row>
    <row r="347" customFormat="false" ht="13.8" hidden="false" customHeight="false" outlineLevel="0" collapsed="false">
      <c r="A347" s="32" t="n">
        <v>46003</v>
      </c>
      <c r="B347" s="33" t="n">
        <v>14170</v>
      </c>
      <c r="C347" s="33" t="n">
        <f aca="false">B347-B346</f>
        <v>-1739</v>
      </c>
      <c r="D347" s="33" t="n">
        <v>615.6</v>
      </c>
      <c r="E347" s="33" t="n">
        <f aca="false">D347-D346</f>
        <v>-82.8</v>
      </c>
      <c r="F347" s="33" t="n">
        <v>10.2</v>
      </c>
      <c r="G347" s="33" t="n">
        <f aca="false">F347-F346</f>
        <v>-1.25</v>
      </c>
      <c r="H347" s="33" t="n">
        <v>128</v>
      </c>
      <c r="I347" s="33" t="n">
        <f aca="false">H347-H346</f>
        <v>-20</v>
      </c>
      <c r="J347" s="1" t="s">
        <v>24</v>
      </c>
      <c r="K347" s="1" t="n">
        <f aca="false">MAX($B$336:$B$366)-MIN($B$336:$B$366)</f>
        <v>21441</v>
      </c>
      <c r="L347" s="1" t="n">
        <f aca="false">MAX($D$336:$D$366)-MIN($D$336:$D$366)</f>
        <v>945</v>
      </c>
      <c r="M347" s="1" t="n">
        <f aca="false">MAX($F$336:$F$366)-MIN($F$336:$F$366)</f>
        <v>15.44</v>
      </c>
      <c r="N347" s="1" t="n">
        <f aca="false">MAX($H$336:$H$366)-MIN($H$336:$H$366)</f>
        <v>211</v>
      </c>
    </row>
    <row r="348" customFormat="false" ht="13.8" hidden="false" customHeight="false" outlineLevel="0" collapsed="false">
      <c r="A348" s="32" t="n">
        <v>46004</v>
      </c>
      <c r="B348" s="33" t="n">
        <v>9147</v>
      </c>
      <c r="C348" s="33" t="n">
        <f aca="false">B348-B347</f>
        <v>-5023</v>
      </c>
      <c r="D348" s="33" t="n">
        <v>405.4</v>
      </c>
      <c r="E348" s="33" t="n">
        <f aca="false">D348-D347</f>
        <v>-210.2</v>
      </c>
      <c r="F348" s="33" t="n">
        <v>6.59</v>
      </c>
      <c r="G348" s="33" t="n">
        <f aca="false">F348-F347</f>
        <v>-3.61</v>
      </c>
      <c r="H348" s="33" t="n">
        <v>88</v>
      </c>
      <c r="I348" s="33" t="n">
        <f aca="false">H348-H347</f>
        <v>-40</v>
      </c>
      <c r="J348" s="1" t="s">
        <v>26</v>
      </c>
      <c r="K348" s="1" t="n">
        <f aca="false">MIN($B$336:$B$366)</f>
        <v>1422</v>
      </c>
      <c r="L348" s="1" t="n">
        <f aca="false">MIN($D$336:$D$366)</f>
        <v>65.9</v>
      </c>
      <c r="M348" s="1" t="n">
        <f aca="false">MIN($F$336:$F$366)</f>
        <v>1.02</v>
      </c>
      <c r="N348" s="1" t="n">
        <f aca="false">MIN($H$336:$H$366)</f>
        <v>15</v>
      </c>
    </row>
    <row r="349" customFormat="false" ht="13.8" hidden="false" customHeight="false" outlineLevel="0" collapsed="false">
      <c r="A349" s="32" t="n">
        <v>46005</v>
      </c>
      <c r="B349" s="33" t="n">
        <v>19578</v>
      </c>
      <c r="C349" s="33" t="n">
        <f aca="false">B349-B348</f>
        <v>10431</v>
      </c>
      <c r="D349" s="33" t="n">
        <v>864.9</v>
      </c>
      <c r="E349" s="33" t="n">
        <f aca="false">D349-D348</f>
        <v>459.5</v>
      </c>
      <c r="F349" s="33" t="n">
        <v>14.1</v>
      </c>
      <c r="G349" s="33" t="n">
        <f aca="false">F349-F348</f>
        <v>7.51</v>
      </c>
      <c r="H349" s="33" t="n">
        <v>189</v>
      </c>
      <c r="I349" s="33" t="n">
        <f aca="false">H349-H348</f>
        <v>101</v>
      </c>
      <c r="J349" s="1" t="s">
        <v>28</v>
      </c>
      <c r="K349" s="1" t="n">
        <f aca="false">MAX($B$336:$B$366)</f>
        <v>22863</v>
      </c>
      <c r="L349" s="1" t="n">
        <f aca="false">MAX($D$336:$D$366)</f>
        <v>1010.9</v>
      </c>
      <c r="M349" s="1" t="n">
        <f aca="false">MAX($F$336:$F$366)</f>
        <v>16.46</v>
      </c>
      <c r="N349" s="1" t="n">
        <f aca="false">MAX($H$336:$H$366)</f>
        <v>226</v>
      </c>
    </row>
    <row r="350" customFormat="false" ht="13.8" hidden="false" customHeight="false" outlineLevel="0" collapsed="false">
      <c r="A350" s="32" t="n">
        <v>46006</v>
      </c>
      <c r="B350" s="33" t="n">
        <v>13162</v>
      </c>
      <c r="C350" s="33" t="n">
        <f aca="false">B350-B349</f>
        <v>-6416</v>
      </c>
      <c r="D350" s="33" t="n">
        <v>578.7</v>
      </c>
      <c r="E350" s="33" t="n">
        <f aca="false">D350-D349</f>
        <v>-286.2</v>
      </c>
      <c r="F350" s="33" t="n">
        <v>9.48</v>
      </c>
      <c r="G350" s="33" t="n">
        <f aca="false">F350-F349</f>
        <v>-4.62</v>
      </c>
      <c r="H350" s="33" t="n">
        <v>125</v>
      </c>
      <c r="I350" s="33" t="n">
        <f aca="false">H350-H349</f>
        <v>-64</v>
      </c>
      <c r="J350" s="1" t="s">
        <v>30</v>
      </c>
      <c r="K350" s="1" t="n">
        <f aca="false">SUM($B$336:$B$366)</f>
        <v>434251</v>
      </c>
      <c r="L350" s="1" t="n">
        <f aca="false">SUM($D$336:$D$366)</f>
        <v>19302.2</v>
      </c>
      <c r="M350" s="1" t="n">
        <f aca="false">SUM($F$336:$F$366)</f>
        <v>312.64</v>
      </c>
      <c r="N350" s="1" t="n">
        <f aca="false">SUM($H$336:$H$366)</f>
        <v>4229</v>
      </c>
    </row>
    <row r="351" customFormat="false" ht="13.8" hidden="false" customHeight="false" outlineLevel="0" collapsed="false">
      <c r="A351" s="32" t="n">
        <v>46007</v>
      </c>
      <c r="B351" s="33" t="n">
        <v>21983</v>
      </c>
      <c r="C351" s="33" t="n">
        <f aca="false">B351-B350</f>
        <v>8821</v>
      </c>
      <c r="D351" s="33" t="n">
        <v>975.2</v>
      </c>
      <c r="E351" s="33" t="n">
        <f aca="false">D351-D350</f>
        <v>396.5</v>
      </c>
      <c r="F351" s="33" t="n">
        <v>15.83</v>
      </c>
      <c r="G351" s="33" t="n">
        <f aca="false">F351-F350</f>
        <v>6.35</v>
      </c>
      <c r="H351" s="33" t="n">
        <v>211</v>
      </c>
      <c r="I351" s="33" t="n">
        <f aca="false">H351-H350</f>
        <v>86</v>
      </c>
      <c r="J351" s="1" t="s">
        <v>32</v>
      </c>
      <c r="K351" s="1" t="n">
        <f aca="false">COUNT($B$336:$B$366)</f>
        <v>31</v>
      </c>
      <c r="L351" s="1" t="n">
        <f aca="false">COUNT($D$336:$D$366)</f>
        <v>31</v>
      </c>
      <c r="M351" s="1" t="n">
        <f aca="false">COUNT($F$336:$F$366)</f>
        <v>31</v>
      </c>
      <c r="N351" s="1" t="n">
        <f aca="false">COUNT($H$336:$H$366)</f>
        <v>31</v>
      </c>
    </row>
    <row r="352" customFormat="false" ht="13.8" hidden="false" customHeight="false" outlineLevel="0" collapsed="false">
      <c r="A352" s="32" t="n">
        <v>46008</v>
      </c>
      <c r="B352" s="33" t="n">
        <v>18241</v>
      </c>
      <c r="C352" s="33" t="n">
        <f aca="false">B352-B351</f>
        <v>-3742</v>
      </c>
      <c r="D352" s="33" t="n">
        <v>806.3</v>
      </c>
      <c r="E352" s="33" t="n">
        <f aca="false">D352-D351</f>
        <v>-168.9</v>
      </c>
      <c r="F352" s="33" t="n">
        <v>13.13</v>
      </c>
      <c r="G352" s="33" t="n">
        <f aca="false">F352-F351</f>
        <v>-2.7</v>
      </c>
      <c r="H352" s="33" t="n">
        <v>175</v>
      </c>
      <c r="I352" s="33" t="n">
        <f aca="false">H352-H351</f>
        <v>-36</v>
      </c>
    </row>
    <row r="353" customFormat="false" ht="13.8" hidden="false" customHeight="false" outlineLevel="0" collapsed="false">
      <c r="A353" s="32" t="n">
        <v>46009</v>
      </c>
      <c r="B353" s="33" t="n">
        <v>18881</v>
      </c>
      <c r="C353" s="33" t="n">
        <f aca="false">B353-B352</f>
        <v>640</v>
      </c>
      <c r="D353" s="33" t="n">
        <v>821.5</v>
      </c>
      <c r="E353" s="33" t="n">
        <f aca="false">D353-D352</f>
        <v>15.2</v>
      </c>
      <c r="F353" s="33" t="n">
        <v>13.59</v>
      </c>
      <c r="G353" s="33" t="n">
        <f aca="false">F353-F352</f>
        <v>0.459999999999999</v>
      </c>
      <c r="H353" s="33" t="n">
        <v>173</v>
      </c>
      <c r="I353" s="33" t="n">
        <f aca="false">H353-H352</f>
        <v>-2</v>
      </c>
    </row>
    <row r="354" customFormat="false" ht="13.8" hidden="false" customHeight="false" outlineLevel="0" collapsed="false">
      <c r="A354" s="32" t="n">
        <v>46010</v>
      </c>
      <c r="B354" s="33" t="n">
        <v>18120</v>
      </c>
      <c r="C354" s="33" t="n">
        <f aca="false">B354-B353</f>
        <v>-761</v>
      </c>
      <c r="D354" s="33" t="n">
        <v>798.4</v>
      </c>
      <c r="E354" s="33" t="n">
        <f aca="false">D354-D353</f>
        <v>-23.1</v>
      </c>
      <c r="F354" s="33" t="n">
        <v>13.05</v>
      </c>
      <c r="G354" s="33" t="n">
        <f aca="false">F354-F353</f>
        <v>-0.539999999999999</v>
      </c>
      <c r="H354" s="33" t="n">
        <v>173</v>
      </c>
      <c r="I354" s="33" t="n">
        <f aca="false">H354-H353</f>
        <v>0</v>
      </c>
    </row>
    <row r="355" customFormat="false" ht="13.8" hidden="false" customHeight="false" outlineLevel="0" collapsed="false">
      <c r="A355" s="32" t="n">
        <v>46011</v>
      </c>
      <c r="B355" s="33" t="n">
        <v>6328</v>
      </c>
      <c r="C355" s="33" t="n">
        <f aca="false">B355-B354</f>
        <v>-11792</v>
      </c>
      <c r="D355" s="33" t="n">
        <v>289.8</v>
      </c>
      <c r="E355" s="33" t="n">
        <f aca="false">D355-D354</f>
        <v>-508.6</v>
      </c>
      <c r="F355" s="33" t="n">
        <v>4.56</v>
      </c>
      <c r="G355" s="33" t="n">
        <f aca="false">F355-F354</f>
        <v>-8.49</v>
      </c>
      <c r="H355" s="33" t="n">
        <v>67</v>
      </c>
      <c r="I355" s="33" t="n">
        <f aca="false">H355-H354</f>
        <v>-106</v>
      </c>
    </row>
    <row r="356" customFormat="false" ht="13.8" hidden="false" customHeight="false" outlineLevel="0" collapsed="false">
      <c r="A356" s="32" t="n">
        <v>46012</v>
      </c>
      <c r="B356" s="33" t="n">
        <v>15575</v>
      </c>
      <c r="C356" s="33" t="n">
        <f aca="false">B356-B355</f>
        <v>9247</v>
      </c>
      <c r="D356" s="33" t="n">
        <v>718.2</v>
      </c>
      <c r="E356" s="33" t="n">
        <f aca="false">D356-D355</f>
        <v>428.4</v>
      </c>
      <c r="F356" s="33" t="n">
        <v>11.21</v>
      </c>
      <c r="G356" s="33" t="n">
        <f aca="false">F356-F355</f>
        <v>6.65</v>
      </c>
      <c r="H356" s="33" t="n">
        <v>168</v>
      </c>
      <c r="I356" s="33" t="n">
        <f aca="false">H356-H355</f>
        <v>101</v>
      </c>
    </row>
    <row r="357" customFormat="false" ht="13.8" hidden="false" customHeight="false" outlineLevel="0" collapsed="false">
      <c r="A357" s="32" t="n">
        <v>46013</v>
      </c>
      <c r="B357" s="33" t="n">
        <v>19353</v>
      </c>
      <c r="C357" s="33" t="n">
        <f aca="false">B357-B356</f>
        <v>3778</v>
      </c>
      <c r="D357" s="33" t="n">
        <v>872</v>
      </c>
      <c r="E357" s="33" t="n">
        <f aca="false">D357-D356</f>
        <v>153.8</v>
      </c>
      <c r="F357" s="33" t="n">
        <v>13.93</v>
      </c>
      <c r="G357" s="33" t="n">
        <f aca="false">F357-F356</f>
        <v>2.72</v>
      </c>
      <c r="H357" s="33" t="n">
        <v>197</v>
      </c>
      <c r="I357" s="33" t="n">
        <f aca="false">H357-H356</f>
        <v>29</v>
      </c>
    </row>
    <row r="358" customFormat="false" ht="13.8" hidden="false" customHeight="false" outlineLevel="0" collapsed="false">
      <c r="A358" s="32" t="n">
        <v>46014</v>
      </c>
      <c r="B358" s="33" t="n">
        <v>16474</v>
      </c>
      <c r="C358" s="33" t="n">
        <f aca="false">B358-B357</f>
        <v>-2879</v>
      </c>
      <c r="D358" s="33" t="n">
        <v>722.8</v>
      </c>
      <c r="E358" s="33" t="n">
        <f aca="false">D358-D357</f>
        <v>-149.2</v>
      </c>
      <c r="F358" s="33" t="n">
        <v>11.86</v>
      </c>
      <c r="G358" s="33" t="n">
        <f aca="false">F358-F357</f>
        <v>-2.07</v>
      </c>
      <c r="H358" s="33" t="n">
        <v>155</v>
      </c>
      <c r="I358" s="33" t="n">
        <f aca="false">H358-H357</f>
        <v>-42</v>
      </c>
    </row>
    <row r="359" customFormat="false" ht="13.8" hidden="false" customHeight="false" outlineLevel="0" collapsed="false">
      <c r="A359" s="32" t="n">
        <v>46015</v>
      </c>
      <c r="B359" s="33" t="n">
        <v>6034</v>
      </c>
      <c r="C359" s="33" t="n">
        <f aca="false">B359-B358</f>
        <v>-10440</v>
      </c>
      <c r="D359" s="33" t="n">
        <v>272.4</v>
      </c>
      <c r="E359" s="33" t="n">
        <f aca="false">D359-D358</f>
        <v>-450.4</v>
      </c>
      <c r="F359" s="33" t="n">
        <v>4.34</v>
      </c>
      <c r="G359" s="33" t="n">
        <f aca="false">F359-F358</f>
        <v>-7.52</v>
      </c>
      <c r="H359" s="33" t="n">
        <v>62</v>
      </c>
      <c r="I359" s="33" t="n">
        <f aca="false">H359-H358</f>
        <v>-93</v>
      </c>
    </row>
    <row r="360" customFormat="false" ht="13.8" hidden="false" customHeight="false" outlineLevel="0" collapsed="false">
      <c r="A360" s="32" t="n">
        <v>46016</v>
      </c>
      <c r="B360" s="33" t="n">
        <v>1422</v>
      </c>
      <c r="C360" s="33" t="n">
        <f aca="false">B360-B359</f>
        <v>-4612</v>
      </c>
      <c r="D360" s="33" t="n">
        <v>65.9</v>
      </c>
      <c r="E360" s="33" t="n">
        <f aca="false">D360-D359</f>
        <v>-206.5</v>
      </c>
      <c r="F360" s="33" t="n">
        <v>1.02</v>
      </c>
      <c r="G360" s="33" t="n">
        <f aca="false">F360-F359</f>
        <v>-3.32</v>
      </c>
      <c r="H360" s="33" t="n">
        <v>15</v>
      </c>
      <c r="I360" s="33" t="n">
        <f aca="false">H360-H359</f>
        <v>-47</v>
      </c>
    </row>
    <row r="361" customFormat="false" ht="13.8" hidden="false" customHeight="false" outlineLevel="0" collapsed="false">
      <c r="A361" s="32" t="n">
        <v>46017</v>
      </c>
      <c r="B361" s="33" t="n">
        <v>14634</v>
      </c>
      <c r="C361" s="33" t="n">
        <f aca="false">B361-B360</f>
        <v>13212</v>
      </c>
      <c r="D361" s="33" t="n">
        <v>643.2</v>
      </c>
      <c r="E361" s="33" t="n">
        <f aca="false">D361-D360</f>
        <v>577.3</v>
      </c>
      <c r="F361" s="33" t="n">
        <v>10.54</v>
      </c>
      <c r="G361" s="33" t="n">
        <f aca="false">F361-F360</f>
        <v>9.52</v>
      </c>
      <c r="H361" s="33" t="n">
        <v>139</v>
      </c>
      <c r="I361" s="33" t="n">
        <f aca="false">H361-H360</f>
        <v>124</v>
      </c>
    </row>
    <row r="362" customFormat="false" ht="13.8" hidden="false" customHeight="false" outlineLevel="0" collapsed="false">
      <c r="A362" s="32" t="n">
        <v>46018</v>
      </c>
      <c r="B362" s="33" t="n">
        <v>11182</v>
      </c>
      <c r="C362" s="33" t="n">
        <f aca="false">B362-B361</f>
        <v>-3452</v>
      </c>
      <c r="D362" s="33" t="n">
        <v>500.2</v>
      </c>
      <c r="E362" s="33" t="n">
        <f aca="false">D362-D361</f>
        <v>-143</v>
      </c>
      <c r="F362" s="33" t="n">
        <v>8.05</v>
      </c>
      <c r="G362" s="33" t="n">
        <f aca="false">F362-F361</f>
        <v>-2.49</v>
      </c>
      <c r="H362" s="33" t="n">
        <v>111</v>
      </c>
      <c r="I362" s="33" t="n">
        <f aca="false">H362-H361</f>
        <v>-28</v>
      </c>
    </row>
    <row r="363" customFormat="false" ht="13.8" hidden="false" customHeight="false" outlineLevel="0" collapsed="false">
      <c r="A363" s="32" t="n">
        <v>46019</v>
      </c>
      <c r="B363" s="33" t="n">
        <v>7573</v>
      </c>
      <c r="C363" s="33" t="n">
        <f aca="false">B363-B362</f>
        <v>-3609</v>
      </c>
      <c r="D363" s="33" t="n">
        <v>350.5</v>
      </c>
      <c r="E363" s="33" t="n">
        <f aca="false">D363-D362</f>
        <v>-149.7</v>
      </c>
      <c r="F363" s="33" t="n">
        <v>5.45</v>
      </c>
      <c r="G363" s="33" t="n">
        <f aca="false">F363-F362</f>
        <v>-2.6</v>
      </c>
      <c r="H363" s="33" t="n">
        <v>82</v>
      </c>
      <c r="I363" s="33" t="n">
        <f aca="false">H363-H362</f>
        <v>-29</v>
      </c>
    </row>
    <row r="364" customFormat="false" ht="13.8" hidden="false" customHeight="false" outlineLevel="0" collapsed="false">
      <c r="A364" s="32" t="n">
        <v>46020</v>
      </c>
      <c r="B364" s="33" t="n">
        <v>15173</v>
      </c>
      <c r="C364" s="33" t="n">
        <f aca="false">B364-B363</f>
        <v>7600</v>
      </c>
      <c r="D364" s="33" t="n">
        <v>667.5</v>
      </c>
      <c r="E364" s="33" t="n">
        <f aca="false">D364-D363</f>
        <v>317</v>
      </c>
      <c r="F364" s="33" t="n">
        <v>10.92</v>
      </c>
      <c r="G364" s="33" t="n">
        <f aca="false">F364-F363</f>
        <v>5.47</v>
      </c>
      <c r="H364" s="33" t="n">
        <v>143</v>
      </c>
      <c r="I364" s="33" t="n">
        <f aca="false">H364-H363</f>
        <v>61</v>
      </c>
    </row>
    <row r="365" customFormat="false" ht="13.8" hidden="false" customHeight="false" outlineLevel="0" collapsed="false">
      <c r="A365" s="32" t="n">
        <v>46021</v>
      </c>
      <c r="B365" s="33" t="n">
        <v>5541</v>
      </c>
      <c r="C365" s="33" t="n">
        <f aca="false">B365-B364</f>
        <v>-9632</v>
      </c>
      <c r="D365" s="33" t="n">
        <v>253</v>
      </c>
      <c r="E365" s="33" t="n">
        <f aca="false">D365-D364</f>
        <v>-414.5</v>
      </c>
      <c r="F365" s="33" t="n">
        <v>3.99</v>
      </c>
      <c r="G365" s="33" t="n">
        <f aca="false">F365-F364</f>
        <v>-6.93</v>
      </c>
      <c r="H365" s="33" t="n">
        <v>58</v>
      </c>
      <c r="I365" s="33" t="n">
        <f aca="false">H365-H364</f>
        <v>-85</v>
      </c>
    </row>
    <row r="366" customFormat="false" ht="13.8" hidden="false" customHeight="false" outlineLevel="0" collapsed="false">
      <c r="A366" s="32" t="n">
        <v>46022</v>
      </c>
      <c r="B366" s="33" t="n">
        <v>21824</v>
      </c>
      <c r="C366" s="33" t="n">
        <f aca="false">B366-B365</f>
        <v>16283</v>
      </c>
      <c r="D366" s="33" t="n">
        <v>987.4</v>
      </c>
      <c r="E366" s="33" t="n">
        <f aca="false">D366-D365</f>
        <v>734.4</v>
      </c>
      <c r="F366" s="33" t="n">
        <v>15.71</v>
      </c>
      <c r="G366" s="33" t="n">
        <f aca="false">F366-F365</f>
        <v>11.72</v>
      </c>
      <c r="H366" s="33" t="n">
        <v>226</v>
      </c>
      <c r="I366" s="33" t="n">
        <f aca="false">H366-H365</f>
        <v>168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6"/>
  <sheetViews>
    <sheetView showFormulas="false" showGridLines="true" showRowColHeaders="true" showZeros="true" rightToLeft="false" tabSelected="true" showOutlineSymbols="true" defaultGridColor="true" view="normal" topLeftCell="A150" colorId="64" zoomScale="100" zoomScaleNormal="100" zoomScalePageLayoutView="100" workbookViewId="0">
      <selection pane="topLeft" activeCell="C187" activeCellId="0" sqref="C187"/>
    </sheetView>
  </sheetViews>
  <sheetFormatPr defaultColWidth="10.171875" defaultRowHeight="12.8" customHeight="true" zeroHeight="false" outlineLevelRow="0" outlineLevelCol="0"/>
  <sheetData>
    <row r="1" customFormat="false" ht="13.8" hidden="false" customHeight="false" outlineLevel="0" collapsed="false">
      <c r="A1" s="32" t="s">
        <v>1</v>
      </c>
      <c r="B1" s="31" t="s">
        <v>2</v>
      </c>
      <c r="C1" s="31" t="s">
        <v>3</v>
      </c>
      <c r="D1" s="31" t="s">
        <v>179</v>
      </c>
      <c r="E1" s="31" t="s">
        <v>174</v>
      </c>
      <c r="F1" s="31" t="s">
        <v>175</v>
      </c>
      <c r="G1" s="31" t="s">
        <v>176</v>
      </c>
      <c r="H1" s="31" t="s">
        <v>177</v>
      </c>
      <c r="I1" s="31" t="s">
        <v>178</v>
      </c>
    </row>
    <row r="2" customFormat="false" ht="13.8" hidden="false" customHeight="false" outlineLevel="0" collapsed="false">
      <c r="A2" s="32" t="n">
        <v>46023</v>
      </c>
      <c r="B2" s="33" t="n">
        <v>21824</v>
      </c>
      <c r="C2" s="33"/>
      <c r="D2" s="33" t="n">
        <v>987.4</v>
      </c>
      <c r="E2" s="33"/>
      <c r="F2" s="33" t="n">
        <v>15.71</v>
      </c>
      <c r="G2" s="33"/>
      <c r="H2" s="33" t="n">
        <v>226</v>
      </c>
      <c r="I2" s="33"/>
      <c r="K2" s="34" t="s">
        <v>2</v>
      </c>
      <c r="L2" s="34" t="s">
        <v>179</v>
      </c>
      <c r="M2" s="34" t="s">
        <v>175</v>
      </c>
      <c r="N2" s="34" t="s">
        <v>177</v>
      </c>
    </row>
    <row r="3" customFormat="false" ht="13.8" hidden="false" customHeight="false" outlineLevel="0" collapsed="false">
      <c r="A3" s="32" t="n">
        <v>46024</v>
      </c>
      <c r="B3" s="33" t="n">
        <v>12071</v>
      </c>
      <c r="C3" s="33" t="n">
        <f aca="false">B3-B2</f>
        <v>-9753</v>
      </c>
      <c r="D3" s="33" t="n">
        <v>589.4</v>
      </c>
      <c r="E3" s="33" t="n">
        <f aca="false">D3-D2</f>
        <v>-398</v>
      </c>
      <c r="F3" s="33" t="n">
        <v>8.69</v>
      </c>
      <c r="G3" s="33" t="n">
        <f aca="false">F3-F2</f>
        <v>-7.02</v>
      </c>
      <c r="H3" s="33" t="n">
        <v>146</v>
      </c>
      <c r="I3" s="33" t="n">
        <f aca="false">H3-H2</f>
        <v>-80</v>
      </c>
      <c r="J3" s="2" t="s">
        <v>8</v>
      </c>
      <c r="K3" s="2" t="n">
        <f aca="false">AVERAGE($B$2:$B$32)</f>
        <v>11754</v>
      </c>
      <c r="L3" s="2" t="n">
        <f aca="false">AVERAGE($D$2:$D$32)</f>
        <v>524.916129032258</v>
      </c>
      <c r="M3" s="2" t="n">
        <f aca="false">AVERAGE($F$2:$F$32)</f>
        <v>8.46322580645161</v>
      </c>
      <c r="N3" s="2" t="n">
        <f aca="false">AVERAGE($H$2:$H$32)</f>
        <v>116.064516129032</v>
      </c>
    </row>
    <row r="4" customFormat="false" ht="13.8" hidden="false" customHeight="false" outlineLevel="0" collapsed="false">
      <c r="A4" s="32" t="n">
        <v>46025</v>
      </c>
      <c r="B4" s="33" t="n">
        <v>14091</v>
      </c>
      <c r="C4" s="33" t="n">
        <f aca="false">B4-B3</f>
        <v>2020</v>
      </c>
      <c r="D4" s="33" t="n">
        <v>652.5</v>
      </c>
      <c r="E4" s="33" t="n">
        <f aca="false">D4-D3</f>
        <v>63.1</v>
      </c>
      <c r="F4" s="33" t="n">
        <v>10.15</v>
      </c>
      <c r="G4" s="33" t="n">
        <f aca="false">F4-F3</f>
        <v>1.46</v>
      </c>
      <c r="H4" s="33" t="n">
        <v>154</v>
      </c>
      <c r="I4" s="33" t="n">
        <f aca="false">H4-H3</f>
        <v>8</v>
      </c>
      <c r="J4" s="2" t="s">
        <v>10</v>
      </c>
      <c r="K4" s="2" t="n">
        <f aca="false">SQRT(VAR($B$2:$B$32)/COUNT($B$2:$B$32))</f>
        <v>672.252216813565</v>
      </c>
      <c r="L4" s="2" t="n">
        <f aca="false">SQRT(VAR($D$2:$D$32)/COUNT($D$2:$D$32))</f>
        <v>30.5359006398635</v>
      </c>
      <c r="M4" s="2" t="n">
        <f aca="false">SQRT(VAR($F$2:$F$32)/COUNT($F$2:$F$32))</f>
        <v>0.48401266025759</v>
      </c>
      <c r="N4" s="2" t="n">
        <f aca="false">SQRT(VAR($H$2:$H$32)/COUNT($H$2:$H$32))</f>
        <v>7.11728706981327</v>
      </c>
    </row>
    <row r="5" customFormat="false" ht="13.8" hidden="false" customHeight="false" outlineLevel="0" collapsed="false">
      <c r="A5" s="32" t="n">
        <v>46026</v>
      </c>
      <c r="B5" s="33" t="n">
        <v>11916</v>
      </c>
      <c r="C5" s="33" t="n">
        <f aca="false">B5-B4</f>
        <v>-2175</v>
      </c>
      <c r="D5" s="33" t="n">
        <v>540.4</v>
      </c>
      <c r="E5" s="33" t="n">
        <f aca="false">D5-D4</f>
        <v>-112.1</v>
      </c>
      <c r="F5" s="33" t="n">
        <v>8.58</v>
      </c>
      <c r="G5" s="33" t="n">
        <f aca="false">F5-F4</f>
        <v>-1.57</v>
      </c>
      <c r="H5" s="33" t="n">
        <v>124</v>
      </c>
      <c r="I5" s="33" t="n">
        <f aca="false">H5-H4</f>
        <v>-30</v>
      </c>
      <c r="J5" s="2" t="s">
        <v>14</v>
      </c>
      <c r="K5" s="2" t="e">
        <f aca="false">MODE($B$2:$B$32)</f>
        <v>#VALUE!</v>
      </c>
      <c r="L5" s="2" t="e">
        <f aca="false">MODE($D$2:$D$32)</f>
        <v>#VALUE!</v>
      </c>
      <c r="M5" s="2" t="e">
        <f aca="false">MODE($F$2:$F$32)</f>
        <v>#VALUE!</v>
      </c>
      <c r="N5" s="2" t="n">
        <f aca="false">MODE($H$2:$H$32)</f>
        <v>98</v>
      </c>
    </row>
    <row r="6" customFormat="false" ht="13.8" hidden="false" customHeight="false" outlineLevel="0" collapsed="false">
      <c r="A6" s="32" t="n">
        <v>46027</v>
      </c>
      <c r="B6" s="33" t="n">
        <v>17799</v>
      </c>
      <c r="C6" s="33" t="n">
        <f aca="false">B6-B5</f>
        <v>5883</v>
      </c>
      <c r="D6" s="33" t="n">
        <v>788.6</v>
      </c>
      <c r="E6" s="33" t="n">
        <f aca="false">D6-D5</f>
        <v>248.2</v>
      </c>
      <c r="F6" s="33" t="n">
        <v>12.82</v>
      </c>
      <c r="G6" s="33" t="n">
        <f aca="false">F6-F5</f>
        <v>4.24</v>
      </c>
      <c r="H6" s="33" t="n">
        <v>174</v>
      </c>
      <c r="I6" s="33" t="n">
        <f aca="false">H6-H5</f>
        <v>50</v>
      </c>
      <c r="J6" s="2" t="s">
        <v>12</v>
      </c>
      <c r="K6" s="2" t="n">
        <f aca="false">MEDIAN($B$2:$B$32)</f>
        <v>11225</v>
      </c>
      <c r="L6" s="2" t="n">
        <f aca="false">MEDIAN($D$2:$D$32)</f>
        <v>495.4</v>
      </c>
      <c r="M6" s="2" t="n">
        <f aca="false">MEDIAN($F$2:$F$32)</f>
        <v>8.08</v>
      </c>
      <c r="N6" s="2" t="n">
        <f aca="false">MEDIAN($H$2:$H$32)</f>
        <v>105</v>
      </c>
    </row>
    <row r="7" customFormat="false" ht="13.8" hidden="false" customHeight="false" outlineLevel="0" collapsed="false">
      <c r="A7" s="32" t="n">
        <v>46028</v>
      </c>
      <c r="B7" s="33" t="n">
        <v>10747</v>
      </c>
      <c r="C7" s="33" t="n">
        <f aca="false">B7-B6</f>
        <v>-7052</v>
      </c>
      <c r="D7" s="33" t="n">
        <v>467.5</v>
      </c>
      <c r="E7" s="33" t="n">
        <f aca="false">D7-D6</f>
        <v>-321.1</v>
      </c>
      <c r="F7" s="33" t="n">
        <v>7.74</v>
      </c>
      <c r="G7" s="33" t="n">
        <f aca="false">F7-F6</f>
        <v>-5.08</v>
      </c>
      <c r="H7" s="33" t="n">
        <v>98</v>
      </c>
      <c r="I7" s="33" t="n">
        <f aca="false">H7-H6</f>
        <v>-76</v>
      </c>
      <c r="J7" s="2" t="s">
        <v>195</v>
      </c>
      <c r="K7" s="2" t="n">
        <f aca="false">QUARTILE($B$2:$B$32, 1)</f>
        <v>9351</v>
      </c>
      <c r="L7" s="2" t="n">
        <f aca="false">QUARTILE($D$2:$D$32, 1)</f>
        <v>416.1</v>
      </c>
      <c r="M7" s="2" t="n">
        <f aca="false">QUARTILE($F$2:$F$32, 1)</f>
        <v>6.73</v>
      </c>
      <c r="N7" s="2" t="n">
        <f aca="false">QUARTILE($H$2:$H$32, 1)</f>
        <v>91.5</v>
      </c>
    </row>
    <row r="8" customFormat="false" ht="13.8" hidden="false" customHeight="false" outlineLevel="0" collapsed="false">
      <c r="A8" s="32" t="n">
        <v>46029</v>
      </c>
      <c r="B8" s="33" t="n">
        <v>9518</v>
      </c>
      <c r="C8" s="33" t="n">
        <f aca="false">B8-B7</f>
        <v>-1229</v>
      </c>
      <c r="D8" s="33" t="n">
        <v>417.1</v>
      </c>
      <c r="E8" s="33" t="n">
        <f aca="false">D8-D7</f>
        <v>-50.4</v>
      </c>
      <c r="F8" s="33" t="n">
        <v>6.85</v>
      </c>
      <c r="G8" s="33" t="n">
        <f aca="false">F8-F7</f>
        <v>-0.890000000000001</v>
      </c>
      <c r="H8" s="33" t="n">
        <v>89</v>
      </c>
      <c r="I8" s="33" t="n">
        <f aca="false">H8-H7</f>
        <v>-9</v>
      </c>
      <c r="J8" s="2" t="s">
        <v>181</v>
      </c>
      <c r="K8" s="2" t="n">
        <f aca="false">QUARTILE($B$2:$B$32, 3)</f>
        <v>12513</v>
      </c>
      <c r="L8" s="2" t="n">
        <f aca="false">QUARTILE($D$2:$D$32, 3)</f>
        <v>580.35</v>
      </c>
      <c r="M8" s="2" t="n">
        <f aca="false">QUARTILE($F$2:$F$32, 3)</f>
        <v>9.01</v>
      </c>
      <c r="N8" s="2" t="n">
        <f aca="false">QUARTILE($H$2:$H$32, 3)</f>
        <v>130</v>
      </c>
    </row>
    <row r="9" customFormat="false" ht="13.8" hidden="false" customHeight="false" outlineLevel="0" collapsed="false">
      <c r="A9" s="32" t="n">
        <v>46030</v>
      </c>
      <c r="B9" s="33" t="n">
        <v>10388</v>
      </c>
      <c r="C9" s="33" t="n">
        <f aca="false">B9-B8</f>
        <v>870</v>
      </c>
      <c r="D9" s="33" t="n">
        <v>455.1</v>
      </c>
      <c r="E9" s="33" t="n">
        <f aca="false">D9-D8</f>
        <v>38</v>
      </c>
      <c r="F9" s="33" t="n">
        <v>7.48</v>
      </c>
      <c r="G9" s="33" t="n">
        <f aca="false">F9-F8</f>
        <v>0.630000000000001</v>
      </c>
      <c r="H9" s="33" t="n">
        <v>95</v>
      </c>
      <c r="I9" s="33" t="n">
        <f aca="false">H9-H8</f>
        <v>6</v>
      </c>
      <c r="J9" s="2" t="s">
        <v>182</v>
      </c>
      <c r="K9" s="2" t="n">
        <f aca="false">VAR($B$2:$B$32)</f>
        <v>14009614.3333333</v>
      </c>
      <c r="L9" s="2" t="n">
        <f aca="false">VAR($D$2:$D$32)</f>
        <v>28905.6780645161</v>
      </c>
      <c r="M9" s="2" t="n">
        <f aca="false">VAR($F$2:$F$32)</f>
        <v>7.2623159139785</v>
      </c>
      <c r="N9" s="2" t="n">
        <f aca="false">VAR($H$2:$H$32)</f>
        <v>1570.32903225806</v>
      </c>
    </row>
    <row r="10" customFormat="false" ht="13.8" hidden="false" customHeight="false" outlineLevel="0" collapsed="false">
      <c r="A10" s="32" t="n">
        <v>46031</v>
      </c>
      <c r="B10" s="33" t="n">
        <v>9591</v>
      </c>
      <c r="C10" s="33" t="n">
        <f aca="false">B10-B9</f>
        <v>-797</v>
      </c>
      <c r="D10" s="33" t="n">
        <v>425.1</v>
      </c>
      <c r="E10" s="33" t="n">
        <f aca="false">D10-D9</f>
        <v>-30</v>
      </c>
      <c r="F10" s="33" t="n">
        <v>6.91</v>
      </c>
      <c r="G10" s="33" t="n">
        <f aca="false">F10-F9</f>
        <v>-0.57</v>
      </c>
      <c r="H10" s="33" t="n">
        <v>93</v>
      </c>
      <c r="I10" s="33" t="n">
        <f aca="false">H10-H9</f>
        <v>-2</v>
      </c>
      <c r="J10" s="2" t="s">
        <v>16</v>
      </c>
      <c r="K10" s="2" t="n">
        <f aca="false">STDEV($B$2:$B$32)</f>
        <v>3742.94193560805</v>
      </c>
      <c r="L10" s="2" t="n">
        <f aca="false">STDEV($D$2:$D$32)</f>
        <v>170.016699369551</v>
      </c>
      <c r="M10" s="2" t="n">
        <f aca="false">STDEV($F$2:$F$32)</f>
        <v>2.69486844094076</v>
      </c>
      <c r="N10" s="2" t="n">
        <f aca="false">STDEV($H$2:$H$32)</f>
        <v>39.6273773073372</v>
      </c>
    </row>
    <row r="11" customFormat="false" ht="13.8" hidden="false" customHeight="false" outlineLevel="0" collapsed="false">
      <c r="A11" s="32" t="n">
        <v>46032</v>
      </c>
      <c r="B11" s="33" t="n">
        <v>7714</v>
      </c>
      <c r="C11" s="33" t="n">
        <f aca="false">B11-B10</f>
        <v>-1877</v>
      </c>
      <c r="D11" s="33" t="n">
        <v>350.5</v>
      </c>
      <c r="E11" s="33" t="n">
        <f aca="false">D11-D10</f>
        <v>-74.6</v>
      </c>
      <c r="F11" s="33" t="n">
        <v>5.55</v>
      </c>
      <c r="G11" s="33" t="n">
        <f aca="false">F11-F10</f>
        <v>-1.36</v>
      </c>
      <c r="H11" s="33" t="n">
        <v>78</v>
      </c>
      <c r="I11" s="33" t="n">
        <f aca="false">H11-H10</f>
        <v>-15</v>
      </c>
      <c r="J11" s="2" t="s">
        <v>20</v>
      </c>
      <c r="K11" s="2" t="n">
        <f aca="false">KURT($B$2:$B$32)</f>
        <v>0.813111000749939</v>
      </c>
      <c r="L11" s="2" t="n">
        <f aca="false">KURT($D$2:$D$32)</f>
        <v>0.861902877124205</v>
      </c>
      <c r="M11" s="2" t="n">
        <f aca="false">KURT($F$2:$F$32)</f>
        <v>0.810191008740665</v>
      </c>
      <c r="N11" s="2" t="n">
        <f aca="false">KURT($H$2:$H$32)</f>
        <v>0.910543190839687</v>
      </c>
    </row>
    <row r="12" customFormat="false" ht="13.8" hidden="false" customHeight="false" outlineLevel="0" collapsed="false">
      <c r="A12" s="32" t="n">
        <v>46033</v>
      </c>
      <c r="B12" s="33" t="n">
        <v>12855</v>
      </c>
      <c r="C12" s="33" t="n">
        <f aca="false">B12-B11</f>
        <v>5141</v>
      </c>
      <c r="D12" s="33" t="n">
        <v>571.3</v>
      </c>
      <c r="E12" s="33" t="n">
        <f aca="false">D12-D11</f>
        <v>220.8</v>
      </c>
      <c r="F12" s="33" t="n">
        <v>9.26</v>
      </c>
      <c r="G12" s="33" t="n">
        <f aca="false">F12-F11</f>
        <v>3.71</v>
      </c>
      <c r="H12" s="33" t="n">
        <v>126</v>
      </c>
      <c r="I12" s="33" t="n">
        <f aca="false">H12-H11</f>
        <v>48</v>
      </c>
      <c r="J12" s="2" t="s">
        <v>22</v>
      </c>
      <c r="K12" s="2" t="n">
        <f aca="false">SKEW($B$2:$B$32)</f>
        <v>1.06128252567628</v>
      </c>
      <c r="L12" s="2" t="n">
        <f aca="false">SKEW($D$2:$D$32)</f>
        <v>1.09031441095949</v>
      </c>
      <c r="M12" s="2" t="n">
        <f aca="false">SKEW($F$2:$F$32)</f>
        <v>1.06101640065967</v>
      </c>
      <c r="N12" s="2" t="n">
        <f aca="false">SKEW($H$2:$H$32)</f>
        <v>1.1570400602949</v>
      </c>
    </row>
    <row r="13" customFormat="false" ht="13.8" hidden="false" customHeight="false" outlineLevel="0" collapsed="false">
      <c r="A13" s="32" t="n">
        <v>46034</v>
      </c>
      <c r="B13" s="33" t="n">
        <v>9785</v>
      </c>
      <c r="C13" s="33" t="n">
        <f aca="false">B13-B12</f>
        <v>-3070</v>
      </c>
      <c r="D13" s="33" t="n">
        <v>429.3</v>
      </c>
      <c r="E13" s="33" t="n">
        <f aca="false">D13-D12</f>
        <v>-142</v>
      </c>
      <c r="F13" s="33" t="n">
        <v>7.05</v>
      </c>
      <c r="G13" s="33" t="n">
        <f aca="false">F13-F12</f>
        <v>-2.21</v>
      </c>
      <c r="H13" s="33" t="n">
        <v>92</v>
      </c>
      <c r="I13" s="33" t="n">
        <f aca="false">H13-H12</f>
        <v>-34</v>
      </c>
      <c r="J13" s="2" t="s">
        <v>24</v>
      </c>
      <c r="K13" s="2" t="n">
        <f aca="false">MAX($B$2:$B$32)-MIN($B$2:$B$32)</f>
        <v>15787</v>
      </c>
      <c r="L13" s="2" t="n">
        <f aca="false">MAX($D$2:$D$32)-MIN($D$2:$D$32)</f>
        <v>720.6</v>
      </c>
      <c r="M13" s="2" t="n">
        <f aca="false">MAX($F$2:$F$32)-MIN($F$2:$F$32)</f>
        <v>11.36</v>
      </c>
      <c r="N13" s="2" t="n">
        <f aca="false">MAX($H$2:$H$32)-MIN($H$2:$H$32)</f>
        <v>168</v>
      </c>
    </row>
    <row r="14" customFormat="false" ht="13.8" hidden="false" customHeight="false" outlineLevel="0" collapsed="false">
      <c r="A14" s="32" t="n">
        <v>46035</v>
      </c>
      <c r="B14" s="33" t="n">
        <v>9184</v>
      </c>
      <c r="C14" s="33" t="n">
        <f aca="false">B14-B13</f>
        <v>-601</v>
      </c>
      <c r="D14" s="33" t="n">
        <v>415.1</v>
      </c>
      <c r="E14" s="33" t="n">
        <f aca="false">D14-D13</f>
        <v>-14.2</v>
      </c>
      <c r="F14" s="33" t="n">
        <v>6.61</v>
      </c>
      <c r="G14" s="33" t="n">
        <f aca="false">F14-F13</f>
        <v>-0.44</v>
      </c>
      <c r="H14" s="33" t="n">
        <v>94</v>
      </c>
      <c r="I14" s="33" t="n">
        <f aca="false">H14-H13</f>
        <v>2</v>
      </c>
      <c r="J14" s="2" t="s">
        <v>26</v>
      </c>
      <c r="K14" s="2" t="n">
        <f aca="false">MIN($B$2:$B$32)</f>
        <v>6037</v>
      </c>
      <c r="L14" s="2" t="n">
        <f aca="false">MIN($D$2:$D$32)</f>
        <v>266.8</v>
      </c>
      <c r="M14" s="2" t="n">
        <f aca="false">MIN($F$2:$F$32)</f>
        <v>4.35</v>
      </c>
      <c r="N14" s="2" t="n">
        <f aca="false">MIN($H$2:$H$32)</f>
        <v>58</v>
      </c>
    </row>
    <row r="15" customFormat="false" ht="13.8" hidden="false" customHeight="false" outlineLevel="0" collapsed="false">
      <c r="A15" s="32" t="n">
        <v>46036</v>
      </c>
      <c r="B15" s="33" t="n">
        <v>16364</v>
      </c>
      <c r="C15" s="33" t="n">
        <f aca="false">B15-B14</f>
        <v>7180</v>
      </c>
      <c r="D15" s="33" t="n">
        <v>732.4</v>
      </c>
      <c r="E15" s="33" t="n">
        <f aca="false">D15-D14</f>
        <v>317.3</v>
      </c>
      <c r="F15" s="33" t="n">
        <v>11.78</v>
      </c>
      <c r="G15" s="33" t="n">
        <f aca="false">F15-F14</f>
        <v>5.17</v>
      </c>
      <c r="H15" s="33" t="n">
        <v>163</v>
      </c>
      <c r="I15" s="33" t="n">
        <f aca="false">H15-H14</f>
        <v>69</v>
      </c>
      <c r="J15" s="2" t="s">
        <v>28</v>
      </c>
      <c r="K15" s="2" t="n">
        <f aca="false">MAX($B$2:$B$32)</f>
        <v>21824</v>
      </c>
      <c r="L15" s="2" t="n">
        <f aca="false">MAX($D$2:$D$32)</f>
        <v>987.4</v>
      </c>
      <c r="M15" s="2" t="n">
        <f aca="false">MAX($F$2:$F$32)</f>
        <v>15.71</v>
      </c>
      <c r="N15" s="2" t="n">
        <f aca="false">MAX($H$2:$H$32)</f>
        <v>226</v>
      </c>
    </row>
    <row r="16" customFormat="false" ht="13.8" hidden="false" customHeight="false" outlineLevel="0" collapsed="false">
      <c r="A16" s="32" t="n">
        <v>46037</v>
      </c>
      <c r="B16" s="33" t="n">
        <v>10732</v>
      </c>
      <c r="C16" s="33" t="n">
        <f aca="false">B16-B15</f>
        <v>-5632</v>
      </c>
      <c r="D16" s="33" t="n">
        <v>468.5</v>
      </c>
      <c r="E16" s="33" t="n">
        <f aca="false">D16-D15</f>
        <v>-263.9</v>
      </c>
      <c r="F16" s="33" t="n">
        <v>7.73</v>
      </c>
      <c r="G16" s="33" t="n">
        <f aca="false">F16-F15</f>
        <v>-4.05</v>
      </c>
      <c r="H16" s="33" t="n">
        <v>98</v>
      </c>
      <c r="I16" s="33" t="n">
        <f aca="false">H16-H15</f>
        <v>-65</v>
      </c>
      <c r="J16" s="2" t="s">
        <v>30</v>
      </c>
      <c r="K16" s="2" t="n">
        <f aca="false">SUM($B$2:$B$32)</f>
        <v>364374</v>
      </c>
      <c r="L16" s="2" t="n">
        <f aca="false">SUM($D$2:$D$32)</f>
        <v>16272.4</v>
      </c>
      <c r="M16" s="2" t="n">
        <f aca="false">SUM($F$2:$F$32)</f>
        <v>262.36</v>
      </c>
      <c r="N16" s="2" t="n">
        <f aca="false">SUM($H$2:$H$32)</f>
        <v>3598</v>
      </c>
    </row>
    <row r="17" customFormat="false" ht="13.8" hidden="false" customHeight="false" outlineLevel="0" collapsed="false">
      <c r="A17" s="32" t="n">
        <v>46038</v>
      </c>
      <c r="B17" s="33" t="n">
        <v>14667</v>
      </c>
      <c r="C17" s="33" t="n">
        <f aca="false">B17-B16</f>
        <v>3935</v>
      </c>
      <c r="D17" s="33" t="n">
        <v>637.3</v>
      </c>
      <c r="E17" s="33" t="n">
        <f aca="false">D17-D16</f>
        <v>168.8</v>
      </c>
      <c r="F17" s="33" t="n">
        <v>10.56</v>
      </c>
      <c r="G17" s="33" t="n">
        <f aca="false">F17-F16</f>
        <v>2.83</v>
      </c>
      <c r="H17" s="33" t="n">
        <v>134</v>
      </c>
      <c r="I17" s="33" t="n">
        <f aca="false">H17-H16</f>
        <v>36</v>
      </c>
      <c r="J17" s="2" t="s">
        <v>32</v>
      </c>
      <c r="K17" s="2" t="n">
        <f aca="false">COUNT($B$2:$B$32)</f>
        <v>31</v>
      </c>
      <c r="L17" s="2" t="n">
        <f aca="false">COUNT($D$2:$D$32)</f>
        <v>31</v>
      </c>
      <c r="M17" s="2" t="n">
        <f aca="false">COUNT($F$2:$F$32)</f>
        <v>31</v>
      </c>
      <c r="N17" s="2" t="n">
        <f aca="false">COUNT($H$2:$H$32)</f>
        <v>31</v>
      </c>
    </row>
    <row r="18" customFormat="false" ht="13.8" hidden="false" customHeight="false" outlineLevel="0" collapsed="false">
      <c r="A18" s="32" t="n">
        <v>46039</v>
      </c>
      <c r="B18" s="33" t="n">
        <v>18889</v>
      </c>
      <c r="C18" s="33" t="n">
        <f aca="false">B18-B17</f>
        <v>4222</v>
      </c>
      <c r="D18" s="33" t="n">
        <v>856.8</v>
      </c>
      <c r="E18" s="33" t="n">
        <f aca="false">D18-D17</f>
        <v>219.5</v>
      </c>
      <c r="F18" s="33" t="n">
        <v>13.6</v>
      </c>
      <c r="G18" s="33" t="n">
        <f aca="false">F18-F17</f>
        <v>3.04</v>
      </c>
      <c r="H18" s="33" t="n">
        <v>194</v>
      </c>
      <c r="I18" s="33" t="n">
        <f aca="false">H18-H17</f>
        <v>60</v>
      </c>
    </row>
    <row r="19" customFormat="false" ht="13.8" hidden="false" customHeight="false" outlineLevel="0" collapsed="false">
      <c r="A19" s="32" t="n">
        <v>46040</v>
      </c>
      <c r="B19" s="33" t="n">
        <v>8030</v>
      </c>
      <c r="C19" s="33" t="n">
        <f aca="false">B19-B18</f>
        <v>-10859</v>
      </c>
      <c r="D19" s="33" t="n">
        <v>365.7</v>
      </c>
      <c r="E19" s="33" t="n">
        <f aca="false">D19-D18</f>
        <v>-491.1</v>
      </c>
      <c r="F19" s="33" t="n">
        <v>5.78</v>
      </c>
      <c r="G19" s="33" t="n">
        <f aca="false">F19-F18</f>
        <v>-7.82</v>
      </c>
      <c r="H19" s="33" t="n">
        <v>84</v>
      </c>
      <c r="I19" s="33" t="n">
        <f aca="false">H19-H18</f>
        <v>-110</v>
      </c>
    </row>
    <row r="20" customFormat="false" ht="13.8" hidden="false" customHeight="false" outlineLevel="0" collapsed="false">
      <c r="A20" s="32" t="n">
        <v>46041</v>
      </c>
      <c r="B20" s="33" t="n">
        <v>11471</v>
      </c>
      <c r="C20" s="33" t="n">
        <f aca="false">B20-B19</f>
        <v>3441</v>
      </c>
      <c r="D20" s="33" t="n">
        <v>505.8</v>
      </c>
      <c r="E20" s="33" t="n">
        <f aca="false">D20-D19</f>
        <v>140.1</v>
      </c>
      <c r="F20" s="33" t="n">
        <v>8.26</v>
      </c>
      <c r="G20" s="33" t="n">
        <f aca="false">F20-F19</f>
        <v>2.48</v>
      </c>
      <c r="H20" s="33" t="n">
        <v>109</v>
      </c>
      <c r="I20" s="33" t="n">
        <f aca="false">H20-H19</f>
        <v>25</v>
      </c>
    </row>
    <row r="21" customFormat="false" ht="13.8" hidden="false" customHeight="false" outlineLevel="0" collapsed="false">
      <c r="A21" s="32" t="n">
        <v>46042</v>
      </c>
      <c r="B21" s="33" t="n">
        <v>7424</v>
      </c>
      <c r="C21" s="33" t="n">
        <f aca="false">B21-B20</f>
        <v>-4047</v>
      </c>
      <c r="D21" s="33" t="n">
        <v>326</v>
      </c>
      <c r="E21" s="33" t="n">
        <f aca="false">D21-D20</f>
        <v>-179.8</v>
      </c>
      <c r="F21" s="33" t="n">
        <v>5.35</v>
      </c>
      <c r="G21" s="33" t="n">
        <f aca="false">F21-F20</f>
        <v>-2.91</v>
      </c>
      <c r="H21" s="33" t="n">
        <v>70</v>
      </c>
      <c r="I21" s="33" t="n">
        <f aca="false">H21-H20</f>
        <v>-39</v>
      </c>
    </row>
    <row r="22" customFormat="false" ht="13.8" hidden="false" customHeight="false" outlineLevel="0" collapsed="false">
      <c r="A22" s="32" t="n">
        <v>46043</v>
      </c>
      <c r="B22" s="33" t="n">
        <v>8220</v>
      </c>
      <c r="C22" s="33" t="n">
        <f aca="false">B22-B21</f>
        <v>796</v>
      </c>
      <c r="D22" s="33" t="n">
        <v>367.3</v>
      </c>
      <c r="E22" s="33" t="n">
        <f aca="false">D22-D21</f>
        <v>41.3</v>
      </c>
      <c r="F22" s="33" t="n">
        <v>5.92</v>
      </c>
      <c r="G22" s="33" t="n">
        <f aca="false">F22-F21</f>
        <v>0.57</v>
      </c>
      <c r="H22" s="33" t="n">
        <v>82</v>
      </c>
      <c r="I22" s="33" t="n">
        <f aca="false">H22-H21</f>
        <v>12</v>
      </c>
    </row>
    <row r="23" customFormat="false" ht="13.8" hidden="false" customHeight="false" outlineLevel="0" collapsed="false">
      <c r="A23" s="32" t="n">
        <v>46044</v>
      </c>
      <c r="B23" s="33" t="n">
        <v>12171</v>
      </c>
      <c r="C23" s="33" t="n">
        <f aca="false">B23-B22</f>
        <v>3951</v>
      </c>
      <c r="D23" s="33" t="n">
        <v>529</v>
      </c>
      <c r="E23" s="33" t="n">
        <f aca="false">D23-D22</f>
        <v>161.7</v>
      </c>
      <c r="F23" s="33" t="n">
        <v>8.76</v>
      </c>
      <c r="G23" s="33" t="n">
        <f aca="false">F23-F22</f>
        <v>2.84</v>
      </c>
      <c r="H23" s="33" t="n">
        <v>110</v>
      </c>
      <c r="I23" s="33" t="n">
        <f aca="false">H23-H22</f>
        <v>28</v>
      </c>
    </row>
    <row r="24" customFormat="false" ht="13.8" hidden="false" customHeight="false" outlineLevel="0" collapsed="false">
      <c r="A24" s="32" t="n">
        <v>46045</v>
      </c>
      <c r="B24" s="33" t="n">
        <v>11383</v>
      </c>
      <c r="C24" s="33" t="n">
        <f aca="false">B24-B23</f>
        <v>-788</v>
      </c>
      <c r="D24" s="33" t="n">
        <v>495.8</v>
      </c>
      <c r="E24" s="33" t="n">
        <f aca="false">D24-D23</f>
        <v>-33.2</v>
      </c>
      <c r="F24" s="33" t="n">
        <v>8.2</v>
      </c>
      <c r="G24" s="33" t="n">
        <f aca="false">F24-F23</f>
        <v>-0.560000000000001</v>
      </c>
      <c r="H24" s="33" t="n">
        <v>105</v>
      </c>
      <c r="I24" s="33" t="n">
        <f aca="false">H24-H23</f>
        <v>-5</v>
      </c>
    </row>
    <row r="25" customFormat="false" ht="13.8" hidden="false" customHeight="false" outlineLevel="0" collapsed="false">
      <c r="A25" s="32" t="n">
        <v>46046</v>
      </c>
      <c r="B25" s="33" t="n">
        <v>6037</v>
      </c>
      <c r="C25" s="33" t="n">
        <f aca="false">B25-B24</f>
        <v>-5346</v>
      </c>
      <c r="D25" s="33" t="n">
        <v>266.8</v>
      </c>
      <c r="E25" s="33" t="n">
        <f aca="false">D25-D24</f>
        <v>-229</v>
      </c>
      <c r="F25" s="33" t="n">
        <v>4.35</v>
      </c>
      <c r="G25" s="33" t="n">
        <f aca="false">F25-F24</f>
        <v>-3.85</v>
      </c>
      <c r="H25" s="33" t="n">
        <v>58</v>
      </c>
      <c r="I25" s="33" t="n">
        <f aca="false">H25-H24</f>
        <v>-47</v>
      </c>
    </row>
    <row r="26" customFormat="false" ht="13.8" hidden="false" customHeight="false" outlineLevel="0" collapsed="false">
      <c r="A26" s="32" t="n">
        <v>46047</v>
      </c>
      <c r="B26" s="33" t="n">
        <v>18997</v>
      </c>
      <c r="C26" s="33" t="n">
        <f aca="false">B26-B25</f>
        <v>12960</v>
      </c>
      <c r="D26" s="33" t="n">
        <v>849.6</v>
      </c>
      <c r="E26" s="33" t="n">
        <f aca="false">D26-D25</f>
        <v>582.8</v>
      </c>
      <c r="F26" s="33" t="n">
        <v>13.68</v>
      </c>
      <c r="G26" s="33" t="n">
        <f aca="false">F26-F25</f>
        <v>9.33</v>
      </c>
      <c r="H26" s="33" t="n">
        <v>190</v>
      </c>
      <c r="I26" s="33" t="n">
        <f aca="false">H26-H25</f>
        <v>132</v>
      </c>
    </row>
    <row r="27" customFormat="false" ht="13.8" hidden="false" customHeight="false" outlineLevel="0" collapsed="false">
      <c r="A27" s="32" t="n">
        <v>46048</v>
      </c>
      <c r="B27" s="33" t="n">
        <v>7904</v>
      </c>
      <c r="C27" s="33" t="n">
        <f aca="false">B27-B26</f>
        <v>-11093</v>
      </c>
      <c r="D27" s="33" t="n">
        <v>353.9</v>
      </c>
      <c r="E27" s="33" t="n">
        <f aca="false">D27-D26</f>
        <v>-495.7</v>
      </c>
      <c r="F27" s="33" t="n">
        <v>5.69</v>
      </c>
      <c r="G27" s="33" t="n">
        <f aca="false">F27-F26</f>
        <v>-7.99</v>
      </c>
      <c r="H27" s="33" t="n">
        <v>79</v>
      </c>
      <c r="I27" s="33" t="n">
        <f aca="false">H27-H26</f>
        <v>-111</v>
      </c>
    </row>
    <row r="28" customFormat="false" ht="13.8" hidden="false" customHeight="false" outlineLevel="0" collapsed="false">
      <c r="A28" s="32" t="n">
        <v>46049</v>
      </c>
      <c r="B28" s="33" t="n">
        <v>11575</v>
      </c>
      <c r="C28" s="33" t="n">
        <f aca="false">B28-B27</f>
        <v>3671</v>
      </c>
      <c r="D28" s="33" t="n">
        <v>520.2</v>
      </c>
      <c r="E28" s="33" t="n">
        <f aca="false">D28-D27</f>
        <v>166.3</v>
      </c>
      <c r="F28" s="33" t="n">
        <v>8.33</v>
      </c>
      <c r="G28" s="33" t="n">
        <f aca="false">F28-F27</f>
        <v>2.64</v>
      </c>
      <c r="H28" s="33" t="n">
        <v>116</v>
      </c>
      <c r="I28" s="33" t="n">
        <f aca="false">H28-H27</f>
        <v>37</v>
      </c>
    </row>
    <row r="29" customFormat="false" ht="13.8" hidden="false" customHeight="false" outlineLevel="0" collapsed="false">
      <c r="A29" s="32" t="n">
        <v>46050</v>
      </c>
      <c r="B29" s="33" t="n">
        <v>11225</v>
      </c>
      <c r="C29" s="33" t="n">
        <f aca="false">B29-B28</f>
        <v>-350</v>
      </c>
      <c r="D29" s="33" t="n">
        <v>495.4</v>
      </c>
      <c r="E29" s="33" t="n">
        <f aca="false">D29-D28</f>
        <v>-24.8000000000001</v>
      </c>
      <c r="F29" s="33" t="n">
        <v>8.08</v>
      </c>
      <c r="G29" s="33" t="n">
        <f aca="false">F29-F28</f>
        <v>-0.25</v>
      </c>
      <c r="H29" s="33" t="n">
        <v>106</v>
      </c>
      <c r="I29" s="33" t="n">
        <f aca="false">H29-H28</f>
        <v>-10</v>
      </c>
    </row>
    <row r="30" customFormat="false" ht="13.8" hidden="false" customHeight="false" outlineLevel="0" collapsed="false">
      <c r="A30" s="32" t="n">
        <v>46051</v>
      </c>
      <c r="B30" s="33" t="n">
        <v>10863</v>
      </c>
      <c r="C30" s="33" t="n">
        <f aca="false">B30-B29</f>
        <v>-362</v>
      </c>
      <c r="D30" s="33" t="n">
        <v>475.1</v>
      </c>
      <c r="E30" s="33" t="n">
        <f aca="false">D30-D29</f>
        <v>-20.3</v>
      </c>
      <c r="F30" s="33" t="n">
        <v>7.82</v>
      </c>
      <c r="G30" s="33" t="n">
        <f aca="false">F30-F29</f>
        <v>-0.26</v>
      </c>
      <c r="H30" s="33" t="n">
        <v>101</v>
      </c>
      <c r="I30" s="33" t="n">
        <f aca="false">H30-H29</f>
        <v>-5</v>
      </c>
    </row>
    <row r="31" customFormat="false" ht="13.8" hidden="false" customHeight="false" outlineLevel="0" collapsed="false">
      <c r="A31" s="32" t="n">
        <v>46052</v>
      </c>
      <c r="B31" s="33" t="n">
        <v>8950</v>
      </c>
      <c r="C31" s="33" t="n">
        <f aca="false">B31-B30</f>
        <v>-1913</v>
      </c>
      <c r="D31" s="33" t="n">
        <v>403.3</v>
      </c>
      <c r="E31" s="33" t="n">
        <f aca="false">D31-D30</f>
        <v>-71.8</v>
      </c>
      <c r="F31" s="33" t="n">
        <v>6.44</v>
      </c>
      <c r="G31" s="33" t="n">
        <f aca="false">F31-F30</f>
        <v>-1.38</v>
      </c>
      <c r="H31" s="33" t="n">
        <v>91</v>
      </c>
      <c r="I31" s="33" t="n">
        <f aca="false">H31-H30</f>
        <v>-10</v>
      </c>
    </row>
    <row r="32" customFormat="false" ht="13.8" hidden="false" customHeight="false" outlineLevel="0" collapsed="false">
      <c r="A32" s="32" t="n">
        <v>46053</v>
      </c>
      <c r="B32" s="33" t="n">
        <v>11989</v>
      </c>
      <c r="C32" s="33" t="n">
        <f aca="false">B32-B31</f>
        <v>3039</v>
      </c>
      <c r="D32" s="33" t="n">
        <v>534.2</v>
      </c>
      <c r="E32" s="33" t="n">
        <f aca="false">D32-D31</f>
        <v>130.9</v>
      </c>
      <c r="F32" s="33" t="n">
        <v>8.63</v>
      </c>
      <c r="G32" s="33" t="n">
        <f aca="false">F32-F31</f>
        <v>2.19</v>
      </c>
      <c r="H32" s="33" t="n">
        <v>119</v>
      </c>
      <c r="I32" s="33" t="n">
        <f aca="false">H32-H31</f>
        <v>28</v>
      </c>
    </row>
    <row r="33" customFormat="false" ht="13.8" hidden="false" customHeight="false" outlineLevel="0" collapsed="false">
      <c r="A33" s="32" t="n">
        <v>46054</v>
      </c>
      <c r="B33" s="33" t="n">
        <v>18200</v>
      </c>
      <c r="C33" s="33" t="n">
        <f aca="false">B33-B32</f>
        <v>6211</v>
      </c>
      <c r="D33" s="33" t="n">
        <v>815.6</v>
      </c>
      <c r="E33" s="33" t="n">
        <f aca="false">D33-D32</f>
        <v>281.4</v>
      </c>
      <c r="F33" s="33" t="n">
        <v>13.1</v>
      </c>
      <c r="G33" s="33" t="n">
        <f aca="false">F33-F32</f>
        <v>4.47</v>
      </c>
      <c r="H33" s="33" t="n">
        <v>182</v>
      </c>
      <c r="I33" s="33" t="n">
        <f aca="false">H33-H32</f>
        <v>63</v>
      </c>
      <c r="K33" s="34" t="s">
        <v>2</v>
      </c>
      <c r="L33" s="34" t="s">
        <v>179</v>
      </c>
      <c r="M33" s="34" t="s">
        <v>175</v>
      </c>
      <c r="N33" s="34" t="s">
        <v>177</v>
      </c>
    </row>
    <row r="34" customFormat="false" ht="13.8" hidden="false" customHeight="false" outlineLevel="0" collapsed="false">
      <c r="A34" s="32" t="n">
        <v>46055</v>
      </c>
      <c r="B34" s="33" t="n">
        <v>9927</v>
      </c>
      <c r="C34" s="33" t="n">
        <f aca="false">B34-B33</f>
        <v>-8273</v>
      </c>
      <c r="D34" s="33" t="n">
        <v>433.8</v>
      </c>
      <c r="E34" s="33" t="n">
        <f aca="false">D34-D33</f>
        <v>-381.8</v>
      </c>
      <c r="F34" s="33" t="n">
        <v>7.15</v>
      </c>
      <c r="G34" s="33" t="n">
        <f aca="false">F34-F33</f>
        <v>-5.95</v>
      </c>
      <c r="H34" s="33" t="n">
        <v>92</v>
      </c>
      <c r="I34" s="33" t="n">
        <f aca="false">H34-H33</f>
        <v>-90</v>
      </c>
      <c r="J34" s="2" t="s">
        <v>8</v>
      </c>
      <c r="K34" s="2" t="n">
        <f aca="false">AVERAGE($B$33:$B$60)</f>
        <v>12471.5714285714</v>
      </c>
      <c r="L34" s="2" t="n">
        <f aca="false">AVERAGE($D$33:$D$60)</f>
        <v>552.017857142857</v>
      </c>
      <c r="M34" s="2" t="n">
        <f aca="false">AVERAGE($F$33:$F$60)</f>
        <v>8.97892857142857</v>
      </c>
      <c r="N34" s="2" t="n">
        <f aca="false">AVERAGE($H$33:$H$60)</f>
        <v>120.25</v>
      </c>
    </row>
    <row r="35" customFormat="false" ht="13.8" hidden="false" customHeight="false" outlineLevel="0" collapsed="false">
      <c r="A35" s="32" t="n">
        <v>46056</v>
      </c>
      <c r="B35" s="33" t="n">
        <v>13922</v>
      </c>
      <c r="C35" s="33" t="n">
        <f aca="false">B35-B34</f>
        <v>3995</v>
      </c>
      <c r="D35" s="33" t="n">
        <v>612.6</v>
      </c>
      <c r="E35" s="33" t="n">
        <f aca="false">D35-D34</f>
        <v>178.8</v>
      </c>
      <c r="F35" s="33" t="n">
        <v>10.02</v>
      </c>
      <c r="G35" s="33" t="n">
        <f aca="false">F35-F34</f>
        <v>2.87</v>
      </c>
      <c r="H35" s="33" t="n">
        <v>132</v>
      </c>
      <c r="I35" s="33" t="n">
        <f aca="false">H35-H34</f>
        <v>40</v>
      </c>
      <c r="J35" s="2" t="s">
        <v>10</v>
      </c>
      <c r="K35" s="2" t="n">
        <f aca="false">SQRT(VAR($B$33:$B$60)/COUNT($B$33:$B$60))</f>
        <v>720.886671902304</v>
      </c>
      <c r="L35" s="2" t="n">
        <f aca="false">SQRT(VAR($D$33:$D$60)/COUNT($D$33:$D$60))</f>
        <v>32.1072038816801</v>
      </c>
      <c r="M35" s="2" t="n">
        <f aca="false">SQRT(VAR($F$33:$F$60)/COUNT($F$33:$F$60))</f>
        <v>0.518840623316668</v>
      </c>
      <c r="N35" s="2" t="n">
        <f aca="false">SQRT(VAR($H$33:$H$60)/COUNT($H$33:$H$60))</f>
        <v>7.21488485646608</v>
      </c>
    </row>
    <row r="36" customFormat="false" ht="13.8" hidden="false" customHeight="false" outlineLevel="0" collapsed="false">
      <c r="A36" s="32" t="n">
        <v>46057</v>
      </c>
      <c r="B36" s="33" t="n">
        <v>10434</v>
      </c>
      <c r="C36" s="33" t="n">
        <f aca="false">B36-B35</f>
        <v>-3488</v>
      </c>
      <c r="D36" s="33" t="n">
        <v>463.3</v>
      </c>
      <c r="E36" s="33" t="n">
        <f aca="false">D36-D35</f>
        <v>-149.3</v>
      </c>
      <c r="F36" s="33" t="n">
        <v>7.51</v>
      </c>
      <c r="G36" s="33" t="n">
        <f aca="false">F36-F35</f>
        <v>-2.51</v>
      </c>
      <c r="H36" s="33" t="n">
        <v>102</v>
      </c>
      <c r="I36" s="33" t="n">
        <f aca="false">H36-H35</f>
        <v>-30</v>
      </c>
      <c r="J36" s="2" t="s">
        <v>14</v>
      </c>
      <c r="K36" s="2" t="e">
        <f aca="false">MODE($B$33:$B$60)</f>
        <v>#VALUE!</v>
      </c>
      <c r="L36" s="2" t="n">
        <f aca="false">MODE($D$33:$D$60)</f>
        <v>351.1</v>
      </c>
      <c r="M36" s="2" t="n">
        <f aca="false">MODE($F$33:$F$60)</f>
        <v>6.01</v>
      </c>
      <c r="N36" s="2" t="n">
        <f aca="false">MODE($H$33:$H$60)</f>
        <v>92</v>
      </c>
    </row>
    <row r="37" customFormat="false" ht="13.8" hidden="false" customHeight="false" outlineLevel="0" collapsed="false">
      <c r="A37" s="32" t="n">
        <v>46058</v>
      </c>
      <c r="B37" s="33" t="n">
        <v>11729</v>
      </c>
      <c r="C37" s="33" t="n">
        <f aca="false">B37-B36</f>
        <v>1295</v>
      </c>
      <c r="D37" s="33" t="n">
        <v>513.2</v>
      </c>
      <c r="E37" s="33" t="n">
        <f aca="false">D37-D36</f>
        <v>49.9</v>
      </c>
      <c r="F37" s="33" t="n">
        <v>8.44</v>
      </c>
      <c r="G37" s="33" t="n">
        <f aca="false">F37-F36</f>
        <v>0.93</v>
      </c>
      <c r="H37" s="33" t="n">
        <v>108</v>
      </c>
      <c r="I37" s="33" t="n">
        <f aca="false">H37-H36</f>
        <v>6</v>
      </c>
      <c r="J37" s="2" t="s">
        <v>12</v>
      </c>
      <c r="K37" s="2" t="n">
        <f aca="false">MEDIAN($B$33:$B$60)</f>
        <v>12064.5</v>
      </c>
      <c r="L37" s="2" t="n">
        <f aca="false">MEDIAN($D$33:$D$60)</f>
        <v>529.3</v>
      </c>
      <c r="M37" s="2" t="n">
        <f aca="false">MEDIAN($F$33:$F$60)</f>
        <v>8.685</v>
      </c>
      <c r="N37" s="2" t="n">
        <f aca="false">MEDIAN($H$33:$H$60)</f>
        <v>114</v>
      </c>
    </row>
    <row r="38" customFormat="false" ht="13.8" hidden="false" customHeight="false" outlineLevel="0" collapsed="false">
      <c r="A38" s="32" t="n">
        <v>46059</v>
      </c>
      <c r="B38" s="33" t="n">
        <v>9553</v>
      </c>
      <c r="C38" s="33" t="n">
        <f aca="false">B38-B37</f>
        <v>-2176</v>
      </c>
      <c r="D38" s="33" t="n">
        <v>422.6</v>
      </c>
      <c r="E38" s="33" t="n">
        <f aca="false">D38-D37</f>
        <v>-90.6</v>
      </c>
      <c r="F38" s="33" t="n">
        <v>6.88</v>
      </c>
      <c r="G38" s="33" t="n">
        <f aca="false">F38-F37</f>
        <v>-1.56</v>
      </c>
      <c r="H38" s="33" t="n">
        <v>92</v>
      </c>
      <c r="I38" s="33" t="n">
        <f aca="false">H38-H37</f>
        <v>-16</v>
      </c>
      <c r="J38" s="2" t="s">
        <v>195</v>
      </c>
      <c r="K38" s="2" t="n">
        <f aca="false">QUARTILE($B$33:$B$60, 1)</f>
        <v>9833.5</v>
      </c>
      <c r="L38" s="2" t="n">
        <f aca="false">QUARTILE($D$33:$D$60, 1)</f>
        <v>431</v>
      </c>
      <c r="M38" s="2" t="n">
        <f aca="false">QUARTILE($F$33:$F$60, 1)</f>
        <v>7.0825</v>
      </c>
      <c r="N38" s="2" t="n">
        <f aca="false">QUARTILE($H$33:$H$60, 1)</f>
        <v>95.75</v>
      </c>
    </row>
    <row r="39" customFormat="false" ht="13.8" hidden="false" customHeight="false" outlineLevel="0" collapsed="false">
      <c r="A39" s="32" t="n">
        <v>46060</v>
      </c>
      <c r="B39" s="33" t="n">
        <v>7927</v>
      </c>
      <c r="C39" s="33" t="n">
        <f aca="false">B39-B38</f>
        <v>-1626</v>
      </c>
      <c r="D39" s="33" t="n">
        <v>351.1</v>
      </c>
      <c r="E39" s="33" t="n">
        <f aca="false">D39-D38</f>
        <v>-71.5</v>
      </c>
      <c r="F39" s="33" t="n">
        <v>5.71</v>
      </c>
      <c r="G39" s="33" t="n">
        <f aca="false">F39-F38</f>
        <v>-1.17</v>
      </c>
      <c r="H39" s="33" t="n">
        <v>77</v>
      </c>
      <c r="I39" s="33" t="n">
        <f aca="false">H39-H38</f>
        <v>-15</v>
      </c>
      <c r="J39" s="2" t="s">
        <v>181</v>
      </c>
      <c r="K39" s="2" t="n">
        <f aca="false">QUARTILE($B$33:$B$60, 3)</f>
        <v>13991.5</v>
      </c>
      <c r="L39" s="2" t="n">
        <f aca="false">QUARTILE($D$33:$D$60, 3)</f>
        <v>614.075</v>
      </c>
      <c r="M39" s="2" t="n">
        <f aca="false">QUARTILE($F$33:$F$60, 3)</f>
        <v>10.07</v>
      </c>
      <c r="N39" s="2" t="n">
        <f aca="false">QUARTILE($H$33:$H$60, 3)</f>
        <v>132.25</v>
      </c>
    </row>
    <row r="40" customFormat="false" ht="13.8" hidden="false" customHeight="false" outlineLevel="0" collapsed="false">
      <c r="A40" s="32" t="n">
        <v>46061</v>
      </c>
      <c r="B40" s="33" t="n">
        <v>15833</v>
      </c>
      <c r="C40" s="33" t="n">
        <f aca="false">B40-B39</f>
        <v>7906</v>
      </c>
      <c r="D40" s="33" t="n">
        <v>720.6</v>
      </c>
      <c r="E40" s="33" t="n">
        <f aca="false">D40-D39</f>
        <v>369.5</v>
      </c>
      <c r="F40" s="33" t="n">
        <v>11.4</v>
      </c>
      <c r="G40" s="33" t="n">
        <f aca="false">F40-F39</f>
        <v>5.69</v>
      </c>
      <c r="H40" s="33" t="n">
        <v>166</v>
      </c>
      <c r="I40" s="33" t="n">
        <f aca="false">H40-H39</f>
        <v>89</v>
      </c>
      <c r="J40" s="2" t="s">
        <v>182</v>
      </c>
      <c r="K40" s="2" t="n">
        <f aca="false">VAR($B$33:$B$60)</f>
        <v>14550972.6243386</v>
      </c>
      <c r="L40" s="2" t="n">
        <f aca="false">VAR($D$33:$D$60)</f>
        <v>28864.4311507936</v>
      </c>
      <c r="M40" s="2" t="n">
        <f aca="false">VAR($F$33:$F$60)</f>
        <v>7.53747658730159</v>
      </c>
      <c r="N40" s="2" t="n">
        <f aca="false">VAR($H$33:$H$60)</f>
        <v>1457.52777777778</v>
      </c>
    </row>
    <row r="41" customFormat="false" ht="13.8" hidden="false" customHeight="false" outlineLevel="0" collapsed="false">
      <c r="A41" s="32" t="n">
        <v>46062</v>
      </c>
      <c r="B41" s="33" t="n">
        <v>10534</v>
      </c>
      <c r="C41" s="33" t="n">
        <f aca="false">B41-B40</f>
        <v>-5299</v>
      </c>
      <c r="D41" s="33" t="n">
        <v>467.4</v>
      </c>
      <c r="E41" s="33" t="n">
        <f aca="false">D41-D40</f>
        <v>-253.2</v>
      </c>
      <c r="F41" s="33" t="n">
        <v>7.58</v>
      </c>
      <c r="G41" s="33" t="n">
        <f aca="false">F41-F40</f>
        <v>-3.82</v>
      </c>
      <c r="H41" s="33" t="n">
        <v>103</v>
      </c>
      <c r="I41" s="33" t="n">
        <f aca="false">H41-H40</f>
        <v>-63</v>
      </c>
      <c r="J41" s="2" t="s">
        <v>16</v>
      </c>
      <c r="K41" s="2" t="n">
        <f aca="false">STDEV($B$33:$B$60)</f>
        <v>3814.57371462902</v>
      </c>
      <c r="L41" s="2" t="n">
        <f aca="false">STDEV($D$33:$D$60)</f>
        <v>169.895353529146</v>
      </c>
      <c r="M41" s="2" t="n">
        <f aca="false">STDEV($F$33:$F$60)</f>
        <v>2.74544651874729</v>
      </c>
      <c r="N41" s="2" t="n">
        <f aca="false">STDEV($H$33:$H$60)</f>
        <v>38.1775821363504</v>
      </c>
    </row>
    <row r="42" customFormat="false" ht="13.8" hidden="false" customHeight="false" outlineLevel="0" collapsed="false">
      <c r="A42" s="32" t="n">
        <v>46063</v>
      </c>
      <c r="B42" s="33" t="n">
        <v>11692</v>
      </c>
      <c r="C42" s="33" t="n">
        <f aca="false">B42-B41</f>
        <v>1158</v>
      </c>
      <c r="D42" s="33" t="n">
        <v>513.5</v>
      </c>
      <c r="E42" s="33" t="n">
        <f aca="false">D42-D41</f>
        <v>46.1</v>
      </c>
      <c r="F42" s="33" t="n">
        <v>8.42</v>
      </c>
      <c r="G42" s="33" t="n">
        <f aca="false">F42-F41</f>
        <v>0.84</v>
      </c>
      <c r="H42" s="33" t="n">
        <v>110</v>
      </c>
      <c r="I42" s="33" t="n">
        <f aca="false">H42-H41</f>
        <v>7</v>
      </c>
      <c r="J42" s="2" t="s">
        <v>20</v>
      </c>
      <c r="K42" s="2" t="n">
        <f aca="false">KURT($B$33:$B$60)</f>
        <v>0.985358942810915</v>
      </c>
      <c r="L42" s="2" t="n">
        <f aca="false">KURT($D$33:$D$60)</f>
        <v>1.16756043111065</v>
      </c>
      <c r="M42" s="2" t="n">
        <f aca="false">KURT($F$33:$F$60)</f>
        <v>0.986585534171278</v>
      </c>
      <c r="N42" s="2" t="n">
        <f aca="false">KURT($H$33:$H$60)</f>
        <v>1.61680578692783</v>
      </c>
    </row>
    <row r="43" customFormat="false" ht="13.8" hidden="false" customHeight="false" outlineLevel="0" collapsed="false">
      <c r="A43" s="32" t="n">
        <v>46064</v>
      </c>
      <c r="B43" s="33" t="n">
        <v>18519</v>
      </c>
      <c r="C43" s="33" t="n">
        <f aca="false">B43-B42</f>
        <v>6827</v>
      </c>
      <c r="D43" s="33" t="n">
        <v>812.8</v>
      </c>
      <c r="E43" s="33" t="n">
        <f aca="false">D43-D42</f>
        <v>299.3</v>
      </c>
      <c r="F43" s="33" t="n">
        <v>13.33</v>
      </c>
      <c r="G43" s="33" t="n">
        <f aca="false">F43-F42</f>
        <v>4.91</v>
      </c>
      <c r="H43" s="33" t="n">
        <v>174</v>
      </c>
      <c r="I43" s="33" t="n">
        <f aca="false">H43-H42</f>
        <v>64</v>
      </c>
      <c r="J43" s="2" t="s">
        <v>22</v>
      </c>
      <c r="K43" s="2" t="n">
        <f aca="false">SKEW($B$33:$B$60)</f>
        <v>0.942870838063385</v>
      </c>
      <c r="L43" s="2" t="n">
        <f aca="false">SKEW($D$33:$D$60)</f>
        <v>1.00419106585008</v>
      </c>
      <c r="M43" s="2" t="n">
        <f aca="false">SKEW($F$33:$F$60)</f>
        <v>0.943263662216294</v>
      </c>
      <c r="N43" s="2" t="n">
        <f aca="false">SKEW($H$33:$H$60)</f>
        <v>1.13704771560778</v>
      </c>
    </row>
    <row r="44" customFormat="false" ht="13.8" hidden="false" customHeight="false" outlineLevel="0" collapsed="false">
      <c r="A44" s="32" t="n">
        <v>46065</v>
      </c>
      <c r="B44" s="33" t="n">
        <v>13842</v>
      </c>
      <c r="C44" s="33" t="n">
        <f aca="false">B44-B43</f>
        <v>-4677</v>
      </c>
      <c r="D44" s="33" t="n">
        <v>598.9</v>
      </c>
      <c r="E44" s="33" t="n">
        <f aca="false">D44-D43</f>
        <v>-213.9</v>
      </c>
      <c r="F44" s="33" t="n">
        <v>9.97</v>
      </c>
      <c r="G44" s="33" t="n">
        <f aca="false">F44-F43</f>
        <v>-3.36</v>
      </c>
      <c r="H44" s="33" t="n">
        <v>122</v>
      </c>
      <c r="I44" s="33" t="n">
        <f aca="false">H44-H43</f>
        <v>-52</v>
      </c>
      <c r="J44" s="2" t="s">
        <v>24</v>
      </c>
      <c r="K44" s="2" t="n">
        <f aca="false">MAX($B$33:$B$60)-MIN($B$33:$B$60)</f>
        <v>16436</v>
      </c>
      <c r="L44" s="2" t="n">
        <f aca="false">MAX($D$33:$D$60)-MIN($D$33:$D$60)</f>
        <v>741.8</v>
      </c>
      <c r="M44" s="2" t="n">
        <f aca="false">MAX($F$33:$F$60)-MIN($F$33:$F$60)</f>
        <v>11.83</v>
      </c>
      <c r="N44" s="2" t="n">
        <f aca="false">MAX($H$33:$H$60)-MIN($H$33:$H$60)</f>
        <v>170</v>
      </c>
    </row>
    <row r="45" customFormat="false" ht="13.8" hidden="false" customHeight="false" outlineLevel="0" collapsed="false">
      <c r="A45" s="32" t="n">
        <v>46066</v>
      </c>
      <c r="B45" s="33" t="n">
        <v>11281</v>
      </c>
      <c r="C45" s="33" t="n">
        <f aca="false">B45-B44</f>
        <v>-2561</v>
      </c>
      <c r="D45" s="33" t="n">
        <v>497.5</v>
      </c>
      <c r="E45" s="33" t="n">
        <f aca="false">D45-D44</f>
        <v>-101.4</v>
      </c>
      <c r="F45" s="33" t="n">
        <v>8.12</v>
      </c>
      <c r="G45" s="33" t="n">
        <f aca="false">F45-F44</f>
        <v>-1.85</v>
      </c>
      <c r="H45" s="33" t="n">
        <v>107</v>
      </c>
      <c r="I45" s="33" t="n">
        <f aca="false">H45-H44</f>
        <v>-15</v>
      </c>
      <c r="J45" s="2" t="s">
        <v>26</v>
      </c>
      <c r="K45" s="2" t="n">
        <f aca="false">MIN($B$33:$B$60)</f>
        <v>6719</v>
      </c>
      <c r="L45" s="2" t="n">
        <f aca="false">MIN($D$33:$D$60)</f>
        <v>295.8</v>
      </c>
      <c r="M45" s="2" t="n">
        <f aca="false">MIN($F$33:$F$60)</f>
        <v>4.84</v>
      </c>
      <c r="N45" s="2" t="n">
        <f aca="false">MIN($H$33:$H$60)</f>
        <v>64</v>
      </c>
    </row>
    <row r="46" customFormat="false" ht="13.8" hidden="false" customHeight="false" outlineLevel="0" collapsed="false">
      <c r="A46" s="32" t="n">
        <v>46067</v>
      </c>
      <c r="B46" s="33" t="n">
        <v>12893</v>
      </c>
      <c r="C46" s="33" t="n">
        <f aca="false">B46-B45</f>
        <v>1612</v>
      </c>
      <c r="D46" s="33" t="n">
        <v>567.2</v>
      </c>
      <c r="E46" s="33" t="n">
        <f aca="false">D46-D45</f>
        <v>69.7000000000001</v>
      </c>
      <c r="F46" s="33" t="n">
        <v>9.28</v>
      </c>
      <c r="G46" s="33" t="n">
        <f aca="false">F46-F45</f>
        <v>1.16</v>
      </c>
      <c r="H46" s="33" t="n">
        <v>123</v>
      </c>
      <c r="I46" s="33" t="n">
        <f aca="false">H46-H45</f>
        <v>16</v>
      </c>
      <c r="J46" s="2" t="s">
        <v>28</v>
      </c>
      <c r="K46" s="2" t="n">
        <f aca="false">MAX($B$33:$B$60)</f>
        <v>23155</v>
      </c>
      <c r="L46" s="2" t="n">
        <f aca="false">MAX($D$33:$D$60)</f>
        <v>1037.6</v>
      </c>
      <c r="M46" s="2" t="n">
        <f aca="false">MAX($F$33:$F$60)</f>
        <v>16.67</v>
      </c>
      <c r="N46" s="2" t="n">
        <f aca="false">MAX($H$33:$H$60)</f>
        <v>234</v>
      </c>
    </row>
    <row r="47" customFormat="false" ht="13.8" hidden="false" customHeight="false" outlineLevel="0" collapsed="false">
      <c r="A47" s="32" t="n">
        <v>46068</v>
      </c>
      <c r="B47" s="33" t="n">
        <v>14400</v>
      </c>
      <c r="C47" s="33" t="n">
        <f aca="false">B47-B46</f>
        <v>1507</v>
      </c>
      <c r="D47" s="33" t="n">
        <v>642.3</v>
      </c>
      <c r="E47" s="33" t="n">
        <f aca="false">D47-D46</f>
        <v>75.0999999999999</v>
      </c>
      <c r="F47" s="33" t="n">
        <v>10.37</v>
      </c>
      <c r="G47" s="33" t="n">
        <f aca="false">F47-F46</f>
        <v>1.09</v>
      </c>
      <c r="H47" s="33" t="n">
        <v>144</v>
      </c>
      <c r="I47" s="33" t="n">
        <f aca="false">H47-H46</f>
        <v>21</v>
      </c>
      <c r="J47" s="2" t="s">
        <v>30</v>
      </c>
      <c r="K47" s="2" t="n">
        <f aca="false">SUM($B$33:$B$60)</f>
        <v>349204</v>
      </c>
      <c r="L47" s="2" t="n">
        <f aca="false">SUM($D$33:$D$60)</f>
        <v>15456.5</v>
      </c>
      <c r="M47" s="2" t="n">
        <f aca="false">SUM($F$33:$F$60)</f>
        <v>251.41</v>
      </c>
      <c r="N47" s="2" t="n">
        <f aca="false">SUM($H$33:$H$60)</f>
        <v>3367</v>
      </c>
    </row>
    <row r="48" customFormat="false" ht="13.8" hidden="false" customHeight="false" outlineLevel="0" collapsed="false">
      <c r="A48" s="32" t="n">
        <v>46069</v>
      </c>
      <c r="B48" s="33" t="n">
        <v>18714</v>
      </c>
      <c r="C48" s="33" t="n">
        <f aca="false">B48-B47</f>
        <v>4314</v>
      </c>
      <c r="D48" s="33" t="n">
        <v>819.7</v>
      </c>
      <c r="E48" s="33" t="n">
        <f aca="false">D48-D47</f>
        <v>177.4</v>
      </c>
      <c r="F48" s="33" t="n">
        <v>13.47</v>
      </c>
      <c r="G48" s="33" t="n">
        <f aca="false">F48-F47</f>
        <v>3.1</v>
      </c>
      <c r="H48" s="33" t="n">
        <v>175</v>
      </c>
      <c r="I48" s="33" t="n">
        <f aca="false">H48-H47</f>
        <v>31</v>
      </c>
      <c r="J48" s="2" t="s">
        <v>32</v>
      </c>
      <c r="K48" s="2" t="n">
        <f aca="false">COUNT($B$33:$B$60)</f>
        <v>28</v>
      </c>
      <c r="L48" s="2" t="n">
        <f aca="false">COUNT($D$33:$D$60)</f>
        <v>28</v>
      </c>
      <c r="M48" s="2" t="n">
        <f aca="false">COUNT($F$33:$F$60)</f>
        <v>28</v>
      </c>
      <c r="N48" s="2" t="n">
        <f aca="false">COUNT($H$33:$H$60)</f>
        <v>28</v>
      </c>
    </row>
    <row r="49" customFormat="false" ht="13.8" hidden="false" customHeight="false" outlineLevel="0" collapsed="false">
      <c r="A49" s="32" t="n">
        <v>46070</v>
      </c>
      <c r="B49" s="33" t="n">
        <v>8350</v>
      </c>
      <c r="C49" s="33" t="n">
        <f aca="false">B49-B48</f>
        <v>-10364</v>
      </c>
      <c r="D49" s="33" t="n">
        <v>362.4</v>
      </c>
      <c r="E49" s="33" t="n">
        <f aca="false">D49-D48</f>
        <v>-457.3</v>
      </c>
      <c r="F49" s="33" t="n">
        <v>6.01</v>
      </c>
      <c r="G49" s="33" t="n">
        <f aca="false">F49-F48</f>
        <v>-7.46</v>
      </c>
      <c r="H49" s="33" t="n">
        <v>75</v>
      </c>
      <c r="I49" s="33" t="n">
        <f aca="false">H49-H48</f>
        <v>-100</v>
      </c>
    </row>
    <row r="50" customFormat="false" ht="13.8" hidden="false" customHeight="false" outlineLevel="0" collapsed="false">
      <c r="A50" s="32" t="n">
        <v>46071</v>
      </c>
      <c r="B50" s="33" t="n">
        <v>14200</v>
      </c>
      <c r="C50" s="33" t="n">
        <f aca="false">B50-B49</f>
        <v>5850</v>
      </c>
      <c r="D50" s="33" t="n">
        <v>618.5</v>
      </c>
      <c r="E50" s="33" t="n">
        <f aca="false">D50-D49</f>
        <v>256.1</v>
      </c>
      <c r="F50" s="33" t="n">
        <v>10.22</v>
      </c>
      <c r="G50" s="33" t="n">
        <f aca="false">F50-F49</f>
        <v>4.21</v>
      </c>
      <c r="H50" s="33" t="n">
        <v>130</v>
      </c>
      <c r="I50" s="33" t="n">
        <f aca="false">H50-H49</f>
        <v>55</v>
      </c>
    </row>
    <row r="51" customFormat="false" ht="13.8" hidden="false" customHeight="false" outlineLevel="0" collapsed="false">
      <c r="A51" s="32" t="n">
        <v>46072</v>
      </c>
      <c r="B51" s="33" t="n">
        <v>13261</v>
      </c>
      <c r="C51" s="33" t="n">
        <f aca="false">B51-B50</f>
        <v>-939</v>
      </c>
      <c r="D51" s="33" t="n">
        <v>578.4</v>
      </c>
      <c r="E51" s="33" t="n">
        <f aca="false">D51-D50</f>
        <v>-40.1</v>
      </c>
      <c r="F51" s="33" t="n">
        <v>9.55</v>
      </c>
      <c r="G51" s="33" t="n">
        <f aca="false">F51-F50</f>
        <v>-0.67</v>
      </c>
      <c r="H51" s="33" t="n">
        <v>122</v>
      </c>
      <c r="I51" s="33" t="n">
        <f aca="false">H51-H50</f>
        <v>-8</v>
      </c>
    </row>
    <row r="52" customFormat="false" ht="13.8" hidden="false" customHeight="false" outlineLevel="0" collapsed="false">
      <c r="A52" s="32" t="n">
        <v>46073</v>
      </c>
      <c r="B52" s="33" t="n">
        <v>7962</v>
      </c>
      <c r="C52" s="33" t="n">
        <f aca="false">B52-B51</f>
        <v>-5299</v>
      </c>
      <c r="D52" s="33" t="n">
        <v>351.1</v>
      </c>
      <c r="E52" s="33" t="n">
        <f aca="false">D52-D51</f>
        <v>-227.3</v>
      </c>
      <c r="F52" s="33" t="n">
        <v>5.73</v>
      </c>
      <c r="G52" s="33" t="n">
        <f aca="false">F52-F51</f>
        <v>-3.82</v>
      </c>
      <c r="H52" s="33" t="n">
        <v>76</v>
      </c>
      <c r="I52" s="33" t="n">
        <f aca="false">H52-H51</f>
        <v>-46</v>
      </c>
    </row>
    <row r="53" customFormat="false" ht="13.8" hidden="false" customHeight="false" outlineLevel="0" collapsed="false">
      <c r="A53" s="32" t="n">
        <v>46074</v>
      </c>
      <c r="B53" s="33" t="n">
        <v>13035</v>
      </c>
      <c r="C53" s="33" t="n">
        <f aca="false">B53-B52</f>
        <v>5073</v>
      </c>
      <c r="D53" s="33" t="n">
        <v>590.3</v>
      </c>
      <c r="E53" s="33" t="n">
        <f aca="false">D53-D52</f>
        <v>239.2</v>
      </c>
      <c r="F53" s="33" t="n">
        <v>9.39</v>
      </c>
      <c r="G53" s="33" t="n">
        <f aca="false">F53-F52</f>
        <v>3.66</v>
      </c>
      <c r="H53" s="33" t="n">
        <v>133</v>
      </c>
      <c r="I53" s="33" t="n">
        <f aca="false">H53-H52</f>
        <v>57</v>
      </c>
    </row>
    <row r="54" customFormat="false" ht="13.8" hidden="false" customHeight="false" outlineLevel="0" collapsed="false">
      <c r="A54" s="32" t="n">
        <v>46075</v>
      </c>
      <c r="B54" s="33" t="n">
        <v>23155</v>
      </c>
      <c r="C54" s="33" t="n">
        <f aca="false">B54-B53</f>
        <v>10120</v>
      </c>
      <c r="D54" s="33" t="n">
        <v>1037.6</v>
      </c>
      <c r="E54" s="33" t="n">
        <f aca="false">D54-D53</f>
        <v>447.3</v>
      </c>
      <c r="F54" s="33" t="n">
        <v>16.67</v>
      </c>
      <c r="G54" s="33" t="n">
        <f aca="false">F54-F53</f>
        <v>7.28</v>
      </c>
      <c r="H54" s="33" t="n">
        <v>234</v>
      </c>
      <c r="I54" s="33" t="n">
        <f aca="false">H54-H53</f>
        <v>101</v>
      </c>
    </row>
    <row r="55" customFormat="false" ht="13.8" hidden="false" customHeight="false" outlineLevel="0" collapsed="false">
      <c r="A55" s="32" t="n">
        <v>46076</v>
      </c>
      <c r="B55" s="33" t="n">
        <v>12422</v>
      </c>
      <c r="C55" s="33" t="n">
        <f aca="false">B55-B54</f>
        <v>-10733</v>
      </c>
      <c r="D55" s="33" t="n">
        <v>546.7</v>
      </c>
      <c r="E55" s="33" t="n">
        <f aca="false">D55-D54</f>
        <v>-490.9</v>
      </c>
      <c r="F55" s="33" t="n">
        <v>8.94</v>
      </c>
      <c r="G55" s="33" t="n">
        <f aca="false">F55-F54</f>
        <v>-7.73</v>
      </c>
      <c r="H55" s="33" t="n">
        <v>119</v>
      </c>
      <c r="I55" s="33" t="n">
        <f aca="false">H55-H54</f>
        <v>-115</v>
      </c>
    </row>
    <row r="56" customFormat="false" ht="13.8" hidden="false" customHeight="false" outlineLevel="0" collapsed="false">
      <c r="A56" s="32" t="n">
        <v>46077</v>
      </c>
      <c r="B56" s="33" t="n">
        <v>9190</v>
      </c>
      <c r="C56" s="33" t="n">
        <f aca="false">B56-B55</f>
        <v>-3232</v>
      </c>
      <c r="D56" s="33" t="n">
        <v>404.2</v>
      </c>
      <c r="E56" s="33" t="n">
        <f aca="false">D56-D55</f>
        <v>-142.5</v>
      </c>
      <c r="F56" s="33" t="n">
        <v>6.62</v>
      </c>
      <c r="G56" s="33" t="n">
        <f aca="false">F56-F55</f>
        <v>-2.32</v>
      </c>
      <c r="H56" s="33" t="n">
        <v>87</v>
      </c>
      <c r="I56" s="33" t="n">
        <f aca="false">H56-H55</f>
        <v>-32</v>
      </c>
    </row>
    <row r="57" customFormat="false" ht="13.8" hidden="false" customHeight="false" outlineLevel="0" collapsed="false">
      <c r="A57" s="32" t="n">
        <v>46078</v>
      </c>
      <c r="B57" s="33" t="n">
        <v>6719</v>
      </c>
      <c r="C57" s="33" t="n">
        <f aca="false">B57-B56</f>
        <v>-2471</v>
      </c>
      <c r="D57" s="33" t="n">
        <v>295.8</v>
      </c>
      <c r="E57" s="33" t="n">
        <f aca="false">D57-D56</f>
        <v>-108.4</v>
      </c>
      <c r="F57" s="33" t="n">
        <v>4.84</v>
      </c>
      <c r="G57" s="33" t="n">
        <f aca="false">F57-F56</f>
        <v>-1.78</v>
      </c>
      <c r="H57" s="33" t="n">
        <v>64</v>
      </c>
      <c r="I57" s="33" t="n">
        <f aca="false">H57-H56</f>
        <v>-23</v>
      </c>
    </row>
    <row r="58" customFormat="false" ht="13.8" hidden="false" customHeight="false" outlineLevel="0" collapsed="false">
      <c r="A58" s="32" t="n">
        <v>46079</v>
      </c>
      <c r="B58" s="33" t="n">
        <v>12400</v>
      </c>
      <c r="C58" s="33" t="n">
        <f aca="false">B58-B57</f>
        <v>5681</v>
      </c>
      <c r="D58" s="33" t="n">
        <v>545.1</v>
      </c>
      <c r="E58" s="33" t="n">
        <f aca="false">D58-D57</f>
        <v>249.3</v>
      </c>
      <c r="F58" s="33" t="n">
        <v>8.93</v>
      </c>
      <c r="G58" s="33" t="n">
        <f aca="false">F58-F57</f>
        <v>4.09</v>
      </c>
      <c r="H58" s="33" t="n">
        <v>118</v>
      </c>
      <c r="I58" s="33" t="n">
        <f aca="false">H58-H57</f>
        <v>54</v>
      </c>
    </row>
    <row r="59" customFormat="false" ht="13.8" hidden="false" customHeight="false" outlineLevel="0" collapsed="false">
      <c r="A59" s="32" t="n">
        <v>46080</v>
      </c>
      <c r="B59" s="33" t="n">
        <v>10769</v>
      </c>
      <c r="C59" s="33" t="n">
        <f aca="false">B59-B58</f>
        <v>-1631</v>
      </c>
      <c r="D59" s="33" t="n">
        <v>474.5</v>
      </c>
      <c r="E59" s="33" t="n">
        <f aca="false">D59-D58</f>
        <v>-70.6</v>
      </c>
      <c r="F59" s="33" t="n">
        <v>7.75</v>
      </c>
      <c r="G59" s="33" t="n">
        <f aca="false">F59-F58</f>
        <v>-1.18</v>
      </c>
      <c r="H59" s="33" t="n">
        <v>103</v>
      </c>
      <c r="I59" s="33" t="n">
        <f aca="false">H59-H58</f>
        <v>-15</v>
      </c>
    </row>
    <row r="60" customFormat="false" ht="13.8" hidden="false" customHeight="false" outlineLevel="0" collapsed="false">
      <c r="A60" s="32" t="n">
        <v>46081</v>
      </c>
      <c r="B60" s="33" t="n">
        <v>8341</v>
      </c>
      <c r="C60" s="33" t="n">
        <f aca="false">B60-B59</f>
        <v>-2428</v>
      </c>
      <c r="D60" s="33" t="n">
        <v>399.8</v>
      </c>
      <c r="E60" s="33" t="n">
        <f aca="false">D60-D59</f>
        <v>-74.7</v>
      </c>
      <c r="F60" s="33" t="n">
        <v>6.01</v>
      </c>
      <c r="G60" s="33" t="n">
        <f aca="false">F60-F59</f>
        <v>-1.74</v>
      </c>
      <c r="H60" s="33" t="n">
        <v>97</v>
      </c>
      <c r="I60" s="33" t="n">
        <f aca="false">H60-H59</f>
        <v>-6</v>
      </c>
    </row>
    <row r="61" customFormat="false" ht="13.8" hidden="false" customHeight="false" outlineLevel="0" collapsed="false">
      <c r="A61" s="32" t="n">
        <v>46082</v>
      </c>
      <c r="B61" s="33" t="n">
        <v>10496</v>
      </c>
      <c r="C61" s="33" t="n">
        <f aca="false">B61-B60</f>
        <v>2155</v>
      </c>
      <c r="D61" s="33" t="n">
        <v>499.2</v>
      </c>
      <c r="E61" s="33" t="n">
        <f aca="false">D61-D60</f>
        <v>99.4</v>
      </c>
      <c r="F61" s="33" t="n">
        <v>7.56</v>
      </c>
      <c r="G61" s="33" t="n">
        <f aca="false">F61-F60</f>
        <v>1.55</v>
      </c>
      <c r="H61" s="33" t="n">
        <v>121</v>
      </c>
      <c r="I61" s="33" t="n">
        <f aca="false">H61-H60</f>
        <v>24</v>
      </c>
      <c r="K61" s="34" t="s">
        <v>2</v>
      </c>
      <c r="L61" s="34" t="s">
        <v>179</v>
      </c>
      <c r="M61" s="34" t="s">
        <v>175</v>
      </c>
      <c r="N61" s="34" t="s">
        <v>177</v>
      </c>
    </row>
    <row r="62" customFormat="false" ht="13.8" hidden="false" customHeight="false" outlineLevel="0" collapsed="false">
      <c r="A62" s="32" t="n">
        <v>46083</v>
      </c>
      <c r="B62" s="33" t="n">
        <v>7156</v>
      </c>
      <c r="C62" s="33" t="n">
        <f aca="false">B62-B61</f>
        <v>-3340</v>
      </c>
      <c r="D62" s="33" t="n">
        <v>349.1</v>
      </c>
      <c r="E62" s="33" t="n">
        <f aca="false">D62-D61</f>
        <v>-150.1</v>
      </c>
      <c r="F62" s="33" t="n">
        <v>5.15</v>
      </c>
      <c r="G62" s="33" t="n">
        <f aca="false">F62-F61</f>
        <v>-2.41</v>
      </c>
      <c r="H62" s="33" t="n">
        <v>86</v>
      </c>
      <c r="I62" s="33" t="n">
        <f aca="false">H62-H61</f>
        <v>-35</v>
      </c>
      <c r="J62" s="2" t="s">
        <v>8</v>
      </c>
      <c r="K62" s="2" t="n">
        <f aca="false">AVERAGE($B$61:$B$91)</f>
        <v>13644.935483871</v>
      </c>
      <c r="L62" s="2" t="n">
        <f aca="false">AVERAGE($D$61:$D$91)</f>
        <v>604.987096774193</v>
      </c>
      <c r="M62" s="2" t="n">
        <f aca="false">AVERAGE($F$61:$F$91)</f>
        <v>9.8241935483871</v>
      </c>
      <c r="N62" s="2" t="n">
        <f aca="false">AVERAGE($H$61:$H$91)</f>
        <v>132.870967741936</v>
      </c>
    </row>
    <row r="63" customFormat="false" ht="13.8" hidden="false" customHeight="false" outlineLevel="0" collapsed="false">
      <c r="A63" s="32" t="n">
        <v>46084</v>
      </c>
      <c r="B63" s="33" t="n">
        <v>6414</v>
      </c>
      <c r="C63" s="33" t="n">
        <f aca="false">B63-B62</f>
        <v>-742</v>
      </c>
      <c r="D63" s="33" t="n">
        <v>290.3</v>
      </c>
      <c r="E63" s="33" t="n">
        <f aca="false">D63-D62</f>
        <v>-58.8</v>
      </c>
      <c r="F63" s="33" t="n">
        <v>4.62</v>
      </c>
      <c r="G63" s="33" t="n">
        <f aca="false">F63-F62</f>
        <v>-0.53</v>
      </c>
      <c r="H63" s="33" t="n">
        <v>66</v>
      </c>
      <c r="I63" s="33" t="n">
        <f aca="false">H63-H62</f>
        <v>-20</v>
      </c>
      <c r="J63" s="2" t="s">
        <v>10</v>
      </c>
      <c r="K63" s="2" t="n">
        <f aca="false">SQRT(VAR($B$61:$B$91)/COUNT($B$61:$B$91))</f>
        <v>863.833848688986</v>
      </c>
      <c r="L63" s="2" t="n">
        <f aca="false">SQRT(VAR($D$61:$D$91)/COUNT($D$61:$D$91))</f>
        <v>37.9862085165258</v>
      </c>
      <c r="M63" s="2" t="n">
        <f aca="false">SQRT(VAR($F$61:$F$91)/COUNT($F$61:$F$91))</f>
        <v>0.621812607769743</v>
      </c>
      <c r="N63" s="2" t="n">
        <f aca="false">SQRT(VAR($H$61:$H$91)/COUNT($H$61:$H$91))</f>
        <v>8.61428445289852</v>
      </c>
    </row>
    <row r="64" customFormat="false" ht="13.8" hidden="false" customHeight="false" outlineLevel="0" collapsed="false">
      <c r="A64" s="32" t="n">
        <v>46085</v>
      </c>
      <c r="B64" s="33" t="n">
        <v>16887</v>
      </c>
      <c r="C64" s="33" t="n">
        <f aca="false">B64-B63</f>
        <v>10473</v>
      </c>
      <c r="D64" s="33" t="n">
        <v>745.1</v>
      </c>
      <c r="E64" s="33" t="n">
        <f aca="false">D64-D63</f>
        <v>454.8</v>
      </c>
      <c r="F64" s="33" t="n">
        <v>12.16</v>
      </c>
      <c r="G64" s="33" t="n">
        <f aca="false">F64-F63</f>
        <v>7.54</v>
      </c>
      <c r="H64" s="33" t="n">
        <v>163</v>
      </c>
      <c r="I64" s="33" t="n">
        <f aca="false">H64-H63</f>
        <v>97</v>
      </c>
      <c r="J64" s="2" t="s">
        <v>14</v>
      </c>
      <c r="K64" s="2" t="e">
        <f aca="false">MODE($B$61:$B$91)</f>
        <v>#VALUE!</v>
      </c>
      <c r="L64" s="2" t="e">
        <f aca="false">MODE($D$61:$D$91)</f>
        <v>#VALUE!</v>
      </c>
      <c r="M64" s="2" t="e">
        <f aca="false">MODE($F$61:$F$91)</f>
        <v>#VALUE!</v>
      </c>
      <c r="N64" s="2" t="n">
        <f aca="false">MODE($H$61:$H$91)</f>
        <v>86</v>
      </c>
    </row>
    <row r="65" customFormat="false" ht="13.8" hidden="false" customHeight="false" outlineLevel="0" collapsed="false">
      <c r="A65" s="32" t="n">
        <v>46086</v>
      </c>
      <c r="B65" s="33" t="n">
        <v>12450</v>
      </c>
      <c r="C65" s="33" t="n">
        <f aca="false">B65-B64</f>
        <v>-4437</v>
      </c>
      <c r="D65" s="33" t="n">
        <v>539.5</v>
      </c>
      <c r="E65" s="33" t="n">
        <f aca="false">D65-D64</f>
        <v>-205.6</v>
      </c>
      <c r="F65" s="33" t="n">
        <v>8.96</v>
      </c>
      <c r="G65" s="33" t="n">
        <f aca="false">F65-F64</f>
        <v>-3.2</v>
      </c>
      <c r="H65" s="33" t="n">
        <v>112</v>
      </c>
      <c r="I65" s="33" t="n">
        <f aca="false">H65-H64</f>
        <v>-51</v>
      </c>
      <c r="J65" s="2" t="s">
        <v>12</v>
      </c>
      <c r="K65" s="2" t="n">
        <f aca="false">MEDIAN($B$61:$B$91)</f>
        <v>12556</v>
      </c>
      <c r="L65" s="2" t="n">
        <f aca="false">MEDIAN($D$61:$D$91)</f>
        <v>551</v>
      </c>
      <c r="M65" s="2" t="n">
        <f aca="false">MEDIAN($F$61:$F$91)</f>
        <v>9.04</v>
      </c>
      <c r="N65" s="2" t="n">
        <f aca="false">MEDIAN($H$61:$H$91)</f>
        <v>118</v>
      </c>
    </row>
    <row r="66" customFormat="false" ht="13.8" hidden="false" customHeight="false" outlineLevel="0" collapsed="false">
      <c r="A66" s="32" t="n">
        <v>46087</v>
      </c>
      <c r="B66" s="33" t="n">
        <v>13553</v>
      </c>
      <c r="C66" s="33" t="n">
        <f aca="false">B66-B65</f>
        <v>1103</v>
      </c>
      <c r="D66" s="33" t="n">
        <v>598</v>
      </c>
      <c r="E66" s="33" t="n">
        <f aca="false">D66-D65</f>
        <v>58.5</v>
      </c>
      <c r="F66" s="33" t="n">
        <v>9.76</v>
      </c>
      <c r="G66" s="33" t="n">
        <f aca="false">F66-F65</f>
        <v>0.799999999999999</v>
      </c>
      <c r="H66" s="33" t="n">
        <v>130</v>
      </c>
      <c r="I66" s="33" t="n">
        <f aca="false">H66-H65</f>
        <v>18</v>
      </c>
      <c r="J66" s="2" t="s">
        <v>195</v>
      </c>
      <c r="K66" s="2" t="n">
        <f aca="false">QUARTILE($B$61:$B$91, 1)</f>
        <v>9772.5</v>
      </c>
      <c r="L66" s="2" t="n">
        <f aca="false">QUARTILE($D$61:$D$91, 1)</f>
        <v>432.7</v>
      </c>
      <c r="M66" s="2" t="n">
        <f aca="false">QUARTILE($F$61:$F$91, 1)</f>
        <v>7.035</v>
      </c>
      <c r="N66" s="2" t="n">
        <f aca="false">QUARTILE($H$61:$H$91, 1)</f>
        <v>95</v>
      </c>
    </row>
    <row r="67" customFormat="false" ht="13.8" hidden="false" customHeight="false" outlineLevel="0" collapsed="false">
      <c r="A67" s="32" t="n">
        <v>46088</v>
      </c>
      <c r="B67" s="33" t="n">
        <v>9190</v>
      </c>
      <c r="C67" s="33" t="n">
        <f aca="false">B67-B66</f>
        <v>-4363</v>
      </c>
      <c r="D67" s="33" t="n">
        <v>406.9</v>
      </c>
      <c r="E67" s="33" t="n">
        <f aca="false">D67-D66</f>
        <v>-191.1</v>
      </c>
      <c r="F67" s="33" t="n">
        <v>6.62</v>
      </c>
      <c r="G67" s="33" t="n">
        <f aca="false">F67-F66</f>
        <v>-3.14</v>
      </c>
      <c r="H67" s="33" t="n">
        <v>89</v>
      </c>
      <c r="I67" s="33" t="n">
        <f aca="false">H67-H66</f>
        <v>-41</v>
      </c>
      <c r="J67" s="2" t="s">
        <v>181</v>
      </c>
      <c r="K67" s="2" t="n">
        <f aca="false">QUARTILE($B$61:$B$91, 3)</f>
        <v>16636</v>
      </c>
      <c r="L67" s="2" t="n">
        <f aca="false">QUARTILE($D$61:$D$91, 3)</f>
        <v>731.95</v>
      </c>
      <c r="M67" s="2" t="n">
        <f aca="false">QUARTILE($F$61:$F$91, 3)</f>
        <v>11.98</v>
      </c>
      <c r="N67" s="2" t="n">
        <f aca="false">QUARTILE($H$61:$H$91, 3)</f>
        <v>158</v>
      </c>
    </row>
    <row r="68" customFormat="false" ht="13.8" hidden="false" customHeight="false" outlineLevel="0" collapsed="false">
      <c r="A68" s="32" t="n">
        <v>46089</v>
      </c>
      <c r="B68" s="33" t="n">
        <v>18923</v>
      </c>
      <c r="C68" s="33" t="n">
        <f aca="false">B68-B67</f>
        <v>9733</v>
      </c>
      <c r="D68" s="33" t="n">
        <v>895.7</v>
      </c>
      <c r="E68" s="33" t="n">
        <f aca="false">D68-D67</f>
        <v>488.8</v>
      </c>
      <c r="F68" s="33" t="n">
        <v>13.62</v>
      </c>
      <c r="G68" s="33" t="n">
        <f aca="false">F68-F67</f>
        <v>7</v>
      </c>
      <c r="H68" s="33" t="n">
        <v>217</v>
      </c>
      <c r="I68" s="33" t="n">
        <f aca="false">H68-H67</f>
        <v>128</v>
      </c>
      <c r="J68" s="2" t="s">
        <v>182</v>
      </c>
      <c r="K68" s="2" t="n">
        <f aca="false">VAR($B$61:$B$91)</f>
        <v>23132476.4623656</v>
      </c>
      <c r="L68" s="2" t="n">
        <f aca="false">VAR($D$61:$D$91)</f>
        <v>44731.5131612903</v>
      </c>
      <c r="M68" s="2" t="n">
        <f aca="false">VAR($F$61:$F$91)</f>
        <v>11.9861784946237</v>
      </c>
      <c r="N68" s="2" t="n">
        <f aca="false">VAR($H$61:$H$91)</f>
        <v>2300.38279569893</v>
      </c>
    </row>
    <row r="69" customFormat="false" ht="13.8" hidden="false" customHeight="false" outlineLevel="0" collapsed="false">
      <c r="A69" s="32" t="n">
        <v>46090</v>
      </c>
      <c r="B69" s="33" t="n">
        <v>9396</v>
      </c>
      <c r="C69" s="33" t="n">
        <f aca="false">B69-B68</f>
        <v>-9527</v>
      </c>
      <c r="D69" s="33" t="n">
        <v>412.3</v>
      </c>
      <c r="E69" s="33" t="n">
        <f aca="false">D69-D68</f>
        <v>-483.4</v>
      </c>
      <c r="F69" s="33" t="n">
        <v>6.77</v>
      </c>
      <c r="G69" s="33" t="n">
        <f aca="false">F69-F68</f>
        <v>-6.85</v>
      </c>
      <c r="H69" s="33" t="n">
        <v>87</v>
      </c>
      <c r="I69" s="33" t="n">
        <f aca="false">H69-H68</f>
        <v>-130</v>
      </c>
      <c r="J69" s="2" t="s">
        <v>16</v>
      </c>
      <c r="K69" s="2" t="n">
        <f aca="false">STDEV($B$61:$B$91)</f>
        <v>4809.62331813684</v>
      </c>
      <c r="L69" s="2" t="n">
        <f aca="false">STDEV($D$61:$D$91)</f>
        <v>211.498258057343</v>
      </c>
      <c r="M69" s="2" t="n">
        <f aca="false">STDEV($F$61:$F$91)</f>
        <v>3.46210607789878</v>
      </c>
      <c r="N69" s="2" t="n">
        <f aca="false">STDEV($H$61:$H$91)</f>
        <v>47.9623059881291</v>
      </c>
    </row>
    <row r="70" customFormat="false" ht="13.8" hidden="false" customHeight="false" outlineLevel="0" collapsed="false">
      <c r="A70" s="32" t="n">
        <v>46091</v>
      </c>
      <c r="B70" s="33" t="n">
        <v>12556</v>
      </c>
      <c r="C70" s="33" t="n">
        <f aca="false">B70-B69</f>
        <v>3160</v>
      </c>
      <c r="D70" s="33" t="n">
        <v>551</v>
      </c>
      <c r="E70" s="33" t="n">
        <f aca="false">D70-D69</f>
        <v>138.7</v>
      </c>
      <c r="F70" s="33" t="n">
        <v>9.04</v>
      </c>
      <c r="G70" s="33" t="n">
        <f aca="false">F70-F69</f>
        <v>2.27</v>
      </c>
      <c r="H70" s="33" t="n">
        <v>118</v>
      </c>
      <c r="I70" s="33" t="n">
        <f aca="false">H70-H69</f>
        <v>31</v>
      </c>
      <c r="J70" s="2" t="s">
        <v>20</v>
      </c>
      <c r="K70" s="2" t="n">
        <f aca="false">KURT($B$61:$B$91)</f>
        <v>-0.406807879339204</v>
      </c>
      <c r="L70" s="2" t="n">
        <f aca="false">KURT($D$61:$D$91)</f>
        <v>-0.329601216512817</v>
      </c>
      <c r="M70" s="2" t="n">
        <f aca="false">KURT($F$61:$F$91)</f>
        <v>-0.407047394659813</v>
      </c>
      <c r="N70" s="2" t="n">
        <f aca="false">KURT($H$61:$H$91)</f>
        <v>-0.132222491368206</v>
      </c>
    </row>
    <row r="71" customFormat="false" ht="13.8" hidden="false" customHeight="false" outlineLevel="0" collapsed="false">
      <c r="A71" s="32" t="n">
        <v>46092</v>
      </c>
      <c r="B71" s="33" t="n">
        <v>9687</v>
      </c>
      <c r="C71" s="33" t="n">
        <f aca="false">B71-B70</f>
        <v>-2869</v>
      </c>
      <c r="D71" s="33" t="n">
        <v>424.8</v>
      </c>
      <c r="E71" s="33" t="n">
        <f aca="false">D71-D70</f>
        <v>-126.2</v>
      </c>
      <c r="F71" s="33" t="n">
        <v>6.97</v>
      </c>
      <c r="G71" s="33" t="n">
        <f aca="false">F71-F70</f>
        <v>-2.07</v>
      </c>
      <c r="H71" s="33" t="n">
        <v>91</v>
      </c>
      <c r="I71" s="33" t="n">
        <f aca="false">H71-H70</f>
        <v>-27</v>
      </c>
      <c r="J71" s="2" t="s">
        <v>22</v>
      </c>
      <c r="K71" s="2" t="n">
        <f aca="false">SKEW($B$61:$B$91)</f>
        <v>0.573971831992613</v>
      </c>
      <c r="L71" s="2" t="n">
        <f aca="false">SKEW($D$61:$D$91)</f>
        <v>0.657609898556045</v>
      </c>
      <c r="M71" s="2" t="n">
        <f aca="false">SKEW($F$61:$F$91)</f>
        <v>0.573863427285131</v>
      </c>
      <c r="N71" s="2" t="n">
        <f aca="false">SKEW($H$61:$H$91)</f>
        <v>0.848843869212579</v>
      </c>
    </row>
    <row r="72" customFormat="false" ht="13.8" hidden="false" customHeight="false" outlineLevel="0" collapsed="false">
      <c r="A72" s="32" t="n">
        <v>46093</v>
      </c>
      <c r="B72" s="33" t="n">
        <v>13779</v>
      </c>
      <c r="C72" s="33" t="n">
        <f aca="false">B72-B71</f>
        <v>4092</v>
      </c>
      <c r="D72" s="33" t="n">
        <v>599.8</v>
      </c>
      <c r="E72" s="33" t="n">
        <f aca="false">D72-D71</f>
        <v>175</v>
      </c>
      <c r="F72" s="33" t="n">
        <v>9.92</v>
      </c>
      <c r="G72" s="33" t="n">
        <f aca="false">F72-F71</f>
        <v>2.95</v>
      </c>
      <c r="H72" s="33" t="n">
        <v>127</v>
      </c>
      <c r="I72" s="33" t="n">
        <f aca="false">H72-H71</f>
        <v>36</v>
      </c>
      <c r="J72" s="2" t="s">
        <v>24</v>
      </c>
      <c r="K72" s="2" t="n">
        <f aca="false">MAX($B$61:$B$91)-MIN($B$61:$B$91)</f>
        <v>18017</v>
      </c>
      <c r="L72" s="2" t="n">
        <f aca="false">MAX($D$61:$D$91)-MIN($D$61:$D$91)</f>
        <v>809.9</v>
      </c>
      <c r="M72" s="2" t="n">
        <f aca="false">MAX($F$61:$F$91)-MIN($F$61:$F$91)</f>
        <v>12.97</v>
      </c>
      <c r="N72" s="2" t="n">
        <f aca="false">MAX($H$61:$H$91)-MIN($H$61:$H$91)</f>
        <v>184</v>
      </c>
    </row>
    <row r="73" customFormat="false" ht="13.8" hidden="false" customHeight="false" outlineLevel="0" collapsed="false">
      <c r="A73" s="32" t="n">
        <v>46094</v>
      </c>
      <c r="B73" s="33" t="n">
        <v>12379</v>
      </c>
      <c r="C73" s="33" t="n">
        <f aca="false">B73-B72</f>
        <v>-1400</v>
      </c>
      <c r="D73" s="33" t="n">
        <v>543.4</v>
      </c>
      <c r="E73" s="33" t="n">
        <f aca="false">D73-D72</f>
        <v>-56.4</v>
      </c>
      <c r="F73" s="33" t="n">
        <v>8.91</v>
      </c>
      <c r="G73" s="33" t="n">
        <f aca="false">F73-F72</f>
        <v>-1.01</v>
      </c>
      <c r="H73" s="33" t="n">
        <v>117</v>
      </c>
      <c r="I73" s="33" t="n">
        <f aca="false">H73-H72</f>
        <v>-10</v>
      </c>
      <c r="J73" s="2" t="s">
        <v>26</v>
      </c>
      <c r="K73" s="2" t="n">
        <f aca="false">MIN($B$61:$B$91)</f>
        <v>6414</v>
      </c>
      <c r="L73" s="2" t="n">
        <f aca="false">MIN($D$61:$D$91)</f>
        <v>290.3</v>
      </c>
      <c r="M73" s="2" t="n">
        <f aca="false">MIN($F$61:$F$91)</f>
        <v>4.62</v>
      </c>
      <c r="N73" s="2" t="n">
        <f aca="false">MIN($H$61:$H$91)</f>
        <v>66</v>
      </c>
    </row>
    <row r="74" customFormat="false" ht="13.8" hidden="false" customHeight="false" outlineLevel="0" collapsed="false">
      <c r="A74" s="32" t="n">
        <v>46095</v>
      </c>
      <c r="B74" s="33" t="n">
        <v>8589</v>
      </c>
      <c r="C74" s="33" t="n">
        <f aca="false">B74-B73</f>
        <v>-3790</v>
      </c>
      <c r="D74" s="33" t="n">
        <v>384.4</v>
      </c>
      <c r="E74" s="33" t="n">
        <f aca="false">D74-D73</f>
        <v>-159</v>
      </c>
      <c r="F74" s="33" t="n">
        <v>6.18</v>
      </c>
      <c r="G74" s="33" t="n">
        <f aca="false">F74-F73</f>
        <v>-2.73</v>
      </c>
      <c r="H74" s="33" t="n">
        <v>86</v>
      </c>
      <c r="I74" s="33" t="n">
        <f aca="false">H74-H73</f>
        <v>-31</v>
      </c>
      <c r="J74" s="2" t="s">
        <v>28</v>
      </c>
      <c r="K74" s="2" t="n">
        <f aca="false">MAX($B$61:$B$91)</f>
        <v>24431</v>
      </c>
      <c r="L74" s="2" t="n">
        <f aca="false">MAX($D$61:$D$91)</f>
        <v>1100.2</v>
      </c>
      <c r="M74" s="2" t="n">
        <f aca="false">MAX($F$61:$F$91)</f>
        <v>17.59</v>
      </c>
      <c r="N74" s="2" t="n">
        <f aca="false">MAX($H$61:$H$91)</f>
        <v>250</v>
      </c>
    </row>
    <row r="75" customFormat="false" ht="13.8" hidden="false" customHeight="false" outlineLevel="0" collapsed="false">
      <c r="A75" s="32" t="n">
        <v>46096</v>
      </c>
      <c r="B75" s="33" t="n">
        <v>20099</v>
      </c>
      <c r="C75" s="33" t="n">
        <f aca="false">B75-B74</f>
        <v>11510</v>
      </c>
      <c r="D75" s="33" t="n">
        <v>883.9</v>
      </c>
      <c r="E75" s="33" t="n">
        <f aca="false">D75-D74</f>
        <v>499.5</v>
      </c>
      <c r="F75" s="33" t="n">
        <v>14.47</v>
      </c>
      <c r="G75" s="33" t="n">
        <f aca="false">F75-F74</f>
        <v>8.29</v>
      </c>
      <c r="H75" s="33" t="n">
        <v>190</v>
      </c>
      <c r="I75" s="33" t="n">
        <f aca="false">H75-H74</f>
        <v>104</v>
      </c>
      <c r="J75" s="2" t="s">
        <v>30</v>
      </c>
      <c r="K75" s="2" t="n">
        <f aca="false">SUM($B$61:$B$91)</f>
        <v>422993</v>
      </c>
      <c r="L75" s="2" t="n">
        <f aca="false">SUM($D$61:$D$91)</f>
        <v>18754.6</v>
      </c>
      <c r="M75" s="2" t="n">
        <f aca="false">SUM($F$61:$F$91)</f>
        <v>304.55</v>
      </c>
      <c r="N75" s="2" t="n">
        <f aca="false">SUM($H$61:$H$91)</f>
        <v>4119</v>
      </c>
    </row>
    <row r="76" customFormat="false" ht="13.8" hidden="false" customHeight="false" outlineLevel="0" collapsed="false">
      <c r="A76" s="32" t="n">
        <v>46097</v>
      </c>
      <c r="B76" s="33" t="n">
        <v>12078</v>
      </c>
      <c r="C76" s="33" t="n">
        <f aca="false">B76-B75</f>
        <v>-8021</v>
      </c>
      <c r="D76" s="33" t="n">
        <v>524.3</v>
      </c>
      <c r="E76" s="33" t="n">
        <f aca="false">D76-D75</f>
        <v>-359.6</v>
      </c>
      <c r="F76" s="33" t="n">
        <v>8.7</v>
      </c>
      <c r="G76" s="33" t="n">
        <f aca="false">F76-F75</f>
        <v>-5.77</v>
      </c>
      <c r="H76" s="33" t="n">
        <v>108</v>
      </c>
      <c r="I76" s="33" t="n">
        <f aca="false">H76-H75</f>
        <v>-82</v>
      </c>
      <c r="J76" s="2" t="s">
        <v>32</v>
      </c>
      <c r="K76" s="2" t="n">
        <f aca="false">COUNT($B$61:$B$91)</f>
        <v>31</v>
      </c>
      <c r="L76" s="2" t="n">
        <f aca="false">COUNT($D$61:$D$91)</f>
        <v>31</v>
      </c>
      <c r="M76" s="2" t="n">
        <f aca="false">COUNT($F$61:$F$91)</f>
        <v>31</v>
      </c>
      <c r="N76" s="2" t="n">
        <f aca="false">COUNT($H$61:$H$91)</f>
        <v>31</v>
      </c>
    </row>
    <row r="77" customFormat="false" ht="13.8" hidden="false" customHeight="false" outlineLevel="0" collapsed="false">
      <c r="A77" s="32" t="n">
        <v>46098</v>
      </c>
      <c r="B77" s="33" t="n">
        <v>11437</v>
      </c>
      <c r="C77" s="33" t="n">
        <f aca="false">B77-B76</f>
        <v>-641</v>
      </c>
      <c r="D77" s="33" t="n">
        <v>501.4</v>
      </c>
      <c r="E77" s="33" t="n">
        <f aca="false">D77-D76</f>
        <v>-22.9</v>
      </c>
      <c r="F77" s="33" t="n">
        <v>8.23</v>
      </c>
      <c r="G77" s="33" t="n">
        <f aca="false">F77-F76</f>
        <v>-0.469999999999999</v>
      </c>
      <c r="H77" s="33" t="n">
        <v>107</v>
      </c>
      <c r="I77" s="33" t="n">
        <f aca="false">H77-H76</f>
        <v>-1</v>
      </c>
    </row>
    <row r="78" customFormat="false" ht="13.8" hidden="false" customHeight="false" outlineLevel="0" collapsed="false">
      <c r="A78" s="32" t="n">
        <v>46099</v>
      </c>
      <c r="B78" s="33" t="n">
        <v>11195</v>
      </c>
      <c r="C78" s="33" t="n">
        <f aca="false">B78-B77</f>
        <v>-242</v>
      </c>
      <c r="D78" s="33" t="n">
        <v>489.2</v>
      </c>
      <c r="E78" s="33" t="n">
        <f aca="false">D78-D77</f>
        <v>-12.2</v>
      </c>
      <c r="F78" s="33" t="n">
        <v>8.06</v>
      </c>
      <c r="G78" s="33" t="n">
        <f aca="false">F78-F77</f>
        <v>-0.17</v>
      </c>
      <c r="H78" s="33" t="n">
        <v>104</v>
      </c>
      <c r="I78" s="33" t="n">
        <f aca="false">H78-H77</f>
        <v>-3</v>
      </c>
    </row>
    <row r="79" customFormat="false" ht="13.8" hidden="false" customHeight="false" outlineLevel="0" collapsed="false">
      <c r="A79" s="32" t="n">
        <v>46100</v>
      </c>
      <c r="B79" s="33" t="n">
        <v>13015</v>
      </c>
      <c r="C79" s="33" t="n">
        <f aca="false">B79-B78</f>
        <v>1820</v>
      </c>
      <c r="D79" s="33" t="n">
        <v>564.3</v>
      </c>
      <c r="E79" s="33" t="n">
        <f aca="false">D79-D78</f>
        <v>75.1</v>
      </c>
      <c r="F79" s="33" t="n">
        <v>9.37</v>
      </c>
      <c r="G79" s="33" t="n">
        <f aca="false">F79-F78</f>
        <v>1.31</v>
      </c>
      <c r="H79" s="33" t="n">
        <v>114</v>
      </c>
      <c r="I79" s="33" t="n">
        <f aca="false">H79-H78</f>
        <v>10</v>
      </c>
    </row>
    <row r="80" customFormat="false" ht="13.8" hidden="false" customHeight="false" outlineLevel="0" collapsed="false">
      <c r="A80" s="32" t="n">
        <v>46101</v>
      </c>
      <c r="B80" s="33" t="n">
        <v>15137</v>
      </c>
      <c r="C80" s="33" t="n">
        <f aca="false">B80-B79</f>
        <v>2122</v>
      </c>
      <c r="D80" s="33" t="n">
        <v>669.4</v>
      </c>
      <c r="E80" s="33" t="n">
        <f aca="false">D80-D79</f>
        <v>105.1</v>
      </c>
      <c r="F80" s="33" t="n">
        <v>10.9</v>
      </c>
      <c r="G80" s="33" t="n">
        <f aca="false">F80-F79</f>
        <v>1.53</v>
      </c>
      <c r="H80" s="33" t="n">
        <v>146</v>
      </c>
      <c r="I80" s="33" t="n">
        <f aca="false">H80-H79</f>
        <v>32</v>
      </c>
    </row>
    <row r="81" customFormat="false" ht="13.8" hidden="false" customHeight="false" outlineLevel="0" collapsed="false">
      <c r="A81" s="32" t="n">
        <v>46102</v>
      </c>
      <c r="B81" s="33" t="n">
        <v>24431</v>
      </c>
      <c r="C81" s="33" t="n">
        <f aca="false">B81-B80</f>
        <v>9294</v>
      </c>
      <c r="D81" s="33" t="n">
        <v>1100.2</v>
      </c>
      <c r="E81" s="33" t="n">
        <f aca="false">D81-D80</f>
        <v>430.8</v>
      </c>
      <c r="F81" s="33" t="n">
        <v>17.59</v>
      </c>
      <c r="G81" s="33" t="n">
        <f aca="false">F81-F80</f>
        <v>6.69</v>
      </c>
      <c r="H81" s="33" t="n">
        <v>250</v>
      </c>
      <c r="I81" s="33" t="n">
        <f aca="false">H81-H80</f>
        <v>104</v>
      </c>
    </row>
    <row r="82" customFormat="false" ht="13.8" hidden="false" customHeight="false" outlineLevel="0" collapsed="false">
      <c r="A82" s="32" t="n">
        <v>46103</v>
      </c>
      <c r="B82" s="33" t="n">
        <v>18287</v>
      </c>
      <c r="C82" s="33" t="n">
        <f aca="false">B82-B81</f>
        <v>-6144</v>
      </c>
      <c r="D82" s="33" t="n">
        <v>815.4</v>
      </c>
      <c r="E82" s="33" t="n">
        <f aca="false">D82-D81</f>
        <v>-284.8</v>
      </c>
      <c r="F82" s="33" t="n">
        <v>13.17</v>
      </c>
      <c r="G82" s="33" t="n">
        <f aca="false">F82-F81</f>
        <v>-4.42</v>
      </c>
      <c r="H82" s="33" t="n">
        <v>212</v>
      </c>
      <c r="I82" s="33" t="n">
        <f aca="false">H82-H81</f>
        <v>-38</v>
      </c>
    </row>
    <row r="83" customFormat="false" ht="13.8" hidden="false" customHeight="false" outlineLevel="0" collapsed="false">
      <c r="A83" s="32" t="n">
        <v>46104</v>
      </c>
      <c r="B83" s="33" t="n">
        <v>20006</v>
      </c>
      <c r="C83" s="33" t="n">
        <f aca="false">B83-B82</f>
        <v>1719</v>
      </c>
      <c r="D83" s="33" t="n">
        <v>869.2</v>
      </c>
      <c r="E83" s="33" t="n">
        <f aca="false">D83-D82</f>
        <v>53.8000000000001</v>
      </c>
      <c r="F83" s="33" t="n">
        <v>14.4</v>
      </c>
      <c r="G83" s="33" t="n">
        <f aca="false">F83-F82</f>
        <v>1.23</v>
      </c>
      <c r="H83" s="33" t="n">
        <v>181</v>
      </c>
      <c r="I83" s="33" t="n">
        <f aca="false">H83-H82</f>
        <v>-31</v>
      </c>
    </row>
    <row r="84" customFormat="false" ht="13.8" hidden="false" customHeight="false" outlineLevel="0" collapsed="false">
      <c r="A84" s="32" t="n">
        <v>46105</v>
      </c>
      <c r="B84" s="33" t="n">
        <v>14277</v>
      </c>
      <c r="C84" s="33" t="n">
        <f aca="false">B84-B83</f>
        <v>-5729</v>
      </c>
      <c r="D84" s="33" t="n">
        <v>623.7</v>
      </c>
      <c r="E84" s="33" t="n">
        <f aca="false">D84-D83</f>
        <v>-245.5</v>
      </c>
      <c r="F84" s="33" t="n">
        <v>10.28</v>
      </c>
      <c r="G84" s="33" t="n">
        <f aca="false">F84-F83</f>
        <v>-4.12</v>
      </c>
      <c r="H84" s="33" t="n">
        <v>133</v>
      </c>
      <c r="I84" s="33" t="n">
        <f aca="false">H84-H83</f>
        <v>-48</v>
      </c>
    </row>
    <row r="85" customFormat="false" ht="13.8" hidden="false" customHeight="false" outlineLevel="0" collapsed="false">
      <c r="A85" s="32" t="n">
        <v>46106</v>
      </c>
      <c r="B85" s="33" t="n">
        <v>15984</v>
      </c>
      <c r="C85" s="33" t="n">
        <f aca="false">B85-B84</f>
        <v>1707</v>
      </c>
      <c r="D85" s="33" t="n">
        <v>699.8</v>
      </c>
      <c r="E85" s="33" t="n">
        <f aca="false">D85-D84</f>
        <v>76.0999999999999</v>
      </c>
      <c r="F85" s="33" t="n">
        <v>11.51</v>
      </c>
      <c r="G85" s="33" t="n">
        <f aca="false">F85-F84</f>
        <v>1.23</v>
      </c>
      <c r="H85" s="33" t="n">
        <v>149</v>
      </c>
      <c r="I85" s="33" t="n">
        <f aca="false">H85-H84</f>
        <v>16</v>
      </c>
    </row>
    <row r="86" customFormat="false" ht="13.8" hidden="false" customHeight="false" outlineLevel="0" collapsed="false">
      <c r="A86" s="32" t="n">
        <v>46107</v>
      </c>
      <c r="B86" s="33" t="n">
        <v>19978</v>
      </c>
      <c r="C86" s="33" t="n">
        <f aca="false">B86-B85</f>
        <v>3994</v>
      </c>
      <c r="D86" s="33" t="n">
        <v>868.6</v>
      </c>
      <c r="E86" s="33" t="n">
        <f aca="false">D86-D85</f>
        <v>168.8</v>
      </c>
      <c r="F86" s="33" t="n">
        <v>14.38</v>
      </c>
      <c r="G86" s="33" t="n">
        <f aca="false">F86-F85</f>
        <v>2.87</v>
      </c>
      <c r="H86" s="33" t="n">
        <v>182</v>
      </c>
      <c r="I86" s="33" t="n">
        <f aca="false">H86-H85</f>
        <v>33</v>
      </c>
    </row>
    <row r="87" customFormat="false" ht="13.8" hidden="false" customHeight="false" outlineLevel="0" collapsed="false">
      <c r="A87" s="32" t="n">
        <v>46108</v>
      </c>
      <c r="B87" s="33" t="n">
        <v>16385</v>
      </c>
      <c r="C87" s="33" t="n">
        <f aca="false">B87-B86</f>
        <v>-3593</v>
      </c>
      <c r="D87" s="33" t="n">
        <v>718.8</v>
      </c>
      <c r="E87" s="33" t="n">
        <f aca="false">D87-D86</f>
        <v>-149.8</v>
      </c>
      <c r="F87" s="33" t="n">
        <v>11.8</v>
      </c>
      <c r="G87" s="33" t="n">
        <f aca="false">F87-F86</f>
        <v>-2.58</v>
      </c>
      <c r="H87" s="33" t="n">
        <v>153</v>
      </c>
      <c r="I87" s="33" t="n">
        <f aca="false">H87-H86</f>
        <v>-29</v>
      </c>
    </row>
    <row r="88" customFormat="false" ht="13.8" hidden="false" customHeight="false" outlineLevel="0" collapsed="false">
      <c r="A88" s="32" t="n">
        <v>46109</v>
      </c>
      <c r="B88" s="33" t="n">
        <v>9858</v>
      </c>
      <c r="C88" s="33" t="n">
        <f aca="false">B88-B87</f>
        <v>-6527</v>
      </c>
      <c r="D88" s="33" t="n">
        <v>440.6</v>
      </c>
      <c r="E88" s="33" t="n">
        <f aca="false">D88-D87</f>
        <v>-278.2</v>
      </c>
      <c r="F88" s="33" t="n">
        <v>7.1</v>
      </c>
      <c r="G88" s="33" t="n">
        <f aca="false">F88-F87</f>
        <v>-4.7</v>
      </c>
      <c r="H88" s="33" t="n">
        <v>99</v>
      </c>
      <c r="I88" s="33" t="n">
        <f aca="false">H88-H87</f>
        <v>-54</v>
      </c>
    </row>
    <row r="89" customFormat="false" ht="13.8" hidden="false" customHeight="false" outlineLevel="0" collapsed="false">
      <c r="A89" s="32" t="n">
        <v>46110</v>
      </c>
      <c r="B89" s="33" t="n">
        <v>7133</v>
      </c>
      <c r="C89" s="33" t="n">
        <f aca="false">B89-B88</f>
        <v>-2725</v>
      </c>
      <c r="D89" s="33" t="n">
        <v>328.6</v>
      </c>
      <c r="E89" s="33" t="n">
        <f aca="false">D89-D88</f>
        <v>-112</v>
      </c>
      <c r="F89" s="33" t="n">
        <v>5.14</v>
      </c>
      <c r="G89" s="33" t="n">
        <f aca="false">F89-F88</f>
        <v>-1.96</v>
      </c>
      <c r="H89" s="33" t="n">
        <v>76</v>
      </c>
      <c r="I89" s="33" t="n">
        <f aca="false">H89-H88</f>
        <v>-23</v>
      </c>
    </row>
    <row r="90" customFormat="false" ht="13.8" hidden="false" customHeight="false" outlineLevel="0" collapsed="false">
      <c r="A90" s="32" t="n">
        <v>46111</v>
      </c>
      <c r="B90" s="33" t="n">
        <v>23518</v>
      </c>
      <c r="C90" s="33" t="n">
        <f aca="false">B90-B89</f>
        <v>16385</v>
      </c>
      <c r="D90" s="33" t="n">
        <v>1027.6</v>
      </c>
      <c r="E90" s="33" t="n">
        <f aca="false">D90-D89</f>
        <v>699</v>
      </c>
      <c r="F90" s="33" t="n">
        <v>16.93</v>
      </c>
      <c r="G90" s="33" t="n">
        <f aca="false">F90-F89</f>
        <v>11.79</v>
      </c>
      <c r="H90" s="33" t="n">
        <v>219</v>
      </c>
      <c r="I90" s="33" t="n">
        <f aca="false">H90-H89</f>
        <v>143</v>
      </c>
    </row>
    <row r="91" customFormat="false" ht="13.8" hidden="false" customHeight="false" outlineLevel="0" collapsed="false">
      <c r="A91" s="32" t="n">
        <v>46112</v>
      </c>
      <c r="B91" s="33" t="n">
        <v>8720</v>
      </c>
      <c r="C91" s="33" t="n">
        <f aca="false">B91-B90</f>
        <v>-14798</v>
      </c>
      <c r="D91" s="33" t="n">
        <v>390.1</v>
      </c>
      <c r="E91" s="33" t="n">
        <f aca="false">D91-D90</f>
        <v>-637.5</v>
      </c>
      <c r="F91" s="33" t="n">
        <v>6.28</v>
      </c>
      <c r="G91" s="33" t="n">
        <f aca="false">F91-F90</f>
        <v>-10.65</v>
      </c>
      <c r="H91" s="33" t="n">
        <v>86</v>
      </c>
      <c r="I91" s="33" t="n">
        <f aca="false">H91-H90</f>
        <v>-133</v>
      </c>
    </row>
    <row r="92" customFormat="false" ht="13.8" hidden="false" customHeight="false" outlineLevel="0" collapsed="false">
      <c r="A92" s="32" t="n">
        <v>46113</v>
      </c>
      <c r="B92" s="33" t="n">
        <v>14026</v>
      </c>
      <c r="C92" s="33" t="n">
        <f aca="false">B92-B91</f>
        <v>5306</v>
      </c>
      <c r="D92" s="33" t="n">
        <v>612.5</v>
      </c>
      <c r="E92" s="33" t="n">
        <f aca="false">D92-D91</f>
        <v>222.4</v>
      </c>
      <c r="F92" s="33" t="n">
        <v>10.1</v>
      </c>
      <c r="G92" s="33" t="n">
        <f aca="false">F92-F91</f>
        <v>3.82</v>
      </c>
      <c r="H92" s="33" t="n">
        <v>130</v>
      </c>
      <c r="I92" s="33" t="n">
        <f aca="false">H92-H91</f>
        <v>44</v>
      </c>
      <c r="K92" s="34" t="s">
        <v>2</v>
      </c>
      <c r="L92" s="34" t="s">
        <v>179</v>
      </c>
      <c r="M92" s="34" t="s">
        <v>175</v>
      </c>
      <c r="N92" s="34" t="s">
        <v>177</v>
      </c>
    </row>
    <row r="93" customFormat="false" ht="13.8" hidden="false" customHeight="false" outlineLevel="0" collapsed="false">
      <c r="A93" s="32" t="n">
        <v>46114</v>
      </c>
      <c r="B93" s="33" t="n">
        <v>11514</v>
      </c>
      <c r="C93" s="33" t="n">
        <f aca="false">B93-B92</f>
        <v>-2512</v>
      </c>
      <c r="D93" s="33" t="n">
        <v>505.8</v>
      </c>
      <c r="E93" s="33" t="n">
        <f aca="false">D93-D92</f>
        <v>-106.7</v>
      </c>
      <c r="F93" s="33" t="n">
        <v>8.29</v>
      </c>
      <c r="G93" s="33" t="n">
        <f aca="false">F93-F92</f>
        <v>-1.81</v>
      </c>
      <c r="H93" s="33" t="n">
        <v>109</v>
      </c>
      <c r="I93" s="33" t="n">
        <f aca="false">H93-H92</f>
        <v>-21</v>
      </c>
      <c r="J93" s="2" t="s">
        <v>8</v>
      </c>
      <c r="K93" s="2" t="n">
        <f aca="false">AVERAGE($B$92:$B$121)</f>
        <v>15084.8333333333</v>
      </c>
      <c r="L93" s="2" t="n">
        <f aca="false">AVERAGE($D$92:$D$121)</f>
        <v>669.993333333333</v>
      </c>
      <c r="M93" s="2" t="n">
        <f aca="false">AVERAGE($F$92:$F$121)</f>
        <v>10.861</v>
      </c>
      <c r="N93" s="2" t="n">
        <f aca="false">AVERAGE($H$92:$H$121)</f>
        <v>147.166666666667</v>
      </c>
    </row>
    <row r="94" customFormat="false" ht="13.8" hidden="false" customHeight="false" outlineLevel="0" collapsed="false">
      <c r="A94" s="32" t="n">
        <v>46115</v>
      </c>
      <c r="B94" s="33" t="n">
        <v>16030</v>
      </c>
      <c r="C94" s="33" t="n">
        <f aca="false">B94-B93</f>
        <v>4516</v>
      </c>
      <c r="D94" s="33" t="n">
        <v>703.9</v>
      </c>
      <c r="E94" s="33" t="n">
        <f aca="false">D94-D93</f>
        <v>198.1</v>
      </c>
      <c r="F94" s="33" t="n">
        <v>11.54</v>
      </c>
      <c r="G94" s="33" t="n">
        <f aca="false">F94-F93</f>
        <v>3.25</v>
      </c>
      <c r="H94" s="33" t="n">
        <v>152</v>
      </c>
      <c r="I94" s="33" t="n">
        <f aca="false">H94-H93</f>
        <v>43</v>
      </c>
      <c r="J94" s="2" t="s">
        <v>10</v>
      </c>
      <c r="K94" s="2" t="n">
        <f aca="false">SQRT(VAR($B$92:$B$121)/COUNT($B$92:$B$121))</f>
        <v>1355.67960145484</v>
      </c>
      <c r="L94" s="2" t="n">
        <f aca="false">SQRT(VAR($D$92:$D$121)/COUNT($D$92:$D$121))</f>
        <v>59.9426796952067</v>
      </c>
      <c r="M94" s="2" t="n">
        <f aca="false">SQRT(VAR($F$92:$F$121)/COUNT($F$92:$F$121))</f>
        <v>0.976057086845646</v>
      </c>
      <c r="N94" s="2" t="n">
        <f aca="false">SQRT(VAR($H$92:$H$121)/COUNT($H$92:$H$121))</f>
        <v>13.1673650331305</v>
      </c>
    </row>
    <row r="95" customFormat="false" ht="13.8" hidden="false" customHeight="false" outlineLevel="0" collapsed="false">
      <c r="A95" s="32" t="n">
        <v>46116</v>
      </c>
      <c r="B95" s="33" t="n">
        <v>14943</v>
      </c>
      <c r="C95" s="33" t="n">
        <f aca="false">B95-B94</f>
        <v>-1087</v>
      </c>
      <c r="D95" s="33" t="n">
        <v>693.4</v>
      </c>
      <c r="E95" s="33" t="n">
        <f aca="false">D95-D94</f>
        <v>-10.5</v>
      </c>
      <c r="F95" s="33" t="n">
        <v>10.76</v>
      </c>
      <c r="G95" s="33" t="n">
        <f aca="false">F95-F94</f>
        <v>-0.779999999999999</v>
      </c>
      <c r="H95" s="33" t="n">
        <v>163</v>
      </c>
      <c r="I95" s="33" t="n">
        <f aca="false">H95-H94</f>
        <v>11</v>
      </c>
      <c r="J95" s="2" t="s">
        <v>14</v>
      </c>
      <c r="K95" s="2" t="e">
        <f aca="false">MODE($B$92:$B$121)</f>
        <v>#VALUE!</v>
      </c>
      <c r="L95" s="2" t="e">
        <f aca="false">MODE($D$92:$D$121)</f>
        <v>#VALUE!</v>
      </c>
      <c r="M95" s="2" t="e">
        <f aca="false">MODE($F$92:$F$121)</f>
        <v>#VALUE!</v>
      </c>
      <c r="N95" s="2" t="n">
        <f aca="false">MODE($H$92:$H$121)</f>
        <v>130</v>
      </c>
    </row>
    <row r="96" customFormat="false" ht="13.8" hidden="false" customHeight="false" outlineLevel="0" collapsed="false">
      <c r="A96" s="32" t="n">
        <v>46117</v>
      </c>
      <c r="B96" s="33" t="n">
        <v>5143</v>
      </c>
      <c r="C96" s="33" t="n">
        <f aca="false">B96-B95</f>
        <v>-9800</v>
      </c>
      <c r="D96" s="33" t="n">
        <v>231.8</v>
      </c>
      <c r="E96" s="33" t="n">
        <f aca="false">D96-D95</f>
        <v>-461.6</v>
      </c>
      <c r="F96" s="33" t="n">
        <v>3.7</v>
      </c>
      <c r="G96" s="33" t="n">
        <f aca="false">F96-F95</f>
        <v>-7.06</v>
      </c>
      <c r="H96" s="33" t="n">
        <v>52</v>
      </c>
      <c r="I96" s="33" t="n">
        <f aca="false">H96-H95</f>
        <v>-111</v>
      </c>
      <c r="J96" s="2" t="s">
        <v>12</v>
      </c>
      <c r="K96" s="2" t="n">
        <f aca="false">MEDIAN($B$92:$B$121)</f>
        <v>14484.5</v>
      </c>
      <c r="L96" s="2" t="n">
        <f aca="false">MEDIAN($D$92:$D$121)</f>
        <v>637.4</v>
      </c>
      <c r="M96" s="2" t="n">
        <f aca="false">MEDIAN($F$92:$F$121)</f>
        <v>10.43</v>
      </c>
      <c r="N96" s="2" t="n">
        <f aca="false">MEDIAN($H$92:$H$121)</f>
        <v>134.5</v>
      </c>
    </row>
    <row r="97" customFormat="false" ht="13.8" hidden="false" customHeight="false" outlineLevel="0" collapsed="false">
      <c r="A97" s="32" t="n">
        <v>46118</v>
      </c>
      <c r="B97" s="33" t="n">
        <v>13426</v>
      </c>
      <c r="C97" s="33" t="n">
        <f aca="false">B97-B96</f>
        <v>8283</v>
      </c>
      <c r="D97" s="33" t="n">
        <v>595.6</v>
      </c>
      <c r="E97" s="33" t="n">
        <f aca="false">D97-D96</f>
        <v>363.8</v>
      </c>
      <c r="F97" s="33" t="n">
        <v>9.67</v>
      </c>
      <c r="G97" s="33" t="n">
        <f aca="false">F97-F96</f>
        <v>5.97</v>
      </c>
      <c r="H97" s="33" t="n">
        <v>130</v>
      </c>
      <c r="I97" s="33" t="n">
        <f aca="false">H97-H96</f>
        <v>78</v>
      </c>
      <c r="J97" s="2" t="s">
        <v>195</v>
      </c>
      <c r="K97" s="2" t="n">
        <f aca="false">QUARTILE($B$92:$B$121, 1)</f>
        <v>10911.75</v>
      </c>
      <c r="L97" s="2" t="n">
        <f aca="false">QUARTILE($D$92:$D$121, 1)</f>
        <v>483.375</v>
      </c>
      <c r="M97" s="2" t="n">
        <f aca="false">QUARTILE($F$92:$F$121, 1)</f>
        <v>7.855</v>
      </c>
      <c r="N97" s="2" t="n">
        <f aca="false">QUARTILE($H$92:$H$121, 1)</f>
        <v>106</v>
      </c>
    </row>
    <row r="98" customFormat="false" ht="13.8" hidden="false" customHeight="false" outlineLevel="0" collapsed="false">
      <c r="A98" s="32" t="n">
        <v>46119</v>
      </c>
      <c r="B98" s="33" t="n">
        <v>7145</v>
      </c>
      <c r="C98" s="33" t="n">
        <f aca="false">B98-B97</f>
        <v>-6281</v>
      </c>
      <c r="D98" s="33" t="n">
        <v>324.2</v>
      </c>
      <c r="E98" s="33" t="n">
        <f aca="false">D98-D97</f>
        <v>-271.4</v>
      </c>
      <c r="F98" s="33" t="n">
        <v>5.14</v>
      </c>
      <c r="G98" s="33" t="n">
        <f aca="false">F98-F97</f>
        <v>-4.53</v>
      </c>
      <c r="H98" s="33" t="n">
        <v>73</v>
      </c>
      <c r="I98" s="33" t="n">
        <f aca="false">H98-H97</f>
        <v>-57</v>
      </c>
      <c r="J98" s="2" t="s">
        <v>181</v>
      </c>
      <c r="K98" s="2" t="n">
        <f aca="false">QUARTILE($B$92:$B$121, 3)</f>
        <v>17299.5</v>
      </c>
      <c r="L98" s="2" t="n">
        <f aca="false">QUARTILE($D$92:$D$121, 3)</f>
        <v>764.7</v>
      </c>
      <c r="M98" s="2" t="n">
        <f aca="false">QUARTILE($F$92:$F$121, 3)</f>
        <v>12.4525</v>
      </c>
      <c r="N98" s="2" t="n">
        <f aca="false">QUARTILE($H$92:$H$121, 3)</f>
        <v>167.5</v>
      </c>
    </row>
    <row r="99" customFormat="false" ht="13.8" hidden="false" customHeight="false" outlineLevel="0" collapsed="false">
      <c r="A99" s="32" t="n">
        <v>46120</v>
      </c>
      <c r="B99" s="33" t="n">
        <v>17016</v>
      </c>
      <c r="C99" s="33" t="n">
        <f aca="false">B99-B98</f>
        <v>9871</v>
      </c>
      <c r="D99" s="33" t="n">
        <v>745.2</v>
      </c>
      <c r="E99" s="33" t="n">
        <f aca="false">D99-D98</f>
        <v>421</v>
      </c>
      <c r="F99" s="33" t="n">
        <v>12.25</v>
      </c>
      <c r="G99" s="33" t="n">
        <f aca="false">F99-F98</f>
        <v>7.11</v>
      </c>
      <c r="H99" s="33" t="n">
        <v>166</v>
      </c>
      <c r="I99" s="33" t="n">
        <f aca="false">H99-H98</f>
        <v>93</v>
      </c>
      <c r="J99" s="2" t="s">
        <v>182</v>
      </c>
      <c r="K99" s="2" t="n">
        <f aca="false">VAR($B$92:$B$121)</f>
        <v>55136015.454023</v>
      </c>
      <c r="L99" s="2" t="n">
        <f aca="false">VAR($D$92:$D$121)</f>
        <v>107793.745471264</v>
      </c>
      <c r="M99" s="2" t="n">
        <f aca="false">VAR($F$92:$F$121)</f>
        <v>28.5806231034483</v>
      </c>
      <c r="N99" s="2" t="n">
        <f aca="false">VAR($H$92:$H$121)</f>
        <v>5201.38505747127</v>
      </c>
    </row>
    <row r="100" customFormat="false" ht="13.8" hidden="false" customHeight="false" outlineLevel="0" collapsed="false">
      <c r="A100" s="32" t="n">
        <v>46121</v>
      </c>
      <c r="B100" s="33" t="n">
        <v>17477</v>
      </c>
      <c r="C100" s="33" t="n">
        <f aca="false">B100-B99</f>
        <v>461</v>
      </c>
      <c r="D100" s="33" t="n">
        <v>772.2</v>
      </c>
      <c r="E100" s="33" t="n">
        <f aca="false">D100-D99</f>
        <v>27</v>
      </c>
      <c r="F100" s="33" t="n">
        <v>12.58</v>
      </c>
      <c r="G100" s="33" t="n">
        <f aca="false">F100-F99</f>
        <v>0.33</v>
      </c>
      <c r="H100" s="33" t="n">
        <v>168</v>
      </c>
      <c r="I100" s="33" t="n">
        <f aca="false">H100-H99</f>
        <v>2</v>
      </c>
      <c r="J100" s="2" t="s">
        <v>16</v>
      </c>
      <c r="K100" s="2" t="n">
        <f aca="false">STDEV($B$92:$B$121)</f>
        <v>7425.36298466432</v>
      </c>
      <c r="L100" s="2" t="n">
        <f aca="false">STDEV($D$92:$D$121)</f>
        <v>328.319578263716</v>
      </c>
      <c r="M100" s="2" t="n">
        <f aca="false">STDEV($F$92:$F$121)</f>
        <v>5.34608483878139</v>
      </c>
      <c r="N100" s="2" t="n">
        <f aca="false">STDEV($H$92:$H$121)</f>
        <v>72.1206285155036</v>
      </c>
    </row>
    <row r="101" customFormat="false" ht="13.8" hidden="false" customHeight="false" outlineLevel="0" collapsed="false">
      <c r="A101" s="32" t="n">
        <v>46122</v>
      </c>
      <c r="B101" s="33" t="n">
        <v>10711</v>
      </c>
      <c r="C101" s="33" t="n">
        <f aca="false">B101-B100</f>
        <v>-6766</v>
      </c>
      <c r="D101" s="33" t="n">
        <v>475.9</v>
      </c>
      <c r="E101" s="33" t="n">
        <f aca="false">D101-D100</f>
        <v>-296.3</v>
      </c>
      <c r="F101" s="33" t="n">
        <v>7.71</v>
      </c>
      <c r="G101" s="33" t="n">
        <f aca="false">F101-F100</f>
        <v>-4.87</v>
      </c>
      <c r="H101" s="33" t="n">
        <v>105</v>
      </c>
      <c r="I101" s="33" t="n">
        <f aca="false">H101-H100</f>
        <v>-63</v>
      </c>
      <c r="J101" s="2" t="s">
        <v>20</v>
      </c>
      <c r="K101" s="2" t="n">
        <f aca="false">KURT($B$92:$B$121)</f>
        <v>0.836783899750586</v>
      </c>
      <c r="L101" s="2" t="n">
        <f aca="false">KURT($D$92:$D$121)</f>
        <v>0.899352962342654</v>
      </c>
      <c r="M101" s="2" t="n">
        <f aca="false">KURT($F$92:$F$121)</f>
        <v>0.836503204294278</v>
      </c>
      <c r="N101" s="2" t="n">
        <f aca="false">KURT($H$92:$H$121)</f>
        <v>1.00007234346168</v>
      </c>
    </row>
    <row r="102" customFormat="false" ht="13.8" hidden="false" customHeight="false" outlineLevel="0" collapsed="false">
      <c r="A102" s="32" t="n">
        <v>46123</v>
      </c>
      <c r="B102" s="33" t="n">
        <v>7251</v>
      </c>
      <c r="C102" s="33" t="n">
        <f aca="false">B102-B101</f>
        <v>-3460</v>
      </c>
      <c r="D102" s="33" t="n">
        <v>332.1</v>
      </c>
      <c r="E102" s="33" t="n">
        <f aca="false">D102-D101</f>
        <v>-143.8</v>
      </c>
      <c r="F102" s="33" t="n">
        <v>5.22</v>
      </c>
      <c r="G102" s="33" t="n">
        <f aca="false">F102-F101</f>
        <v>-2.49</v>
      </c>
      <c r="H102" s="33" t="n">
        <v>77</v>
      </c>
      <c r="I102" s="33" t="n">
        <f aca="false">H102-H101</f>
        <v>-28</v>
      </c>
      <c r="J102" s="2" t="s">
        <v>22</v>
      </c>
      <c r="K102" s="2" t="n">
        <f aca="false">SKEW($B$92:$B$121)</f>
        <v>0.884841769882703</v>
      </c>
      <c r="L102" s="2" t="n">
        <f aca="false">SKEW($D$92:$D$121)</f>
        <v>0.920342417716597</v>
      </c>
      <c r="M102" s="2" t="n">
        <f aca="false">SKEW($F$92:$F$121)</f>
        <v>0.884665849286602</v>
      </c>
      <c r="N102" s="2" t="n">
        <f aca="false">SKEW($H$92:$H$121)</f>
        <v>0.98416448241506</v>
      </c>
    </row>
    <row r="103" customFormat="false" ht="13.8" hidden="false" customHeight="false" outlineLevel="0" collapsed="false">
      <c r="A103" s="32" t="n">
        <v>46124</v>
      </c>
      <c r="B103" s="33" t="n">
        <v>12797</v>
      </c>
      <c r="C103" s="33" t="n">
        <f aca="false">B103-B102</f>
        <v>5546</v>
      </c>
      <c r="D103" s="33" t="n">
        <v>572.3</v>
      </c>
      <c r="E103" s="33" t="n">
        <f aca="false">D103-D102</f>
        <v>240.2</v>
      </c>
      <c r="F103" s="33" t="n">
        <v>9.21</v>
      </c>
      <c r="G103" s="33" t="n">
        <f aca="false">F103-F102</f>
        <v>3.99</v>
      </c>
      <c r="H103" s="33" t="n">
        <v>128</v>
      </c>
      <c r="I103" s="33" t="n">
        <f aca="false">H103-H102</f>
        <v>51</v>
      </c>
      <c r="J103" s="2" t="s">
        <v>24</v>
      </c>
      <c r="K103" s="2" t="n">
        <f aca="false">MAX($B$92:$B$121)-MIN($B$92:$B$121)</f>
        <v>31227</v>
      </c>
      <c r="L103" s="2" t="n">
        <f aca="false">MAX($D$92:$D$121)-MIN($D$92:$D$121)</f>
        <v>1392</v>
      </c>
      <c r="M103" s="2" t="n">
        <f aca="false">MAX($F$92:$F$121)-MIN($F$92:$F$121)</f>
        <v>22.48</v>
      </c>
      <c r="N103" s="2" t="n">
        <f aca="false">MAX($H$92:$H$121)-MIN($H$92:$H$121)</f>
        <v>309</v>
      </c>
    </row>
    <row r="104" customFormat="false" ht="13.8" hidden="false" customHeight="false" outlineLevel="0" collapsed="false">
      <c r="A104" s="32" t="n">
        <v>46125</v>
      </c>
      <c r="B104" s="33" t="n">
        <v>34197</v>
      </c>
      <c r="C104" s="33" t="n">
        <f aca="false">B104-B103</f>
        <v>21400</v>
      </c>
      <c r="D104" s="33" t="n">
        <v>1530.3</v>
      </c>
      <c r="E104" s="33" t="n">
        <f aca="false">D104-D103</f>
        <v>958</v>
      </c>
      <c r="F104" s="33" t="n">
        <v>24.62</v>
      </c>
      <c r="G104" s="33" t="n">
        <f aca="false">F104-F103</f>
        <v>15.41</v>
      </c>
      <c r="H104" s="33" t="n">
        <v>341</v>
      </c>
      <c r="I104" s="33" t="n">
        <f aca="false">H104-H103</f>
        <v>213</v>
      </c>
      <c r="J104" s="2" t="s">
        <v>26</v>
      </c>
      <c r="K104" s="2" t="n">
        <f aca="false">MIN($B$92:$B$121)</f>
        <v>2970</v>
      </c>
      <c r="L104" s="2" t="n">
        <f aca="false">MIN($D$92:$D$121)</f>
        <v>138.3</v>
      </c>
      <c r="M104" s="2" t="n">
        <f aca="false">MIN($F$92:$F$121)</f>
        <v>2.14</v>
      </c>
      <c r="N104" s="2" t="n">
        <f aca="false">MIN($H$92:$H$121)</f>
        <v>32</v>
      </c>
    </row>
    <row r="105" customFormat="false" ht="13.8" hidden="false" customHeight="false" outlineLevel="0" collapsed="false">
      <c r="A105" s="32" t="n">
        <v>46126</v>
      </c>
      <c r="B105" s="33" t="n">
        <v>6490</v>
      </c>
      <c r="C105" s="33" t="n">
        <f aca="false">B105-B104</f>
        <v>-27707</v>
      </c>
      <c r="D105" s="33" t="n">
        <v>296.2</v>
      </c>
      <c r="E105" s="33" t="n">
        <f aca="false">D105-D104</f>
        <v>-1234.1</v>
      </c>
      <c r="F105" s="33" t="n">
        <v>4.67</v>
      </c>
      <c r="G105" s="33" t="n">
        <f aca="false">F105-F104</f>
        <v>-19.95</v>
      </c>
      <c r="H105" s="33" t="n">
        <v>68</v>
      </c>
      <c r="I105" s="33" t="n">
        <f aca="false">H105-H104</f>
        <v>-273</v>
      </c>
      <c r="J105" s="2" t="s">
        <v>28</v>
      </c>
      <c r="K105" s="2" t="n">
        <f aca="false">MAX($B$92:$B$121)</f>
        <v>34197</v>
      </c>
      <c r="L105" s="2" t="n">
        <f aca="false">MAX($D$92:$D$121)</f>
        <v>1530.3</v>
      </c>
      <c r="M105" s="2" t="n">
        <f aca="false">MAX($F$92:$F$121)</f>
        <v>24.62</v>
      </c>
      <c r="N105" s="2" t="n">
        <f aca="false">MAX($H$92:$H$121)</f>
        <v>341</v>
      </c>
    </row>
    <row r="106" customFormat="false" ht="13.8" hidden="false" customHeight="false" outlineLevel="0" collapsed="false">
      <c r="A106" s="32" t="n">
        <v>46127</v>
      </c>
      <c r="B106" s="33" t="n">
        <v>10606</v>
      </c>
      <c r="C106" s="33" t="n">
        <f aca="false">B106-B105</f>
        <v>4116</v>
      </c>
      <c r="D106" s="33" t="n">
        <v>468.4</v>
      </c>
      <c r="E106" s="33" t="n">
        <f aca="false">D106-D105</f>
        <v>172.2</v>
      </c>
      <c r="F106" s="33" t="n">
        <v>7.64</v>
      </c>
      <c r="G106" s="33" t="n">
        <f aca="false">F106-F105</f>
        <v>2.97</v>
      </c>
      <c r="H106" s="33" t="n">
        <v>102</v>
      </c>
      <c r="I106" s="33" t="n">
        <f aca="false">H106-H105</f>
        <v>34</v>
      </c>
      <c r="J106" s="2" t="s">
        <v>30</v>
      </c>
      <c r="K106" s="2" t="n">
        <f aca="false">SUM($B$92:$B$121)</f>
        <v>452545</v>
      </c>
      <c r="L106" s="2" t="n">
        <f aca="false">SUM($D$92:$D$121)</f>
        <v>20099.8</v>
      </c>
      <c r="M106" s="2" t="n">
        <f aca="false">SUM($F$92:$F$121)</f>
        <v>325.83</v>
      </c>
      <c r="N106" s="2" t="n">
        <f aca="false">SUM($H$92:$H$121)</f>
        <v>4415</v>
      </c>
    </row>
    <row r="107" customFormat="false" ht="13.8" hidden="false" customHeight="false" outlineLevel="0" collapsed="false">
      <c r="A107" s="32" t="n">
        <v>46128</v>
      </c>
      <c r="B107" s="33" t="n">
        <v>15516</v>
      </c>
      <c r="C107" s="33" t="n">
        <f aca="false">B107-B106</f>
        <v>4910</v>
      </c>
      <c r="D107" s="33" t="n">
        <v>684</v>
      </c>
      <c r="E107" s="33" t="n">
        <f aca="false">D107-D106</f>
        <v>215.6</v>
      </c>
      <c r="F107" s="33" t="n">
        <v>11.17</v>
      </c>
      <c r="G107" s="33" t="n">
        <f aca="false">F107-F106</f>
        <v>3.53</v>
      </c>
      <c r="H107" s="33" t="n">
        <v>146</v>
      </c>
      <c r="I107" s="33" t="n">
        <f aca="false">H107-H106</f>
        <v>44</v>
      </c>
      <c r="J107" s="2" t="s">
        <v>32</v>
      </c>
      <c r="K107" s="2" t="n">
        <f aca="false">COUNT($B$92:$B$121)</f>
        <v>30</v>
      </c>
      <c r="L107" s="2" t="n">
        <f aca="false">COUNT($D$92:$D$121)</f>
        <v>30</v>
      </c>
      <c r="M107" s="2" t="n">
        <f aca="false">COUNT($F$92:$F$121)</f>
        <v>30</v>
      </c>
      <c r="N107" s="2" t="n">
        <f aca="false">COUNT($H$92:$H$121)</f>
        <v>30</v>
      </c>
    </row>
    <row r="108" customFormat="false" ht="13.8" hidden="false" customHeight="false" outlineLevel="0" collapsed="false">
      <c r="A108" s="32" t="n">
        <v>46129</v>
      </c>
      <c r="B108" s="33" t="n">
        <v>26238</v>
      </c>
      <c r="C108" s="33" t="n">
        <f aca="false">B108-B107</f>
        <v>10722</v>
      </c>
      <c r="D108" s="33" t="n">
        <v>1180.8</v>
      </c>
      <c r="E108" s="33" t="n">
        <f aca="false">D108-D107</f>
        <v>496.8</v>
      </c>
      <c r="F108" s="33" t="n">
        <v>18.89</v>
      </c>
      <c r="G108" s="33" t="n">
        <f aca="false">F108-F107</f>
        <v>7.72</v>
      </c>
      <c r="H108" s="33" t="n">
        <v>267</v>
      </c>
      <c r="I108" s="33" t="n">
        <f aca="false">H108-H107</f>
        <v>121</v>
      </c>
    </row>
    <row r="109" customFormat="false" ht="13.8" hidden="false" customHeight="false" outlineLevel="0" collapsed="false">
      <c r="A109" s="32" t="n">
        <v>46130</v>
      </c>
      <c r="B109" s="33" t="n">
        <v>21147</v>
      </c>
      <c r="C109" s="33" t="n">
        <f aca="false">B109-B108</f>
        <v>-5091</v>
      </c>
      <c r="D109" s="33" t="n">
        <v>941.7</v>
      </c>
      <c r="E109" s="33" t="n">
        <f aca="false">D109-D108</f>
        <v>-239.1</v>
      </c>
      <c r="F109" s="33" t="n">
        <v>15.23</v>
      </c>
      <c r="G109" s="33" t="n">
        <f aca="false">F109-F108</f>
        <v>-3.66</v>
      </c>
      <c r="H109" s="33" t="n">
        <v>207</v>
      </c>
      <c r="I109" s="33" t="n">
        <f aca="false">H109-H108</f>
        <v>-60</v>
      </c>
    </row>
    <row r="110" customFormat="false" ht="13.8" hidden="false" customHeight="false" outlineLevel="0" collapsed="false">
      <c r="A110" s="32" t="n">
        <v>46131</v>
      </c>
      <c r="B110" s="33" t="n">
        <v>2970</v>
      </c>
      <c r="C110" s="33" t="n">
        <f aca="false">B110-B109</f>
        <v>-18177</v>
      </c>
      <c r="D110" s="33" t="n">
        <v>138.3</v>
      </c>
      <c r="E110" s="33" t="n">
        <f aca="false">D110-D109</f>
        <v>-803.4</v>
      </c>
      <c r="F110" s="33" t="n">
        <v>2.14</v>
      </c>
      <c r="G110" s="33" t="n">
        <f aca="false">F110-F109</f>
        <v>-13.09</v>
      </c>
      <c r="H110" s="33" t="n">
        <v>32</v>
      </c>
      <c r="I110" s="33" t="n">
        <f aca="false">H110-H109</f>
        <v>-175</v>
      </c>
    </row>
    <row r="111" customFormat="false" ht="13.8" hidden="false" customHeight="false" outlineLevel="0" collapsed="false">
      <c r="A111" s="32" t="n">
        <v>46132</v>
      </c>
      <c r="B111" s="33" t="n">
        <v>29122</v>
      </c>
      <c r="C111" s="33" t="n">
        <f aca="false">B111-B110</f>
        <v>26152</v>
      </c>
      <c r="D111" s="33" t="n">
        <v>1290.6</v>
      </c>
      <c r="E111" s="33" t="n">
        <f aca="false">D111-D110</f>
        <v>1152.3</v>
      </c>
      <c r="F111" s="33" t="n">
        <v>20.97</v>
      </c>
      <c r="G111" s="33" t="n">
        <f aca="false">F111-F110</f>
        <v>18.83</v>
      </c>
      <c r="H111" s="33" t="n">
        <v>283</v>
      </c>
      <c r="I111" s="33" t="n">
        <f aca="false">H111-H110</f>
        <v>251</v>
      </c>
    </row>
    <row r="112" customFormat="false" ht="13.8" hidden="false" customHeight="false" outlineLevel="0" collapsed="false">
      <c r="A112" s="32" t="n">
        <v>46133</v>
      </c>
      <c r="B112" s="33" t="n">
        <v>30599</v>
      </c>
      <c r="C112" s="33" t="n">
        <f aca="false">B112-B111</f>
        <v>1477</v>
      </c>
      <c r="D112" s="33" t="n">
        <v>1338</v>
      </c>
      <c r="E112" s="33" t="n">
        <f aca="false">D112-D111</f>
        <v>47.4000000000001</v>
      </c>
      <c r="F112" s="33" t="n">
        <v>22.03</v>
      </c>
      <c r="G112" s="33" t="n">
        <f aca="false">F112-F111</f>
        <v>1.06</v>
      </c>
      <c r="H112" s="33" t="n">
        <v>287</v>
      </c>
      <c r="I112" s="33" t="n">
        <f aca="false">H112-H111</f>
        <v>4</v>
      </c>
    </row>
    <row r="113" customFormat="false" ht="13.8" hidden="false" customHeight="false" outlineLevel="0" collapsed="false">
      <c r="A113" s="32" t="n">
        <v>46134</v>
      </c>
      <c r="B113" s="33" t="n">
        <v>15094</v>
      </c>
      <c r="C113" s="33" t="n">
        <f aca="false">B113-B112</f>
        <v>-15505</v>
      </c>
      <c r="D113" s="33" t="n">
        <v>662.3</v>
      </c>
      <c r="E113" s="33" t="n">
        <f aca="false">D113-D112</f>
        <v>-675.7</v>
      </c>
      <c r="F113" s="33" t="n">
        <v>10.87</v>
      </c>
      <c r="G113" s="33" t="n">
        <f aca="false">F113-F112</f>
        <v>-11.16</v>
      </c>
      <c r="H113" s="33" t="n">
        <v>139</v>
      </c>
      <c r="I113" s="33" t="n">
        <f aca="false">H113-H112</f>
        <v>-148</v>
      </c>
    </row>
    <row r="114" customFormat="false" ht="13.8" hidden="false" customHeight="false" outlineLevel="0" collapsed="false">
      <c r="A114" s="32" t="n">
        <v>46135</v>
      </c>
      <c r="B114" s="33" t="n">
        <v>13230</v>
      </c>
      <c r="C114" s="33" t="n">
        <f aca="false">B114-B113</f>
        <v>-1864</v>
      </c>
      <c r="D114" s="33" t="n">
        <v>581.2</v>
      </c>
      <c r="E114" s="33" t="n">
        <f aca="false">D114-D113</f>
        <v>-81.0999999999999</v>
      </c>
      <c r="F114" s="33" t="n">
        <v>9.53</v>
      </c>
      <c r="G114" s="33" t="n">
        <f aca="false">F114-F113</f>
        <v>-1.34</v>
      </c>
      <c r="H114" s="33" t="n">
        <v>125</v>
      </c>
      <c r="I114" s="33" t="n">
        <f aca="false">H114-H113</f>
        <v>-14</v>
      </c>
    </row>
    <row r="115" customFormat="false" ht="13.8" hidden="false" customHeight="false" outlineLevel="0" collapsed="false">
      <c r="A115" s="32" t="n">
        <v>46136</v>
      </c>
      <c r="B115" s="33" t="n">
        <v>18516</v>
      </c>
      <c r="C115" s="33" t="n">
        <f aca="false">B115-B114</f>
        <v>5286</v>
      </c>
      <c r="D115" s="33" t="n">
        <v>809.6</v>
      </c>
      <c r="E115" s="33" t="n">
        <f aca="false">D115-D114</f>
        <v>228.4</v>
      </c>
      <c r="F115" s="33" t="n">
        <v>13.33</v>
      </c>
      <c r="G115" s="33" t="n">
        <f aca="false">F115-F114</f>
        <v>3.8</v>
      </c>
      <c r="H115" s="33" t="n">
        <v>172</v>
      </c>
      <c r="I115" s="33" t="n">
        <f aca="false">H115-H114</f>
        <v>47</v>
      </c>
    </row>
    <row r="116" customFormat="false" ht="13.8" hidden="false" customHeight="false" outlineLevel="0" collapsed="false">
      <c r="A116" s="32" t="n">
        <v>46137</v>
      </c>
      <c r="B116" s="33" t="n">
        <v>16094</v>
      </c>
      <c r="C116" s="33" t="n">
        <f aca="false">B116-B115</f>
        <v>-2422</v>
      </c>
      <c r="D116" s="33" t="n">
        <v>712.6</v>
      </c>
      <c r="E116" s="33" t="n">
        <f aca="false">D116-D115</f>
        <v>-97</v>
      </c>
      <c r="F116" s="33" t="n">
        <v>11.59</v>
      </c>
      <c r="G116" s="33" t="n">
        <f aca="false">F116-F115</f>
        <v>-1.74</v>
      </c>
      <c r="H116" s="33" t="n">
        <v>156</v>
      </c>
      <c r="I116" s="33" t="n">
        <f aca="false">H116-H115</f>
        <v>-16</v>
      </c>
    </row>
    <row r="117" customFormat="false" ht="13.8" hidden="false" customHeight="false" outlineLevel="0" collapsed="false">
      <c r="A117" s="32" t="n">
        <v>46138</v>
      </c>
      <c r="B117" s="33" t="n">
        <v>6175</v>
      </c>
      <c r="C117" s="33" t="n">
        <f aca="false">B117-B116</f>
        <v>-9919</v>
      </c>
      <c r="D117" s="33" t="n">
        <v>281.1</v>
      </c>
      <c r="E117" s="33" t="n">
        <f aca="false">D117-D116</f>
        <v>-431.5</v>
      </c>
      <c r="F117" s="33" t="n">
        <v>4.45</v>
      </c>
      <c r="G117" s="33" t="n">
        <f aca="false">F117-F116</f>
        <v>-7.14</v>
      </c>
      <c r="H117" s="33" t="n">
        <v>64</v>
      </c>
      <c r="I117" s="33" t="n">
        <f aca="false">H117-H116</f>
        <v>-92</v>
      </c>
    </row>
    <row r="118" customFormat="false" ht="13.8" hidden="false" customHeight="false" outlineLevel="0" collapsed="false">
      <c r="A118" s="32" t="n">
        <v>46139</v>
      </c>
      <c r="B118" s="33" t="n">
        <v>12175</v>
      </c>
      <c r="C118" s="33" t="n">
        <f aca="false">B118-B117</f>
        <v>6000</v>
      </c>
      <c r="D118" s="33" t="n">
        <v>530.4</v>
      </c>
      <c r="E118" s="33" t="n">
        <f aca="false">D118-D117</f>
        <v>249.3</v>
      </c>
      <c r="F118" s="33" t="n">
        <v>8.77</v>
      </c>
      <c r="G118" s="33" t="n">
        <f aca="false">F118-F117</f>
        <v>4.32</v>
      </c>
      <c r="H118" s="33" t="n">
        <v>111</v>
      </c>
      <c r="I118" s="33" t="n">
        <f aca="false">H118-H117</f>
        <v>47</v>
      </c>
    </row>
    <row r="119" customFormat="false" ht="13.8" hidden="false" customHeight="false" outlineLevel="0" collapsed="false">
      <c r="A119" s="32" t="n">
        <v>46140</v>
      </c>
      <c r="B119" s="33" t="n">
        <v>16950</v>
      </c>
      <c r="C119" s="33" t="n">
        <f aca="false">B119-B118</f>
        <v>4775</v>
      </c>
      <c r="D119" s="33" t="n">
        <v>764.4</v>
      </c>
      <c r="E119" s="33" t="n">
        <f aca="false">D119-D118</f>
        <v>234</v>
      </c>
      <c r="F119" s="33" t="n">
        <v>12.2</v>
      </c>
      <c r="G119" s="33" t="n">
        <f aca="false">F119-F118</f>
        <v>3.43</v>
      </c>
      <c r="H119" s="33" t="n">
        <v>174</v>
      </c>
      <c r="I119" s="33" t="n">
        <f aca="false">H119-H118</f>
        <v>63</v>
      </c>
    </row>
    <row r="120" customFormat="false" ht="13.8" hidden="false" customHeight="false" outlineLevel="0" collapsed="false">
      <c r="A120" s="32" t="n">
        <v>46141</v>
      </c>
      <c r="B120" s="33" t="n">
        <v>12553</v>
      </c>
      <c r="C120" s="33" t="n">
        <f aca="false">B120-B119</f>
        <v>-4397</v>
      </c>
      <c r="D120" s="33" t="n">
        <v>560.2</v>
      </c>
      <c r="E120" s="33" t="n">
        <f aca="false">D120-D119</f>
        <v>-204.2</v>
      </c>
      <c r="F120" s="33" t="n">
        <v>9.04</v>
      </c>
      <c r="G120" s="33" t="n">
        <f aca="false">F120-F119</f>
        <v>-3.16</v>
      </c>
      <c r="H120" s="33" t="n">
        <v>124</v>
      </c>
      <c r="I120" s="33" t="n">
        <f aca="false">H120-H119</f>
        <v>-50</v>
      </c>
    </row>
    <row r="121" customFormat="false" ht="13.8" hidden="false" customHeight="false" outlineLevel="0" collapsed="false">
      <c r="A121" s="32" t="n">
        <v>46142</v>
      </c>
      <c r="B121" s="33" t="n">
        <v>17394</v>
      </c>
      <c r="C121" s="33" t="n">
        <f aca="false">B121-B120</f>
        <v>4841</v>
      </c>
      <c r="D121" s="33" t="n">
        <v>764.8</v>
      </c>
      <c r="E121" s="33" t="n">
        <f aca="false">D121-D120</f>
        <v>204.6</v>
      </c>
      <c r="F121" s="33" t="n">
        <v>12.52</v>
      </c>
      <c r="G121" s="33" t="n">
        <f aca="false">F121-F120</f>
        <v>3.48</v>
      </c>
      <c r="H121" s="33" t="n">
        <v>164</v>
      </c>
      <c r="I121" s="33" t="n">
        <f aca="false">H121-H120</f>
        <v>40</v>
      </c>
    </row>
    <row r="122" customFormat="false" ht="13.8" hidden="false" customHeight="false" outlineLevel="0" collapsed="false">
      <c r="A122" s="32" t="n">
        <v>46143</v>
      </c>
      <c r="B122" s="33" t="n">
        <v>3950</v>
      </c>
      <c r="C122" s="33" t="n">
        <f aca="false">B122-B121</f>
        <v>-13444</v>
      </c>
      <c r="D122" s="33" t="n">
        <v>183.3</v>
      </c>
      <c r="E122" s="33" t="n">
        <f aca="false">D122-D121</f>
        <v>-581.5</v>
      </c>
      <c r="F122" s="33" t="n">
        <v>2.84</v>
      </c>
      <c r="G122" s="33" t="n">
        <f aca="false">F122-F121</f>
        <v>-9.68</v>
      </c>
      <c r="H122" s="33" t="n">
        <v>43</v>
      </c>
      <c r="I122" s="33" t="n">
        <f aca="false">H122-H121</f>
        <v>-121</v>
      </c>
      <c r="K122" s="34" t="s">
        <v>2</v>
      </c>
      <c r="L122" s="34" t="s">
        <v>179</v>
      </c>
      <c r="M122" s="34" t="s">
        <v>175</v>
      </c>
      <c r="N122" s="34" t="s">
        <v>177</v>
      </c>
    </row>
    <row r="123" customFormat="false" ht="13.8" hidden="false" customHeight="false" outlineLevel="0" collapsed="false">
      <c r="A123" s="32" t="n">
        <v>46144</v>
      </c>
      <c r="B123" s="33" t="n">
        <v>7912</v>
      </c>
      <c r="C123" s="33" t="n">
        <f aca="false">B123-B122</f>
        <v>3962</v>
      </c>
      <c r="D123" s="33" t="n">
        <v>400</v>
      </c>
      <c r="E123" s="33" t="n">
        <f aca="false">D123-D122</f>
        <v>216.7</v>
      </c>
      <c r="F123" s="33" t="n">
        <v>5.7</v>
      </c>
      <c r="G123" s="33" t="n">
        <f aca="false">F123-F122</f>
        <v>2.86</v>
      </c>
      <c r="H123" s="33" t="n">
        <v>103</v>
      </c>
      <c r="I123" s="33" t="n">
        <f aca="false">H123-H122</f>
        <v>60</v>
      </c>
      <c r="J123" s="1" t="s">
        <v>8</v>
      </c>
      <c r="K123" s="1" t="n">
        <f aca="false">AVERAGE($B$122:$B$152)</f>
        <v>12288.9677419355</v>
      </c>
      <c r="L123" s="1" t="n">
        <f aca="false">AVERAGE($D$122:$D$152)</f>
        <v>549.058064516129</v>
      </c>
      <c r="M123" s="1" t="n">
        <f aca="false">AVERAGE($F$122:$F$152)</f>
        <v>8.8483870967742</v>
      </c>
      <c r="N123" s="1" t="n">
        <f aca="false">AVERAGE($H$122:$H$152)</f>
        <v>122.322580645161</v>
      </c>
    </row>
    <row r="124" customFormat="false" ht="13.8" hidden="false" customHeight="false" outlineLevel="0" collapsed="false">
      <c r="A124" s="32" t="n">
        <v>46145</v>
      </c>
      <c r="B124" s="33" t="n">
        <v>7256</v>
      </c>
      <c r="C124" s="33" t="n">
        <f aca="false">B124-B123</f>
        <v>-656</v>
      </c>
      <c r="D124" s="33" t="n">
        <v>344.7</v>
      </c>
      <c r="E124" s="33" t="n">
        <f aca="false">D124-D123</f>
        <v>-55.3</v>
      </c>
      <c r="F124" s="33" t="n">
        <v>5.22</v>
      </c>
      <c r="G124" s="33" t="n">
        <f aca="false">F124-F123</f>
        <v>-0.48</v>
      </c>
      <c r="H124" s="33" t="n">
        <v>84</v>
      </c>
      <c r="I124" s="33" t="n">
        <f aca="false">H124-H123</f>
        <v>-19</v>
      </c>
      <c r="J124" s="1" t="s">
        <v>10</v>
      </c>
      <c r="K124" s="1" t="n">
        <f aca="false">SQRT(VAR($B$122:$B$152)/COUNT($B$122:$B$152))</f>
        <v>1004.1811626854</v>
      </c>
      <c r="L124" s="1" t="n">
        <f aca="false">SQRT(VAR($D$122:$D$152)/COUNT($D$122:$D$152))</f>
        <v>44.1833427899042</v>
      </c>
      <c r="M124" s="1" t="n">
        <f aca="false">SQRT(VAR($F$122:$F$152)/COUNT($F$122:$F$152))</f>
        <v>0.723107852984749</v>
      </c>
      <c r="N124" s="1" t="n">
        <f aca="false">SQRT(VAR($H$122:$H$152)/COUNT($H$122:$H$152))</f>
        <v>9.74981522811125</v>
      </c>
    </row>
    <row r="125" customFormat="false" ht="13.8" hidden="false" customHeight="false" outlineLevel="0" collapsed="false">
      <c r="A125" s="32" t="n">
        <v>46146</v>
      </c>
      <c r="B125" s="33" t="n">
        <v>9205</v>
      </c>
      <c r="C125" s="33" t="n">
        <f aca="false">B125-B124</f>
        <v>1949</v>
      </c>
      <c r="D125" s="33" t="n">
        <v>408.7</v>
      </c>
      <c r="E125" s="33" t="n">
        <f aca="false">D125-D124</f>
        <v>64</v>
      </c>
      <c r="F125" s="33" t="n">
        <v>6.63</v>
      </c>
      <c r="G125" s="33" t="n">
        <f aca="false">F125-F124</f>
        <v>1.41</v>
      </c>
      <c r="H125" s="33" t="n">
        <v>90</v>
      </c>
      <c r="I125" s="33" t="n">
        <f aca="false">H125-H124</f>
        <v>6</v>
      </c>
      <c r="J125" s="1" t="s">
        <v>14</v>
      </c>
      <c r="K125" s="1" t="e">
        <f aca="false">MODE($B$122:$B$152)</f>
        <v>#VALUE!</v>
      </c>
      <c r="L125" s="1" t="e">
        <f aca="false">MODE($D$122:$D$152)</f>
        <v>#VALUE!</v>
      </c>
      <c r="M125" s="1" t="e">
        <f aca="false">MODE($F$122:$F$152)</f>
        <v>#VALUE!</v>
      </c>
      <c r="N125" s="1" t="n">
        <f aca="false">MODE($H$122:$H$152)</f>
        <v>90</v>
      </c>
    </row>
    <row r="126" customFormat="false" ht="13.8" hidden="false" customHeight="false" outlineLevel="0" collapsed="false">
      <c r="A126" s="32" t="n">
        <v>46147</v>
      </c>
      <c r="B126" s="33" t="n">
        <v>13708</v>
      </c>
      <c r="C126" s="33" t="n">
        <f aca="false">B126-B125</f>
        <v>4503</v>
      </c>
      <c r="D126" s="33" t="n">
        <v>619.4</v>
      </c>
      <c r="E126" s="33" t="n">
        <f aca="false">D126-D125</f>
        <v>210.7</v>
      </c>
      <c r="F126" s="33" t="n">
        <v>9.87</v>
      </c>
      <c r="G126" s="33" t="n">
        <f aca="false">F126-F125</f>
        <v>3.24</v>
      </c>
      <c r="H126" s="33" t="n">
        <v>141</v>
      </c>
      <c r="I126" s="33" t="n">
        <f aca="false">H126-H125</f>
        <v>51</v>
      </c>
      <c r="J126" s="1" t="s">
        <v>12</v>
      </c>
      <c r="K126" s="1" t="n">
        <f aca="false">MEDIAN($B$122:$B$152)</f>
        <v>10531</v>
      </c>
      <c r="L126" s="1" t="n">
        <f aca="false">MEDIAN($D$122:$D$152)</f>
        <v>463.4</v>
      </c>
      <c r="M126" s="1" t="n">
        <f aca="false">MEDIAN($F$122:$F$152)</f>
        <v>7.58</v>
      </c>
      <c r="N126" s="1" t="n">
        <f aca="false">MEDIAN($H$122:$H$152)</f>
        <v>105</v>
      </c>
    </row>
    <row r="127" customFormat="false" ht="13.8" hidden="false" customHeight="false" outlineLevel="0" collapsed="false">
      <c r="A127" s="32" t="n">
        <v>46148</v>
      </c>
      <c r="B127" s="33" t="n">
        <v>8426</v>
      </c>
      <c r="C127" s="33" t="n">
        <f aca="false">B127-B126</f>
        <v>-5282</v>
      </c>
      <c r="D127" s="33" t="n">
        <v>370.3</v>
      </c>
      <c r="E127" s="33" t="n">
        <f aca="false">D127-D126</f>
        <v>-249.1</v>
      </c>
      <c r="F127" s="33" t="n">
        <v>6.07</v>
      </c>
      <c r="G127" s="33" t="n">
        <f aca="false">F127-F126</f>
        <v>-3.8</v>
      </c>
      <c r="H127" s="33" t="n">
        <v>79</v>
      </c>
      <c r="I127" s="33" t="n">
        <f aca="false">H127-H126</f>
        <v>-62</v>
      </c>
      <c r="J127" s="1" t="s">
        <v>195</v>
      </c>
      <c r="K127" s="1" t="n">
        <f aca="false">QUARTILE($B$122:$B$152, 1)</f>
        <v>8355</v>
      </c>
      <c r="L127" s="1" t="n">
        <f aca="false">QUARTILE($D$122:$D$152, 1)</f>
        <v>378.05</v>
      </c>
      <c r="M127" s="1" t="n">
        <f aca="false">QUARTILE($F$122:$F$152, 1)</f>
        <v>6.015</v>
      </c>
      <c r="N127" s="1" t="n">
        <f aca="false">QUARTILE($H$122:$H$152, 1)</f>
        <v>84.5</v>
      </c>
    </row>
    <row r="128" customFormat="false" ht="13.8" hidden="false" customHeight="false" outlineLevel="0" collapsed="false">
      <c r="A128" s="32" t="n">
        <v>46149</v>
      </c>
      <c r="B128" s="33" t="n">
        <v>12911</v>
      </c>
      <c r="C128" s="33" t="n">
        <f aca="false">B128-B127</f>
        <v>4485</v>
      </c>
      <c r="D128" s="33" t="n">
        <v>575.2</v>
      </c>
      <c r="E128" s="33" t="n">
        <f aca="false">D128-D127</f>
        <v>204.9</v>
      </c>
      <c r="F128" s="33" t="n">
        <v>9.3</v>
      </c>
      <c r="G128" s="33" t="n">
        <f aca="false">F128-F127</f>
        <v>3.23</v>
      </c>
      <c r="H128" s="33" t="n">
        <v>127</v>
      </c>
      <c r="I128" s="33" t="n">
        <f aca="false">H128-H127</f>
        <v>48</v>
      </c>
      <c r="J128" s="1" t="s">
        <v>181</v>
      </c>
      <c r="K128" s="1" t="n">
        <f aca="false">QUARTILE($B$122:$B$152, 3)</f>
        <v>13912</v>
      </c>
      <c r="L128" s="1" t="n">
        <f aca="false">QUARTILE($D$122:$D$152, 3)</f>
        <v>622</v>
      </c>
      <c r="M128" s="1" t="n">
        <f aca="false">QUARTILE($F$122:$F$152, 3)</f>
        <v>10.02</v>
      </c>
      <c r="N128" s="1" t="n">
        <f aca="false">QUARTILE($H$122:$H$152, 3)</f>
        <v>139.5</v>
      </c>
    </row>
    <row r="129" customFormat="false" ht="13.8" hidden="false" customHeight="false" outlineLevel="0" collapsed="false">
      <c r="A129" s="32" t="n">
        <v>46150</v>
      </c>
      <c r="B129" s="33" t="n">
        <v>10374</v>
      </c>
      <c r="C129" s="33" t="n">
        <f aca="false">B129-B128</f>
        <v>-2537</v>
      </c>
      <c r="D129" s="33" t="n">
        <v>459.1</v>
      </c>
      <c r="E129" s="33" t="n">
        <f aca="false">D129-D128</f>
        <v>-116.1</v>
      </c>
      <c r="F129" s="33" t="n">
        <v>7.47</v>
      </c>
      <c r="G129" s="33" t="n">
        <f aca="false">F129-F128</f>
        <v>-1.83</v>
      </c>
      <c r="H129" s="33" t="n">
        <v>100</v>
      </c>
      <c r="I129" s="33" t="n">
        <f aca="false">H129-H128</f>
        <v>-27</v>
      </c>
      <c r="J129" s="1" t="s">
        <v>182</v>
      </c>
      <c r="K129" s="1" t="n">
        <f aca="false">VAR($B$122:$B$152)</f>
        <v>31259774.0322581</v>
      </c>
      <c r="L129" s="1" t="n">
        <f aca="false">VAR($D$122:$D$152)</f>
        <v>60517.2011827957</v>
      </c>
      <c r="M129" s="1" t="n">
        <f aca="false">VAR($F$122:$F$152)</f>
        <v>16.2094339784946</v>
      </c>
      <c r="N129" s="1" t="n">
        <f aca="false">VAR($H$122:$H$152)</f>
        <v>2946.82580645161</v>
      </c>
    </row>
    <row r="130" customFormat="false" ht="13.8" hidden="false" customHeight="false" outlineLevel="0" collapsed="false">
      <c r="A130" s="32" t="n">
        <v>46151</v>
      </c>
      <c r="B130" s="33" t="n">
        <v>8595</v>
      </c>
      <c r="C130" s="33" t="n">
        <f aca="false">B130-B129</f>
        <v>-1779</v>
      </c>
      <c r="D130" s="33" t="n">
        <v>381.7</v>
      </c>
      <c r="E130" s="33" t="n">
        <f aca="false">D130-D129</f>
        <v>-77.4</v>
      </c>
      <c r="F130" s="33" t="n">
        <v>6.19</v>
      </c>
      <c r="G130" s="33" t="n">
        <f aca="false">F130-F129</f>
        <v>-1.28</v>
      </c>
      <c r="H130" s="33" t="n">
        <v>83</v>
      </c>
      <c r="I130" s="33" t="n">
        <f aca="false">H130-H129</f>
        <v>-17</v>
      </c>
      <c r="J130" s="1" t="s">
        <v>16</v>
      </c>
      <c r="K130" s="1" t="n">
        <f aca="false">STDEV($B$122:$B$152)</f>
        <v>5591.04409142497</v>
      </c>
      <c r="L130" s="1" t="n">
        <f aca="false">STDEV($D$122:$D$152)</f>
        <v>246.002441416332</v>
      </c>
      <c r="M130" s="1" t="n">
        <f aca="false">STDEV($F$122:$F$152)</f>
        <v>4.02609413433102</v>
      </c>
      <c r="N130" s="1" t="n">
        <f aca="false">STDEV($H$122:$H$152)</f>
        <v>54.2846737712553</v>
      </c>
    </row>
    <row r="131" customFormat="false" ht="13.8" hidden="false" customHeight="false" outlineLevel="0" collapsed="false">
      <c r="A131" s="32" t="n">
        <v>46152</v>
      </c>
      <c r="B131" s="33" t="n">
        <v>21176</v>
      </c>
      <c r="C131" s="33" t="n">
        <f aca="false">B131-B130</f>
        <v>12581</v>
      </c>
      <c r="D131" s="33" t="n">
        <v>931.8</v>
      </c>
      <c r="E131" s="33" t="n">
        <f aca="false">D131-D130</f>
        <v>550.1</v>
      </c>
      <c r="F131" s="33" t="n">
        <v>15.25</v>
      </c>
      <c r="G131" s="33" t="n">
        <f aca="false">F131-F130</f>
        <v>9.06</v>
      </c>
      <c r="H131" s="33" t="n">
        <v>201</v>
      </c>
      <c r="I131" s="33" t="n">
        <f aca="false">H131-H130</f>
        <v>118</v>
      </c>
      <c r="J131" s="1" t="s">
        <v>20</v>
      </c>
      <c r="K131" s="1" t="n">
        <f aca="false">KURT($B$122:$B$152)</f>
        <v>0.459714695997251</v>
      </c>
      <c r="L131" s="1" t="n">
        <f aca="false">KURT($D$122:$D$152)</f>
        <v>0.641831659476615</v>
      </c>
      <c r="M131" s="1" t="n">
        <f aca="false">KURT($F$122:$F$152)</f>
        <v>0.459925552677911</v>
      </c>
      <c r="N131" s="1" t="n">
        <f aca="false">KURT($H$122:$H$152)</f>
        <v>1.06181142953231</v>
      </c>
    </row>
    <row r="132" customFormat="false" ht="13.8" hidden="false" customHeight="false" outlineLevel="0" collapsed="false">
      <c r="A132" s="32" t="n">
        <v>46153</v>
      </c>
      <c r="B132" s="33" t="n">
        <v>9553</v>
      </c>
      <c r="C132" s="33" t="n">
        <f aca="false">B132-B131</f>
        <v>-11623</v>
      </c>
      <c r="D132" s="33" t="n">
        <v>418.7</v>
      </c>
      <c r="E132" s="33" t="n">
        <f aca="false">D132-D131</f>
        <v>-513.1</v>
      </c>
      <c r="F132" s="33" t="n">
        <v>6.88</v>
      </c>
      <c r="G132" s="33" t="n">
        <f aca="false">F132-F131</f>
        <v>-8.37</v>
      </c>
      <c r="H132" s="33" t="n">
        <v>90</v>
      </c>
      <c r="I132" s="33" t="n">
        <f aca="false">H132-H131</f>
        <v>-111</v>
      </c>
      <c r="J132" s="1" t="s">
        <v>22</v>
      </c>
      <c r="K132" s="1" t="n">
        <f aca="false">SKEW($B$122:$B$152)</f>
        <v>1.03866984814379</v>
      </c>
      <c r="L132" s="1" t="n">
        <f aca="false">SKEW($D$122:$D$152)</f>
        <v>1.08682110901938</v>
      </c>
      <c r="M132" s="1" t="n">
        <f aca="false">SKEW($F$122:$F$152)</f>
        <v>1.03829946830947</v>
      </c>
      <c r="N132" s="1" t="n">
        <f aca="false">SKEW($H$122:$H$152)</f>
        <v>1.17504485521225</v>
      </c>
    </row>
    <row r="133" customFormat="false" ht="13.8" hidden="false" customHeight="false" outlineLevel="0" collapsed="false">
      <c r="A133" s="32" t="n">
        <v>46154</v>
      </c>
      <c r="B133" s="33" t="n">
        <v>10247</v>
      </c>
      <c r="C133" s="33" t="n">
        <f aca="false">B133-B132</f>
        <v>694</v>
      </c>
      <c r="D133" s="33" t="n">
        <v>459</v>
      </c>
      <c r="E133" s="33" t="n">
        <f aca="false">D133-D132</f>
        <v>40.3</v>
      </c>
      <c r="F133" s="33" t="n">
        <v>7.38</v>
      </c>
      <c r="G133" s="33" t="n">
        <f aca="false">F133-F132</f>
        <v>0.5</v>
      </c>
      <c r="H133" s="33" t="n">
        <v>103</v>
      </c>
      <c r="I133" s="33" t="n">
        <f aca="false">H133-H132</f>
        <v>13</v>
      </c>
      <c r="J133" s="1" t="s">
        <v>24</v>
      </c>
      <c r="K133" s="1" t="n">
        <f aca="false">MAX($B$122:$B$152)-MIN($B$122:$B$152)</f>
        <v>22727</v>
      </c>
      <c r="L133" s="1" t="n">
        <f aca="false">MAX($D$122:$D$152)-MIN($D$122:$D$152)</f>
        <v>1028.2</v>
      </c>
      <c r="M133" s="1" t="n">
        <f aca="false">MAX($F$122:$F$152)-MIN($F$122:$F$152)</f>
        <v>16.37</v>
      </c>
      <c r="N133" s="1" t="n">
        <f aca="false">MAX($H$122:$H$152)-MIN($H$122:$H$152)</f>
        <v>236</v>
      </c>
    </row>
    <row r="134" customFormat="false" ht="13.8" hidden="false" customHeight="false" outlineLevel="0" collapsed="false">
      <c r="A134" s="32" t="n">
        <v>46155</v>
      </c>
      <c r="B134" s="33" t="n">
        <v>15796</v>
      </c>
      <c r="C134" s="33" t="n">
        <f aca="false">B134-B133</f>
        <v>5549</v>
      </c>
      <c r="D134" s="33" t="n">
        <v>703.5</v>
      </c>
      <c r="E134" s="33" t="n">
        <f aca="false">D134-D133</f>
        <v>244.5</v>
      </c>
      <c r="F134" s="33" t="n">
        <v>11.37</v>
      </c>
      <c r="G134" s="33" t="n">
        <f aca="false">F134-F133</f>
        <v>3.99</v>
      </c>
      <c r="H134" s="33" t="n">
        <v>157</v>
      </c>
      <c r="I134" s="33" t="n">
        <f aca="false">H134-H133</f>
        <v>54</v>
      </c>
      <c r="J134" s="1" t="s">
        <v>26</v>
      </c>
      <c r="K134" s="1" t="n">
        <f aca="false">MIN($B$122:$B$152)</f>
        <v>3950</v>
      </c>
      <c r="L134" s="1" t="n">
        <f aca="false">MIN($D$122:$D$152)</f>
        <v>183.3</v>
      </c>
      <c r="M134" s="1" t="n">
        <f aca="false">MIN($F$122:$F$152)</f>
        <v>2.84</v>
      </c>
      <c r="N134" s="1" t="n">
        <f aca="false">MIN($H$122:$H$152)</f>
        <v>43</v>
      </c>
    </row>
    <row r="135" customFormat="false" ht="13.8" hidden="false" customHeight="false" outlineLevel="0" collapsed="false">
      <c r="A135" s="32" t="n">
        <v>46156</v>
      </c>
      <c r="B135" s="33" t="n">
        <v>23722</v>
      </c>
      <c r="C135" s="33" t="n">
        <f aca="false">B135-B134</f>
        <v>7926</v>
      </c>
      <c r="D135" s="33" t="n">
        <v>1027.5</v>
      </c>
      <c r="E135" s="33" t="n">
        <f aca="false">D135-D134</f>
        <v>324</v>
      </c>
      <c r="F135" s="33" t="n">
        <v>17.08</v>
      </c>
      <c r="G135" s="33" t="n">
        <f aca="false">F135-F134</f>
        <v>5.71</v>
      </c>
      <c r="H135" s="33" t="n">
        <v>211</v>
      </c>
      <c r="I135" s="33" t="n">
        <f aca="false">H135-H134</f>
        <v>54</v>
      </c>
      <c r="J135" s="1" t="s">
        <v>28</v>
      </c>
      <c r="K135" s="1" t="n">
        <f aca="false">MAX($B$122:$B$152)</f>
        <v>26677</v>
      </c>
      <c r="L135" s="1" t="n">
        <f aca="false">MAX($D$122:$D$152)</f>
        <v>1211.5</v>
      </c>
      <c r="M135" s="1" t="n">
        <f aca="false">MAX($F$122:$F$152)</f>
        <v>19.21</v>
      </c>
      <c r="N135" s="1" t="n">
        <f aca="false">MAX($H$122:$H$152)</f>
        <v>279</v>
      </c>
    </row>
    <row r="136" customFormat="false" ht="13.8" hidden="false" customHeight="false" outlineLevel="0" collapsed="false">
      <c r="A136" s="32" t="n">
        <v>46157</v>
      </c>
      <c r="B136" s="33" t="n">
        <v>22349</v>
      </c>
      <c r="C136" s="33" t="n">
        <f aca="false">B136-B135</f>
        <v>-1373</v>
      </c>
      <c r="D136" s="33" t="n">
        <v>980.9</v>
      </c>
      <c r="E136" s="33" t="n">
        <f aca="false">D136-D135</f>
        <v>-46.6</v>
      </c>
      <c r="F136" s="33" t="n">
        <v>16.09</v>
      </c>
      <c r="G136" s="33" t="n">
        <f aca="false">F136-F135</f>
        <v>-0.989999999999998</v>
      </c>
      <c r="H136" s="33" t="n">
        <v>211</v>
      </c>
      <c r="I136" s="33" t="n">
        <f aca="false">H136-H135</f>
        <v>0</v>
      </c>
      <c r="J136" s="1" t="s">
        <v>30</v>
      </c>
      <c r="K136" s="1" t="n">
        <f aca="false">SUM($B$122:$B$152)</f>
        <v>380958</v>
      </c>
      <c r="L136" s="1" t="n">
        <f aca="false">SUM($D$122:$D$152)</f>
        <v>17020.8</v>
      </c>
      <c r="M136" s="1" t="n">
        <f aca="false">SUM($F$122:$F$152)</f>
        <v>274.3</v>
      </c>
      <c r="N136" s="1" t="n">
        <f aca="false">SUM($H$122:$H$152)</f>
        <v>3792</v>
      </c>
    </row>
    <row r="137" customFormat="false" ht="13.8" hidden="false" customHeight="false" outlineLevel="0" collapsed="false">
      <c r="A137" s="32" t="n">
        <v>46158</v>
      </c>
      <c r="B137" s="33" t="n">
        <v>6660</v>
      </c>
      <c r="C137" s="33" t="n">
        <f aca="false">B137-B136</f>
        <v>-15689</v>
      </c>
      <c r="D137" s="33" t="n">
        <v>296.3</v>
      </c>
      <c r="E137" s="33" t="n">
        <f aca="false">D137-D136</f>
        <v>-684.6</v>
      </c>
      <c r="F137" s="33" t="n">
        <v>4.8</v>
      </c>
      <c r="G137" s="33" t="n">
        <f aca="false">F137-F136</f>
        <v>-11.29</v>
      </c>
      <c r="H137" s="33" t="n">
        <v>65</v>
      </c>
      <c r="I137" s="33" t="n">
        <f aca="false">H137-H136</f>
        <v>-146</v>
      </c>
      <c r="J137" s="1" t="s">
        <v>32</v>
      </c>
      <c r="K137" s="1" t="n">
        <f aca="false">COUNT($B$122:$B$152)</f>
        <v>31</v>
      </c>
      <c r="L137" s="1" t="n">
        <f aca="false">COUNT($D$122:$D$152)</f>
        <v>31</v>
      </c>
      <c r="M137" s="1" t="n">
        <f aca="false">COUNT($F$122:$F$152)</f>
        <v>31</v>
      </c>
      <c r="N137" s="1" t="n">
        <f aca="false">COUNT($H$122:$H$152)</f>
        <v>31</v>
      </c>
    </row>
    <row r="138" customFormat="false" ht="13.8" hidden="false" customHeight="false" outlineLevel="0" collapsed="false">
      <c r="A138" s="32" t="n">
        <v>46159</v>
      </c>
      <c r="B138" s="33" t="n">
        <v>7239</v>
      </c>
      <c r="C138" s="33" t="n">
        <f aca="false">B138-B137</f>
        <v>579</v>
      </c>
      <c r="D138" s="33" t="n">
        <v>339.7</v>
      </c>
      <c r="E138" s="33" t="n">
        <f aca="false">D138-D137</f>
        <v>43.4</v>
      </c>
      <c r="F138" s="33" t="n">
        <v>5.21</v>
      </c>
      <c r="G138" s="33" t="n">
        <f aca="false">F138-F137</f>
        <v>0.41</v>
      </c>
      <c r="H138" s="33" t="n">
        <v>80</v>
      </c>
      <c r="I138" s="33" t="n">
        <f aca="false">H138-H137</f>
        <v>15</v>
      </c>
    </row>
    <row r="139" customFormat="false" ht="13.8" hidden="false" customHeight="false" outlineLevel="0" collapsed="false">
      <c r="A139" s="32" t="n">
        <v>46160</v>
      </c>
      <c r="B139" s="33" t="n">
        <v>13995</v>
      </c>
      <c r="C139" s="33" t="n">
        <f aca="false">B139-B138</f>
        <v>6756</v>
      </c>
      <c r="D139" s="33" t="n">
        <v>624.6</v>
      </c>
      <c r="E139" s="33" t="n">
        <f aca="false">D139-D138</f>
        <v>284.9</v>
      </c>
      <c r="F139" s="33" t="n">
        <v>10.08</v>
      </c>
      <c r="G139" s="33" t="n">
        <f aca="false">F139-F138</f>
        <v>4.87</v>
      </c>
      <c r="H139" s="33" t="n">
        <v>138</v>
      </c>
      <c r="I139" s="33" t="n">
        <f aca="false">H139-H138</f>
        <v>58</v>
      </c>
    </row>
    <row r="140" customFormat="false" ht="13.8" hidden="false" customHeight="false" outlineLevel="0" collapsed="false">
      <c r="A140" s="32" t="n">
        <v>46161</v>
      </c>
      <c r="B140" s="33" t="n">
        <v>11512</v>
      </c>
      <c r="C140" s="33" t="n">
        <f aca="false">B140-B139</f>
        <v>-2483</v>
      </c>
      <c r="D140" s="33" t="n">
        <v>507.2</v>
      </c>
      <c r="E140" s="33" t="n">
        <f aca="false">D140-D139</f>
        <v>-117.4</v>
      </c>
      <c r="F140" s="33" t="n">
        <v>8.29</v>
      </c>
      <c r="G140" s="33" t="n">
        <f aca="false">F140-F139</f>
        <v>-1.79</v>
      </c>
      <c r="H140" s="33" t="n">
        <v>110</v>
      </c>
      <c r="I140" s="33" t="n">
        <f aca="false">H140-H139</f>
        <v>-28</v>
      </c>
    </row>
    <row r="141" customFormat="false" ht="13.8" hidden="false" customHeight="false" outlineLevel="0" collapsed="false">
      <c r="A141" s="32" t="n">
        <v>46162</v>
      </c>
      <c r="B141" s="33" t="n">
        <v>6463</v>
      </c>
      <c r="C141" s="33" t="n">
        <f aca="false">B141-B140</f>
        <v>-5049</v>
      </c>
      <c r="D141" s="33" t="n">
        <v>294.8</v>
      </c>
      <c r="E141" s="33" t="n">
        <f aca="false">D141-D140</f>
        <v>-212.4</v>
      </c>
      <c r="F141" s="33" t="n">
        <v>4.65</v>
      </c>
      <c r="G141" s="33" t="n">
        <f aca="false">F141-F140</f>
        <v>-3.64</v>
      </c>
      <c r="H141" s="33" t="n">
        <v>68</v>
      </c>
      <c r="I141" s="33" t="n">
        <f aca="false">H141-H140</f>
        <v>-42</v>
      </c>
    </row>
    <row r="142" customFormat="false" ht="13.8" hidden="false" customHeight="false" outlineLevel="0" collapsed="false">
      <c r="A142" s="32" t="n">
        <v>46163</v>
      </c>
      <c r="B142" s="33" t="n">
        <v>13698</v>
      </c>
      <c r="C142" s="33" t="n">
        <f aca="false">B142-B141</f>
        <v>7235</v>
      </c>
      <c r="D142" s="33" t="n">
        <v>607.1</v>
      </c>
      <c r="E142" s="33" t="n">
        <f aca="false">D142-D141</f>
        <v>312.3</v>
      </c>
      <c r="F142" s="33" t="n">
        <v>9.86</v>
      </c>
      <c r="G142" s="33" t="n">
        <f aca="false">F142-F141</f>
        <v>5.21</v>
      </c>
      <c r="H142" s="33" t="n">
        <v>131</v>
      </c>
      <c r="I142" s="33" t="n">
        <f aca="false">H142-H141</f>
        <v>63</v>
      </c>
    </row>
    <row r="143" customFormat="false" ht="13.8" hidden="false" customHeight="false" outlineLevel="0" collapsed="false">
      <c r="A143" s="32" t="n">
        <v>46164</v>
      </c>
      <c r="B143" s="33" t="n">
        <v>11388</v>
      </c>
      <c r="C143" s="33" t="n">
        <f aca="false">B143-B142</f>
        <v>-2310</v>
      </c>
      <c r="D143" s="33" t="n">
        <v>496.3</v>
      </c>
      <c r="E143" s="33" t="n">
        <f aca="false">D143-D142</f>
        <v>-110.8</v>
      </c>
      <c r="F143" s="33" t="n">
        <v>8.2</v>
      </c>
      <c r="G143" s="33" t="n">
        <f aca="false">F143-F142</f>
        <v>-1.66</v>
      </c>
      <c r="H143" s="33" t="n">
        <v>105</v>
      </c>
      <c r="I143" s="33" t="n">
        <f aca="false">H143-H142</f>
        <v>-26</v>
      </c>
    </row>
    <row r="144" customFormat="false" ht="13.8" hidden="false" customHeight="false" outlineLevel="0" collapsed="false">
      <c r="A144" s="32" t="n">
        <v>46165</v>
      </c>
      <c r="B144" s="33" t="n">
        <v>9587</v>
      </c>
      <c r="C144" s="33" t="n">
        <f aca="false">B144-B143</f>
        <v>-1801</v>
      </c>
      <c r="D144" s="33" t="n">
        <v>429.2</v>
      </c>
      <c r="E144" s="33" t="n">
        <f aca="false">D144-D143</f>
        <v>-67.1</v>
      </c>
      <c r="F144" s="33" t="n">
        <v>6.9</v>
      </c>
      <c r="G144" s="33" t="n">
        <f aca="false">F144-F143</f>
        <v>-1.3</v>
      </c>
      <c r="H144" s="33" t="n">
        <v>95</v>
      </c>
      <c r="I144" s="33" t="n">
        <f aca="false">H144-H143</f>
        <v>-10</v>
      </c>
    </row>
    <row r="145" customFormat="false" ht="13.8" hidden="false" customHeight="false" outlineLevel="0" collapsed="false">
      <c r="A145" s="32" t="n">
        <v>46166</v>
      </c>
      <c r="B145" s="33" t="n">
        <v>17443</v>
      </c>
      <c r="C145" s="33" t="n">
        <f aca="false">B145-B144</f>
        <v>7856</v>
      </c>
      <c r="D145" s="33" t="n">
        <v>777.2</v>
      </c>
      <c r="E145" s="33" t="n">
        <f aca="false">D145-D144</f>
        <v>348</v>
      </c>
      <c r="F145" s="33" t="n">
        <v>12.56</v>
      </c>
      <c r="G145" s="33" t="n">
        <f aca="false">F145-F144</f>
        <v>5.66</v>
      </c>
      <c r="H145" s="33" t="n">
        <v>174</v>
      </c>
      <c r="I145" s="33" t="n">
        <f aca="false">H145-H144</f>
        <v>79</v>
      </c>
    </row>
    <row r="146" customFormat="false" ht="13.8" hidden="false" customHeight="false" outlineLevel="0" collapsed="false">
      <c r="A146" s="32" t="n">
        <v>46167</v>
      </c>
      <c r="B146" s="33" t="n">
        <v>6944</v>
      </c>
      <c r="C146" s="33" t="n">
        <f aca="false">B146-B145</f>
        <v>-10499</v>
      </c>
      <c r="D146" s="33" t="n">
        <v>306.6</v>
      </c>
      <c r="E146" s="33" t="n">
        <f aca="false">D146-D145</f>
        <v>-470.6</v>
      </c>
      <c r="F146" s="33" t="n">
        <v>5</v>
      </c>
      <c r="G146" s="33" t="n">
        <f aca="false">F146-F145</f>
        <v>-7.56</v>
      </c>
      <c r="H146" s="33" t="n">
        <v>67</v>
      </c>
      <c r="I146" s="33" t="n">
        <f aca="false">H146-H145</f>
        <v>-107</v>
      </c>
    </row>
    <row r="147" customFormat="false" ht="13.8" hidden="false" customHeight="false" outlineLevel="0" collapsed="false">
      <c r="A147" s="32" t="n">
        <v>46168</v>
      </c>
      <c r="B147" s="33" t="n">
        <v>8284</v>
      </c>
      <c r="C147" s="33" t="n">
        <f aca="false">B147-B146</f>
        <v>1340</v>
      </c>
      <c r="D147" s="33" t="n">
        <v>374.4</v>
      </c>
      <c r="E147" s="33" t="n">
        <f aca="false">D147-D146</f>
        <v>67.8</v>
      </c>
      <c r="F147" s="33" t="n">
        <v>5.96</v>
      </c>
      <c r="G147" s="33" t="n">
        <f aca="false">F147-F146</f>
        <v>0.96</v>
      </c>
      <c r="H147" s="33" t="n">
        <v>85</v>
      </c>
      <c r="I147" s="33" t="n">
        <f aca="false">H147-H146</f>
        <v>18</v>
      </c>
    </row>
    <row r="148" customFormat="false" ht="13.8" hidden="false" customHeight="false" outlineLevel="0" collapsed="false">
      <c r="A148" s="32" t="n">
        <v>46169</v>
      </c>
      <c r="B148" s="33" t="n">
        <v>10531</v>
      </c>
      <c r="C148" s="33" t="n">
        <f aca="false">B148-B147</f>
        <v>2247</v>
      </c>
      <c r="D148" s="33" t="n">
        <v>463.4</v>
      </c>
      <c r="E148" s="33" t="n">
        <f aca="false">D148-D147</f>
        <v>89</v>
      </c>
      <c r="F148" s="33" t="n">
        <v>7.58</v>
      </c>
      <c r="G148" s="33" t="n">
        <f aca="false">F148-F147</f>
        <v>1.62</v>
      </c>
      <c r="H148" s="33" t="n">
        <v>109</v>
      </c>
      <c r="I148" s="33" t="n">
        <f aca="false">H148-H147</f>
        <v>24</v>
      </c>
    </row>
    <row r="149" customFormat="false" ht="13.8" hidden="false" customHeight="false" outlineLevel="0" collapsed="false">
      <c r="A149" s="32" t="n">
        <v>46170</v>
      </c>
      <c r="B149" s="33" t="n">
        <v>13829</v>
      </c>
      <c r="C149" s="33" t="n">
        <f aca="false">B149-B148</f>
        <v>3298</v>
      </c>
      <c r="D149" s="33" t="n">
        <v>612.1</v>
      </c>
      <c r="E149" s="33" t="n">
        <f aca="false">D149-D148</f>
        <v>148.7</v>
      </c>
      <c r="F149" s="33" t="n">
        <v>9.96</v>
      </c>
      <c r="G149" s="33" t="n">
        <f aca="false">F149-F148</f>
        <v>2.38</v>
      </c>
      <c r="H149" s="33" t="n">
        <v>134</v>
      </c>
      <c r="I149" s="33" t="n">
        <f aca="false">H149-H148</f>
        <v>25</v>
      </c>
    </row>
    <row r="150" customFormat="false" ht="13.8" hidden="false" customHeight="false" outlineLevel="0" collapsed="false">
      <c r="A150" s="32" t="n">
        <v>46171</v>
      </c>
      <c r="B150" s="33" t="n">
        <v>11750</v>
      </c>
      <c r="C150" s="33" t="n">
        <f aca="false">B150-B149</f>
        <v>-2079</v>
      </c>
      <c r="D150" s="33" t="n">
        <v>519.9</v>
      </c>
      <c r="E150" s="33" t="n">
        <f aca="false">D150-D149</f>
        <v>-92.2000000000001</v>
      </c>
      <c r="F150" s="33" t="n">
        <v>8.46</v>
      </c>
      <c r="G150" s="33" t="n">
        <f aca="false">F150-F149</f>
        <v>-1.5</v>
      </c>
      <c r="H150" s="33" t="n">
        <v>113</v>
      </c>
      <c r="I150" s="33" t="n">
        <f aca="false">H150-H149</f>
        <v>-21</v>
      </c>
    </row>
    <row r="151" customFormat="false" ht="13.8" hidden="false" customHeight="false" outlineLevel="0" collapsed="false">
      <c r="A151" s="32" t="n">
        <v>46172</v>
      </c>
      <c r="B151" s="33" t="n">
        <v>19778</v>
      </c>
      <c r="C151" s="33" t="n">
        <f aca="false">B151-B150</f>
        <v>8028</v>
      </c>
      <c r="D151" s="33" t="n">
        <v>896.7</v>
      </c>
      <c r="E151" s="33" t="n">
        <f aca="false">D151-D150</f>
        <v>376.8</v>
      </c>
      <c r="F151" s="33" t="n">
        <v>14.24</v>
      </c>
      <c r="G151" s="33" t="n">
        <f aca="false">F151-F150</f>
        <v>5.78</v>
      </c>
      <c r="H151" s="33" t="n">
        <v>216</v>
      </c>
      <c r="I151" s="33" t="n">
        <f aca="false">H151-H150</f>
        <v>103</v>
      </c>
    </row>
    <row r="152" customFormat="false" ht="13.8" hidden="false" customHeight="false" outlineLevel="0" collapsed="false">
      <c r="A152" s="32" t="n">
        <v>46173</v>
      </c>
      <c r="B152" s="33" t="n">
        <v>26677</v>
      </c>
      <c r="C152" s="33" t="n">
        <f aca="false">B152-B151</f>
        <v>6899</v>
      </c>
      <c r="D152" s="33" t="n">
        <v>1211.5</v>
      </c>
      <c r="E152" s="33" t="n">
        <f aca="false">D152-D151</f>
        <v>314.8</v>
      </c>
      <c r="F152" s="33" t="n">
        <v>19.21</v>
      </c>
      <c r="G152" s="33" t="n">
        <f aca="false">F152-F151</f>
        <v>4.97</v>
      </c>
      <c r="H152" s="33" t="n">
        <v>279</v>
      </c>
      <c r="I152" s="33" t="n">
        <f aca="false">H152-H151</f>
        <v>63</v>
      </c>
    </row>
    <row r="153" customFormat="false" ht="13.8" hidden="false" customHeight="false" outlineLevel="0" collapsed="false">
      <c r="A153" s="32" t="n">
        <v>46174</v>
      </c>
      <c r="B153" s="33"/>
      <c r="C153" s="33" t="n">
        <f aca="false">B153-B152</f>
        <v>-26677</v>
      </c>
      <c r="D153" s="33"/>
      <c r="E153" s="33" t="n">
        <f aca="false">D153-D152</f>
        <v>-1211.5</v>
      </c>
      <c r="F153" s="33"/>
      <c r="G153" s="33" t="n">
        <f aca="false">F153-F152</f>
        <v>-19.21</v>
      </c>
      <c r="H153" s="33"/>
      <c r="I153" s="33" t="n">
        <f aca="false">H153-H152</f>
        <v>-279</v>
      </c>
      <c r="K153" s="34" t="s">
        <v>2</v>
      </c>
      <c r="L153" s="34" t="s">
        <v>179</v>
      </c>
      <c r="M153" s="34" t="s">
        <v>175</v>
      </c>
      <c r="N153" s="34" t="s">
        <v>177</v>
      </c>
    </row>
    <row r="154" customFormat="false" ht="13.8" hidden="false" customHeight="false" outlineLevel="0" collapsed="false">
      <c r="A154" s="32" t="n">
        <v>46175</v>
      </c>
      <c r="B154" s="33"/>
      <c r="C154" s="33" t="n">
        <f aca="false">B154-B153</f>
        <v>0</v>
      </c>
      <c r="D154" s="33"/>
      <c r="E154" s="33" t="n">
        <f aca="false">D154-D153</f>
        <v>0</v>
      </c>
      <c r="F154" s="33"/>
      <c r="G154" s="33" t="n">
        <f aca="false">F154-F153</f>
        <v>0</v>
      </c>
      <c r="H154" s="33"/>
      <c r="I154" s="33" t="n">
        <f aca="false">H154-H153</f>
        <v>0</v>
      </c>
      <c r="J154" s="1" t="s">
        <v>8</v>
      </c>
      <c r="K154" s="1" t="e">
        <f aca="false">AVERAGE($B$153:$B$182)</f>
        <v>#DIV/0!</v>
      </c>
      <c r="L154" s="1" t="e">
        <f aca="false">AVERAGE($D$153:$D$182)</f>
        <v>#DIV/0!</v>
      </c>
      <c r="M154" s="1" t="e">
        <f aca="false">AVERAGE($F$153:$F$182)</f>
        <v>#DIV/0!</v>
      </c>
      <c r="N154" s="1" t="e">
        <f aca="false">AVERAGE($H$153:$H$182)</f>
        <v>#DIV/0!</v>
      </c>
    </row>
    <row r="155" customFormat="false" ht="13.8" hidden="false" customHeight="false" outlineLevel="0" collapsed="false">
      <c r="A155" s="32" t="n">
        <v>46176</v>
      </c>
      <c r="B155" s="33"/>
      <c r="C155" s="33" t="n">
        <f aca="false">B155-B154</f>
        <v>0</v>
      </c>
      <c r="D155" s="33"/>
      <c r="E155" s="33" t="n">
        <f aca="false">D155-D154</f>
        <v>0</v>
      </c>
      <c r="F155" s="33"/>
      <c r="G155" s="33" t="n">
        <f aca="false">F155-F154</f>
        <v>0</v>
      </c>
      <c r="H155" s="33"/>
      <c r="I155" s="33" t="n">
        <f aca="false">H155-H154</f>
        <v>0</v>
      </c>
      <c r="J155" s="1" t="s">
        <v>10</v>
      </c>
      <c r="K155" s="1" t="e">
        <f aca="false">SQRT(VAR($B$153:$B$182)/COUNT($B$153:$B$182))</f>
        <v>#DIV/0!</v>
      </c>
      <c r="L155" s="1" t="e">
        <f aca="false">SQRT(VAR($D$153:$D$182)/COUNT($D$153:$D$182))</f>
        <v>#DIV/0!</v>
      </c>
      <c r="M155" s="1" t="e">
        <f aca="false">SQRT(VAR($F$153:$F$182)/COUNT($F$153:$F$182))</f>
        <v>#DIV/0!</v>
      </c>
      <c r="N155" s="1" t="e">
        <f aca="false">SQRT(VAR($H$153:$H$182)/COUNT($H$153:$H$182))</f>
        <v>#DIV/0!</v>
      </c>
    </row>
    <row r="156" customFormat="false" ht="13.8" hidden="false" customHeight="false" outlineLevel="0" collapsed="false">
      <c r="A156" s="32" t="n">
        <v>46177</v>
      </c>
      <c r="B156" s="33"/>
      <c r="C156" s="33" t="n">
        <f aca="false">B156-B155</f>
        <v>0</v>
      </c>
      <c r="D156" s="33"/>
      <c r="E156" s="33" t="n">
        <f aca="false">D156-D155</f>
        <v>0</v>
      </c>
      <c r="F156" s="33"/>
      <c r="G156" s="33" t="n">
        <f aca="false">F156-F155</f>
        <v>0</v>
      </c>
      <c r="H156" s="33"/>
      <c r="I156" s="33" t="n">
        <f aca="false">H156-H155</f>
        <v>0</v>
      </c>
      <c r="J156" s="1" t="s">
        <v>14</v>
      </c>
      <c r="K156" s="1" t="e">
        <f aca="false">MODE($B$153:$B$182)</f>
        <v>#VALUE!</v>
      </c>
      <c r="L156" s="1" t="e">
        <f aca="false">MODE($D$153:$D$182)</f>
        <v>#VALUE!</v>
      </c>
      <c r="M156" s="1" t="e">
        <f aca="false">MODE($F$153:$F$182)</f>
        <v>#VALUE!</v>
      </c>
      <c r="N156" s="1" t="e">
        <f aca="false">MODE($H$153:$H$182)</f>
        <v>#VALUE!</v>
      </c>
    </row>
    <row r="157" customFormat="false" ht="13.8" hidden="false" customHeight="false" outlineLevel="0" collapsed="false">
      <c r="A157" s="32" t="n">
        <v>46178</v>
      </c>
      <c r="B157" s="33"/>
      <c r="C157" s="33" t="n">
        <f aca="false">B157-B156</f>
        <v>0</v>
      </c>
      <c r="D157" s="33"/>
      <c r="E157" s="33" t="n">
        <f aca="false">D157-D156</f>
        <v>0</v>
      </c>
      <c r="F157" s="33"/>
      <c r="G157" s="33" t="n">
        <f aca="false">F157-F156</f>
        <v>0</v>
      </c>
      <c r="H157" s="33"/>
      <c r="I157" s="33" t="n">
        <f aca="false">H157-H156</f>
        <v>0</v>
      </c>
      <c r="J157" s="1" t="s">
        <v>12</v>
      </c>
      <c r="K157" s="1" t="e">
        <f aca="false">MEDIAN($B$153:$B$182)</f>
        <v>#VALUE!</v>
      </c>
      <c r="L157" s="1" t="e">
        <f aca="false">MEDIAN($D$153:$D$182)</f>
        <v>#VALUE!</v>
      </c>
      <c r="M157" s="1" t="e">
        <f aca="false">MEDIAN($F$153:$F$182)</f>
        <v>#VALUE!</v>
      </c>
      <c r="N157" s="1" t="e">
        <f aca="false">MEDIAN($H$153:$H$182)</f>
        <v>#VALUE!</v>
      </c>
    </row>
    <row r="158" customFormat="false" ht="13.8" hidden="false" customHeight="false" outlineLevel="0" collapsed="false">
      <c r="A158" s="32" t="n">
        <v>46179</v>
      </c>
      <c r="B158" s="33"/>
      <c r="C158" s="33" t="n">
        <f aca="false">B158-B157</f>
        <v>0</v>
      </c>
      <c r="D158" s="33"/>
      <c r="E158" s="33" t="n">
        <f aca="false">D158-D157</f>
        <v>0</v>
      </c>
      <c r="F158" s="33"/>
      <c r="G158" s="33" t="n">
        <f aca="false">F158-F157</f>
        <v>0</v>
      </c>
      <c r="H158" s="33"/>
      <c r="I158" s="33" t="n">
        <f aca="false">H158-H157</f>
        <v>0</v>
      </c>
      <c r="J158" s="1" t="s">
        <v>195</v>
      </c>
      <c r="K158" s="1" t="e">
        <f aca="false">QUARTILE($B$153:$B$182, 1)</f>
        <v>#VALUE!</v>
      </c>
      <c r="L158" s="1" t="e">
        <f aca="false">QUARTILE($D$153:$D$182, 1)</f>
        <v>#VALUE!</v>
      </c>
      <c r="M158" s="1" t="e">
        <f aca="false">QUARTILE($F$153:$F$182, 1)</f>
        <v>#VALUE!</v>
      </c>
      <c r="N158" s="1" t="e">
        <f aca="false">QUARTILE($H$153:$H$182, 1)</f>
        <v>#VALUE!</v>
      </c>
    </row>
    <row r="159" customFormat="false" ht="13.8" hidden="false" customHeight="false" outlineLevel="0" collapsed="false">
      <c r="A159" s="32" t="n">
        <v>46180</v>
      </c>
      <c r="B159" s="33"/>
      <c r="C159" s="33" t="n">
        <f aca="false">B159-B158</f>
        <v>0</v>
      </c>
      <c r="D159" s="33"/>
      <c r="E159" s="33" t="n">
        <f aca="false">D159-D158</f>
        <v>0</v>
      </c>
      <c r="F159" s="33"/>
      <c r="G159" s="33" t="n">
        <f aca="false">F159-F158</f>
        <v>0</v>
      </c>
      <c r="H159" s="33"/>
      <c r="I159" s="33" t="n">
        <f aca="false">H159-H158</f>
        <v>0</v>
      </c>
      <c r="J159" s="1" t="s">
        <v>181</v>
      </c>
      <c r="K159" s="1" t="e">
        <f aca="false">QUARTILE($B$153:$B$182, 3)</f>
        <v>#VALUE!</v>
      </c>
      <c r="L159" s="1" t="e">
        <f aca="false">QUARTILE($D$153:$D$182, 3)</f>
        <v>#VALUE!</v>
      </c>
      <c r="M159" s="1" t="e">
        <f aca="false">QUARTILE($F$153:$F$182, 3)</f>
        <v>#VALUE!</v>
      </c>
      <c r="N159" s="1" t="e">
        <f aca="false">QUARTILE($H$153:$H$182, 3)</f>
        <v>#VALUE!</v>
      </c>
    </row>
    <row r="160" customFormat="false" ht="13.8" hidden="false" customHeight="false" outlineLevel="0" collapsed="false">
      <c r="A160" s="32" t="n">
        <v>46181</v>
      </c>
      <c r="B160" s="33"/>
      <c r="C160" s="33" t="n">
        <f aca="false">B160-B159</f>
        <v>0</v>
      </c>
      <c r="D160" s="33"/>
      <c r="E160" s="33" t="n">
        <f aca="false">D160-D159</f>
        <v>0</v>
      </c>
      <c r="F160" s="33"/>
      <c r="G160" s="33" t="n">
        <f aca="false">F160-F159</f>
        <v>0</v>
      </c>
      <c r="H160" s="33"/>
      <c r="I160" s="33" t="n">
        <f aca="false">H160-H159</f>
        <v>0</v>
      </c>
      <c r="J160" s="1" t="s">
        <v>182</v>
      </c>
      <c r="K160" s="1" t="e">
        <f aca="false">VAR($B$153:$B$182)</f>
        <v>#DIV/0!</v>
      </c>
      <c r="L160" s="1" t="e">
        <f aca="false">VAR($D$153:$D$182)</f>
        <v>#DIV/0!</v>
      </c>
      <c r="M160" s="1" t="e">
        <f aca="false">VAR($F$153:$F$182)</f>
        <v>#DIV/0!</v>
      </c>
      <c r="N160" s="1" t="e">
        <f aca="false">VAR($H$153:$H$182)</f>
        <v>#DIV/0!</v>
      </c>
    </row>
    <row r="161" customFormat="false" ht="13.8" hidden="false" customHeight="false" outlineLevel="0" collapsed="false">
      <c r="A161" s="32" t="n">
        <v>46182</v>
      </c>
      <c r="B161" s="33"/>
      <c r="C161" s="33" t="n">
        <f aca="false">B161-B160</f>
        <v>0</v>
      </c>
      <c r="D161" s="33"/>
      <c r="E161" s="33" t="n">
        <f aca="false">D161-D160</f>
        <v>0</v>
      </c>
      <c r="F161" s="33"/>
      <c r="G161" s="33" t="n">
        <f aca="false">F161-F160</f>
        <v>0</v>
      </c>
      <c r="H161" s="33"/>
      <c r="I161" s="33" t="n">
        <f aca="false">H161-H160</f>
        <v>0</v>
      </c>
      <c r="J161" s="1" t="s">
        <v>16</v>
      </c>
      <c r="K161" s="1" t="e">
        <f aca="false">STDEV($B$153:$B$182)</f>
        <v>#DIV/0!</v>
      </c>
      <c r="L161" s="1" t="e">
        <f aca="false">STDEV($D$153:$D$182)</f>
        <v>#DIV/0!</v>
      </c>
      <c r="M161" s="1" t="e">
        <f aca="false">STDEV($F$153:$F$182)</f>
        <v>#DIV/0!</v>
      </c>
      <c r="N161" s="1" t="e">
        <f aca="false">STDEV($H$153:$H$182)</f>
        <v>#DIV/0!</v>
      </c>
    </row>
    <row r="162" customFormat="false" ht="13.8" hidden="false" customHeight="false" outlineLevel="0" collapsed="false">
      <c r="A162" s="32" t="n">
        <v>46183</v>
      </c>
      <c r="B162" s="33"/>
      <c r="C162" s="33" t="n">
        <f aca="false">B162-B161</f>
        <v>0</v>
      </c>
      <c r="D162" s="33"/>
      <c r="E162" s="33" t="n">
        <f aca="false">D162-D161</f>
        <v>0</v>
      </c>
      <c r="F162" s="33"/>
      <c r="G162" s="33" t="n">
        <f aca="false">F162-F161</f>
        <v>0</v>
      </c>
      <c r="H162" s="33"/>
      <c r="I162" s="33" t="n">
        <f aca="false">H162-H161</f>
        <v>0</v>
      </c>
      <c r="J162" s="1" t="s">
        <v>20</v>
      </c>
      <c r="K162" s="1" t="e">
        <f aca="false">KURT($B$153:$B$182)</f>
        <v>#DIV/0!</v>
      </c>
      <c r="L162" s="1" t="e">
        <f aca="false">KURT($D$153:$D$182)</f>
        <v>#DIV/0!</v>
      </c>
      <c r="M162" s="1" t="e">
        <f aca="false">KURT($F$153:$F$182)</f>
        <v>#DIV/0!</v>
      </c>
      <c r="N162" s="1" t="e">
        <f aca="false">KURT($H$153:$H$182)</f>
        <v>#DIV/0!</v>
      </c>
    </row>
    <row r="163" customFormat="false" ht="13.8" hidden="false" customHeight="false" outlineLevel="0" collapsed="false">
      <c r="A163" s="32" t="n">
        <v>46184</v>
      </c>
      <c r="B163" s="33"/>
      <c r="C163" s="33" t="n">
        <f aca="false">B163-B162</f>
        <v>0</v>
      </c>
      <c r="D163" s="33"/>
      <c r="E163" s="33" t="n">
        <f aca="false">D163-D162</f>
        <v>0</v>
      </c>
      <c r="F163" s="33"/>
      <c r="G163" s="33" t="n">
        <f aca="false">F163-F162</f>
        <v>0</v>
      </c>
      <c r="H163" s="33"/>
      <c r="I163" s="33" t="n">
        <f aca="false">H163-H162</f>
        <v>0</v>
      </c>
      <c r="J163" s="1" t="s">
        <v>22</v>
      </c>
      <c r="K163" s="1" t="e">
        <f aca="false">SKEW($B$153:$B$182)</f>
        <v>#DIV/0!</v>
      </c>
      <c r="L163" s="1" t="e">
        <f aca="false">SKEW($D$153:$D$182)</f>
        <v>#DIV/0!</v>
      </c>
      <c r="M163" s="1" t="e">
        <f aca="false">SKEW($F$153:$F$182)</f>
        <v>#DIV/0!</v>
      </c>
      <c r="N163" s="1" t="e">
        <f aca="false">SKEW($H$153:$H$182)</f>
        <v>#DIV/0!</v>
      </c>
    </row>
    <row r="164" customFormat="false" ht="13.8" hidden="false" customHeight="false" outlineLevel="0" collapsed="false">
      <c r="A164" s="32" t="n">
        <v>46185</v>
      </c>
      <c r="B164" s="33"/>
      <c r="C164" s="33" t="n">
        <f aca="false">B164-B163</f>
        <v>0</v>
      </c>
      <c r="D164" s="33"/>
      <c r="E164" s="33" t="n">
        <f aca="false">D164-D163</f>
        <v>0</v>
      </c>
      <c r="F164" s="33"/>
      <c r="G164" s="33" t="n">
        <f aca="false">F164-F163</f>
        <v>0</v>
      </c>
      <c r="H164" s="33"/>
      <c r="I164" s="33" t="n">
        <f aca="false">H164-H163</f>
        <v>0</v>
      </c>
      <c r="J164" s="1" t="s">
        <v>24</v>
      </c>
      <c r="K164" s="1" t="n">
        <f aca="false">MAX($B$153:$B$182)-MIN($B$153:$B$182)</f>
        <v>0</v>
      </c>
      <c r="L164" s="1" t="n">
        <f aca="false">MAX($D$153:$D$182)-MIN($D$153:$D$182)</f>
        <v>0</v>
      </c>
      <c r="M164" s="1" t="n">
        <f aca="false">MAX($F$153:$F$182)-MIN($F$153:$F$182)</f>
        <v>0</v>
      </c>
      <c r="N164" s="1" t="n">
        <f aca="false">MAX($H$153:$H$182)-MIN($H$153:$H$182)</f>
        <v>0</v>
      </c>
    </row>
    <row r="165" customFormat="false" ht="13.8" hidden="false" customHeight="false" outlineLevel="0" collapsed="false">
      <c r="A165" s="32" t="n">
        <v>46186</v>
      </c>
      <c r="B165" s="33"/>
      <c r="C165" s="33" t="n">
        <f aca="false">B165-B164</f>
        <v>0</v>
      </c>
      <c r="D165" s="33"/>
      <c r="E165" s="33" t="n">
        <f aca="false">D165-D164</f>
        <v>0</v>
      </c>
      <c r="F165" s="33"/>
      <c r="G165" s="33" t="n">
        <f aca="false">F165-F164</f>
        <v>0</v>
      </c>
      <c r="H165" s="33"/>
      <c r="I165" s="33" t="n">
        <f aca="false">H165-H164</f>
        <v>0</v>
      </c>
      <c r="J165" s="1" t="s">
        <v>26</v>
      </c>
      <c r="K165" s="1" t="n">
        <f aca="false">MIN($B$153:$B$182)</f>
        <v>0</v>
      </c>
      <c r="L165" s="1" t="n">
        <f aca="false">MIN($D$153:$D$182)</f>
        <v>0</v>
      </c>
      <c r="M165" s="1" t="n">
        <f aca="false">MIN($F$153:$F$182)</f>
        <v>0</v>
      </c>
      <c r="N165" s="1" t="n">
        <f aca="false">MIN($H$153:$H$182)</f>
        <v>0</v>
      </c>
    </row>
    <row r="166" customFormat="false" ht="13.8" hidden="false" customHeight="false" outlineLevel="0" collapsed="false">
      <c r="A166" s="32" t="n">
        <v>46187</v>
      </c>
      <c r="B166" s="33"/>
      <c r="C166" s="33" t="n">
        <f aca="false">B166-B165</f>
        <v>0</v>
      </c>
      <c r="D166" s="33"/>
      <c r="E166" s="33" t="n">
        <f aca="false">D166-D165</f>
        <v>0</v>
      </c>
      <c r="F166" s="33"/>
      <c r="G166" s="33" t="n">
        <f aca="false">F166-F165</f>
        <v>0</v>
      </c>
      <c r="H166" s="33"/>
      <c r="I166" s="33" t="n">
        <f aca="false">H166-H165</f>
        <v>0</v>
      </c>
      <c r="J166" s="1" t="s">
        <v>28</v>
      </c>
      <c r="K166" s="1" t="n">
        <f aca="false">MAX($B$153:$B$182)</f>
        <v>0</v>
      </c>
      <c r="L166" s="1" t="n">
        <f aca="false">MAX($D$153:$D$182)</f>
        <v>0</v>
      </c>
      <c r="M166" s="1" t="n">
        <f aca="false">MAX($F$153:$F$182)</f>
        <v>0</v>
      </c>
      <c r="N166" s="1" t="n">
        <f aca="false">MAX($H$153:$H$182)</f>
        <v>0</v>
      </c>
    </row>
    <row r="167" customFormat="false" ht="13.8" hidden="false" customHeight="false" outlineLevel="0" collapsed="false">
      <c r="A167" s="32" t="n">
        <v>46188</v>
      </c>
      <c r="B167" s="33"/>
      <c r="C167" s="33" t="n">
        <f aca="false">B167-B166</f>
        <v>0</v>
      </c>
      <c r="D167" s="33"/>
      <c r="E167" s="33" t="n">
        <f aca="false">D167-D166</f>
        <v>0</v>
      </c>
      <c r="F167" s="33"/>
      <c r="G167" s="33" t="n">
        <f aca="false">F167-F166</f>
        <v>0</v>
      </c>
      <c r="H167" s="33"/>
      <c r="I167" s="33" t="n">
        <f aca="false">H167-H166</f>
        <v>0</v>
      </c>
      <c r="J167" s="1" t="s">
        <v>30</v>
      </c>
      <c r="K167" s="1" t="n">
        <f aca="false">SUM($B$153:$B$182)</f>
        <v>0</v>
      </c>
      <c r="L167" s="1" t="n">
        <f aca="false">SUM($D$153:$D$182)</f>
        <v>0</v>
      </c>
      <c r="M167" s="1" t="n">
        <f aca="false">SUM($F$153:$F$182)</f>
        <v>0</v>
      </c>
      <c r="N167" s="1" t="n">
        <f aca="false">SUM($H$153:$H$182)</f>
        <v>0</v>
      </c>
    </row>
    <row r="168" customFormat="false" ht="13.8" hidden="false" customHeight="false" outlineLevel="0" collapsed="false">
      <c r="A168" s="32" t="n">
        <v>46189</v>
      </c>
      <c r="B168" s="33"/>
      <c r="C168" s="33" t="n">
        <f aca="false">B168-B167</f>
        <v>0</v>
      </c>
      <c r="D168" s="33"/>
      <c r="E168" s="33" t="n">
        <f aca="false">D168-D167</f>
        <v>0</v>
      </c>
      <c r="F168" s="33"/>
      <c r="G168" s="33" t="n">
        <f aca="false">F168-F167</f>
        <v>0</v>
      </c>
      <c r="H168" s="33"/>
      <c r="I168" s="33" t="n">
        <f aca="false">H168-H167</f>
        <v>0</v>
      </c>
      <c r="J168" s="1" t="s">
        <v>32</v>
      </c>
      <c r="K168" s="1" t="n">
        <f aca="false">COUNT($B$153:$B$182)</f>
        <v>0</v>
      </c>
      <c r="L168" s="1" t="n">
        <f aca="false">COUNT($D$153:$D$182)</f>
        <v>0</v>
      </c>
      <c r="M168" s="1" t="n">
        <f aca="false">COUNT($F$153:$F$182)</f>
        <v>0</v>
      </c>
      <c r="N168" s="1" t="n">
        <f aca="false">COUNT($H$153:$H$182)</f>
        <v>0</v>
      </c>
    </row>
    <row r="169" customFormat="false" ht="13.8" hidden="false" customHeight="false" outlineLevel="0" collapsed="false">
      <c r="A169" s="32" t="n">
        <v>46190</v>
      </c>
      <c r="B169" s="33"/>
      <c r="C169" s="33" t="n">
        <f aca="false">B169-B168</f>
        <v>0</v>
      </c>
      <c r="D169" s="33"/>
      <c r="E169" s="33" t="n">
        <f aca="false">D169-D168</f>
        <v>0</v>
      </c>
      <c r="F169" s="33"/>
      <c r="G169" s="33" t="n">
        <f aca="false">F169-F168</f>
        <v>0</v>
      </c>
      <c r="H169" s="33"/>
      <c r="I169" s="33" t="n">
        <f aca="false">H169-H168</f>
        <v>0</v>
      </c>
    </row>
    <row r="170" customFormat="false" ht="13.8" hidden="false" customHeight="false" outlineLevel="0" collapsed="false">
      <c r="A170" s="32" t="n">
        <v>46191</v>
      </c>
      <c r="B170" s="33"/>
      <c r="C170" s="33" t="n">
        <f aca="false">B170-B169</f>
        <v>0</v>
      </c>
      <c r="D170" s="33"/>
      <c r="E170" s="33" t="n">
        <f aca="false">D170-D169</f>
        <v>0</v>
      </c>
      <c r="F170" s="33"/>
      <c r="G170" s="33" t="n">
        <f aca="false">F170-F169</f>
        <v>0</v>
      </c>
      <c r="H170" s="33"/>
      <c r="I170" s="33" t="n">
        <f aca="false">H170-H169</f>
        <v>0</v>
      </c>
    </row>
    <row r="171" customFormat="false" ht="13.8" hidden="false" customHeight="false" outlineLevel="0" collapsed="false">
      <c r="A171" s="32" t="n">
        <v>46192</v>
      </c>
      <c r="B171" s="33"/>
      <c r="C171" s="33" t="n">
        <f aca="false">B171-B170</f>
        <v>0</v>
      </c>
      <c r="D171" s="33"/>
      <c r="E171" s="33" t="n">
        <f aca="false">D171-D170</f>
        <v>0</v>
      </c>
      <c r="F171" s="33"/>
      <c r="G171" s="33" t="n">
        <f aca="false">F171-F170</f>
        <v>0</v>
      </c>
      <c r="H171" s="33"/>
      <c r="I171" s="33" t="n">
        <f aca="false">H171-H170</f>
        <v>0</v>
      </c>
    </row>
    <row r="172" customFormat="false" ht="13.8" hidden="false" customHeight="false" outlineLevel="0" collapsed="false">
      <c r="A172" s="32" t="n">
        <v>46193</v>
      </c>
      <c r="B172" s="33"/>
      <c r="C172" s="33" t="n">
        <f aca="false">B172-B171</f>
        <v>0</v>
      </c>
      <c r="D172" s="33"/>
      <c r="E172" s="33" t="n">
        <f aca="false">D172-D171</f>
        <v>0</v>
      </c>
      <c r="F172" s="33"/>
      <c r="G172" s="33" t="n">
        <f aca="false">F172-F171</f>
        <v>0</v>
      </c>
      <c r="H172" s="33"/>
      <c r="I172" s="33" t="n">
        <f aca="false">H172-H171</f>
        <v>0</v>
      </c>
    </row>
    <row r="173" customFormat="false" ht="13.8" hidden="false" customHeight="false" outlineLevel="0" collapsed="false">
      <c r="A173" s="32" t="n">
        <v>46194</v>
      </c>
      <c r="B173" s="33"/>
      <c r="C173" s="33" t="n">
        <f aca="false">B173-B172</f>
        <v>0</v>
      </c>
      <c r="D173" s="33"/>
      <c r="E173" s="33" t="n">
        <f aca="false">D173-D172</f>
        <v>0</v>
      </c>
      <c r="F173" s="33"/>
      <c r="G173" s="33" t="n">
        <f aca="false">F173-F172</f>
        <v>0</v>
      </c>
      <c r="H173" s="33"/>
      <c r="I173" s="33" t="n">
        <f aca="false">H173-H172</f>
        <v>0</v>
      </c>
    </row>
    <row r="174" customFormat="false" ht="13.8" hidden="false" customHeight="false" outlineLevel="0" collapsed="false">
      <c r="A174" s="32" t="n">
        <v>46195</v>
      </c>
      <c r="B174" s="33"/>
      <c r="C174" s="33" t="n">
        <f aca="false">B174-B173</f>
        <v>0</v>
      </c>
      <c r="D174" s="33"/>
      <c r="E174" s="33" t="n">
        <f aca="false">D174-D173</f>
        <v>0</v>
      </c>
      <c r="F174" s="33"/>
      <c r="G174" s="33" t="n">
        <f aca="false">F174-F173</f>
        <v>0</v>
      </c>
      <c r="H174" s="33"/>
      <c r="I174" s="33" t="n">
        <f aca="false">H174-H173</f>
        <v>0</v>
      </c>
    </row>
    <row r="175" customFormat="false" ht="13.8" hidden="false" customHeight="false" outlineLevel="0" collapsed="false">
      <c r="A175" s="32" t="n">
        <v>46196</v>
      </c>
      <c r="B175" s="33"/>
      <c r="C175" s="33" t="n">
        <f aca="false">B175-B174</f>
        <v>0</v>
      </c>
      <c r="D175" s="33"/>
      <c r="E175" s="33" t="n">
        <f aca="false">D175-D174</f>
        <v>0</v>
      </c>
      <c r="F175" s="33"/>
      <c r="G175" s="33" t="n">
        <f aca="false">F175-F174</f>
        <v>0</v>
      </c>
      <c r="H175" s="33"/>
      <c r="I175" s="33" t="n">
        <f aca="false">H175-H174</f>
        <v>0</v>
      </c>
    </row>
    <row r="176" customFormat="false" ht="13.8" hidden="false" customHeight="false" outlineLevel="0" collapsed="false">
      <c r="A176" s="32" t="n">
        <v>46197</v>
      </c>
      <c r="B176" s="33"/>
      <c r="C176" s="33" t="n">
        <f aca="false">B176-B175</f>
        <v>0</v>
      </c>
      <c r="D176" s="33"/>
      <c r="E176" s="33" t="n">
        <f aca="false">D176-D175</f>
        <v>0</v>
      </c>
      <c r="F176" s="33"/>
      <c r="G176" s="33" t="n">
        <f aca="false">F176-F175</f>
        <v>0</v>
      </c>
      <c r="H176" s="33"/>
      <c r="I176" s="33" t="n">
        <f aca="false">H176-H175</f>
        <v>0</v>
      </c>
    </row>
    <row r="177" customFormat="false" ht="13.8" hidden="false" customHeight="false" outlineLevel="0" collapsed="false">
      <c r="A177" s="32" t="n">
        <v>46198</v>
      </c>
      <c r="B177" s="33"/>
      <c r="C177" s="33" t="n">
        <f aca="false">B177-B176</f>
        <v>0</v>
      </c>
      <c r="D177" s="33"/>
      <c r="E177" s="33" t="n">
        <f aca="false">D177-D176</f>
        <v>0</v>
      </c>
      <c r="F177" s="33"/>
      <c r="G177" s="33" t="n">
        <f aca="false">F177-F176</f>
        <v>0</v>
      </c>
      <c r="H177" s="33"/>
      <c r="I177" s="33" t="n">
        <f aca="false">H177-H176</f>
        <v>0</v>
      </c>
    </row>
    <row r="178" customFormat="false" ht="13.8" hidden="false" customHeight="false" outlineLevel="0" collapsed="false">
      <c r="A178" s="32" t="n">
        <v>46199</v>
      </c>
      <c r="B178" s="33"/>
      <c r="C178" s="33" t="n">
        <f aca="false">B178-B177</f>
        <v>0</v>
      </c>
      <c r="D178" s="33"/>
      <c r="E178" s="33" t="n">
        <f aca="false">D178-D177</f>
        <v>0</v>
      </c>
      <c r="F178" s="33"/>
      <c r="G178" s="33" t="n">
        <f aca="false">F178-F177</f>
        <v>0</v>
      </c>
      <c r="H178" s="33"/>
      <c r="I178" s="33" t="n">
        <f aca="false">H178-H177</f>
        <v>0</v>
      </c>
    </row>
    <row r="179" customFormat="false" ht="13.8" hidden="false" customHeight="false" outlineLevel="0" collapsed="false">
      <c r="A179" s="32" t="n">
        <v>46200</v>
      </c>
      <c r="B179" s="33"/>
      <c r="C179" s="33" t="n">
        <f aca="false">B179-B178</f>
        <v>0</v>
      </c>
      <c r="D179" s="33"/>
      <c r="E179" s="33" t="n">
        <f aca="false">D179-D178</f>
        <v>0</v>
      </c>
      <c r="F179" s="33"/>
      <c r="G179" s="33" t="n">
        <f aca="false">F179-F178</f>
        <v>0</v>
      </c>
      <c r="H179" s="33"/>
      <c r="I179" s="33" t="n">
        <f aca="false">H179-H178</f>
        <v>0</v>
      </c>
    </row>
    <row r="180" customFormat="false" ht="13.8" hidden="false" customHeight="false" outlineLevel="0" collapsed="false">
      <c r="A180" s="32" t="n">
        <v>46201</v>
      </c>
      <c r="B180" s="33"/>
      <c r="C180" s="33" t="n">
        <f aca="false">B180-B179</f>
        <v>0</v>
      </c>
      <c r="D180" s="33"/>
      <c r="E180" s="33" t="n">
        <f aca="false">D180-D179</f>
        <v>0</v>
      </c>
      <c r="F180" s="33"/>
      <c r="G180" s="33" t="n">
        <f aca="false">F180-F179</f>
        <v>0</v>
      </c>
      <c r="H180" s="33"/>
      <c r="I180" s="33" t="n">
        <f aca="false">H180-H179</f>
        <v>0</v>
      </c>
    </row>
    <row r="181" customFormat="false" ht="13.8" hidden="false" customHeight="false" outlineLevel="0" collapsed="false">
      <c r="A181" s="32" t="n">
        <v>46202</v>
      </c>
      <c r="B181" s="33"/>
      <c r="C181" s="33" t="n">
        <f aca="false">B181-B180</f>
        <v>0</v>
      </c>
      <c r="D181" s="33"/>
      <c r="E181" s="33" t="n">
        <f aca="false">D181-D180</f>
        <v>0</v>
      </c>
      <c r="F181" s="33"/>
      <c r="G181" s="33" t="n">
        <f aca="false">F181-F180</f>
        <v>0</v>
      </c>
      <c r="H181" s="33"/>
      <c r="I181" s="33" t="n">
        <f aca="false">H181-H180</f>
        <v>0</v>
      </c>
    </row>
    <row r="182" customFormat="false" ht="13.8" hidden="false" customHeight="false" outlineLevel="0" collapsed="false">
      <c r="A182" s="32" t="n">
        <v>46203</v>
      </c>
      <c r="B182" s="33"/>
      <c r="C182" s="33" t="n">
        <f aca="false">B182-B181</f>
        <v>0</v>
      </c>
      <c r="D182" s="33"/>
      <c r="E182" s="33" t="n">
        <f aca="false">D182-D181</f>
        <v>0</v>
      </c>
      <c r="F182" s="33"/>
      <c r="G182" s="33" t="n">
        <f aca="false">F182-F181</f>
        <v>0</v>
      </c>
      <c r="H182" s="33"/>
      <c r="I182" s="33" t="n">
        <f aca="false">H182-H181</f>
        <v>0</v>
      </c>
    </row>
    <row r="183" customFormat="false" ht="13.8" hidden="false" customHeight="false" outlineLevel="0" collapsed="false">
      <c r="A183" s="32" t="n">
        <v>46204</v>
      </c>
      <c r="B183" s="33"/>
      <c r="C183" s="33" t="n">
        <f aca="false">B183-B182</f>
        <v>0</v>
      </c>
      <c r="D183" s="33"/>
      <c r="E183" s="33" t="n">
        <f aca="false">D183-D182</f>
        <v>0</v>
      </c>
      <c r="F183" s="33"/>
      <c r="G183" s="33" t="n">
        <f aca="false">F183-F182</f>
        <v>0</v>
      </c>
      <c r="H183" s="33"/>
      <c r="I183" s="33" t="n">
        <f aca="false">H183-H182</f>
        <v>0</v>
      </c>
      <c r="K183" s="34" t="s">
        <v>2</v>
      </c>
      <c r="L183" s="34" t="s">
        <v>179</v>
      </c>
      <c r="M183" s="34" t="s">
        <v>175</v>
      </c>
      <c r="N183" s="34" t="s">
        <v>177</v>
      </c>
    </row>
    <row r="184" customFormat="false" ht="13.8" hidden="false" customHeight="false" outlineLevel="0" collapsed="false">
      <c r="A184" s="32" t="n">
        <v>46205</v>
      </c>
      <c r="B184" s="33"/>
      <c r="C184" s="33" t="n">
        <f aca="false">B184-B183</f>
        <v>0</v>
      </c>
      <c r="D184" s="33"/>
      <c r="E184" s="33" t="n">
        <f aca="false">D184-D183</f>
        <v>0</v>
      </c>
      <c r="F184" s="33"/>
      <c r="G184" s="33" t="n">
        <f aca="false">F184-F183</f>
        <v>0</v>
      </c>
      <c r="H184" s="33"/>
      <c r="I184" s="33" t="n">
        <f aca="false">H184-H183</f>
        <v>0</v>
      </c>
      <c r="J184" s="1" t="s">
        <v>8</v>
      </c>
      <c r="K184" s="1" t="e">
        <f aca="false">AVERAGE($B$183:$B$213)</f>
        <v>#DIV/0!</v>
      </c>
      <c r="L184" s="1" t="e">
        <f aca="false">AVERAGE($D$183:$D$213)</f>
        <v>#DIV/0!</v>
      </c>
      <c r="M184" s="1" t="e">
        <f aca="false">AVERAGE($F$183:$F$213)</f>
        <v>#DIV/0!</v>
      </c>
      <c r="N184" s="1" t="e">
        <f aca="false">AVERAGE($H$183:$H$213)</f>
        <v>#DIV/0!</v>
      </c>
    </row>
    <row r="185" customFormat="false" ht="13.8" hidden="false" customHeight="false" outlineLevel="0" collapsed="false">
      <c r="A185" s="32" t="n">
        <v>46206</v>
      </c>
      <c r="B185" s="33"/>
      <c r="C185" s="33" t="n">
        <f aca="false">B185-B184</f>
        <v>0</v>
      </c>
      <c r="D185" s="33"/>
      <c r="E185" s="33" t="n">
        <f aca="false">D185-D184</f>
        <v>0</v>
      </c>
      <c r="F185" s="33"/>
      <c r="G185" s="33" t="n">
        <f aca="false">F185-F184</f>
        <v>0</v>
      </c>
      <c r="H185" s="33"/>
      <c r="I185" s="33" t="n">
        <f aca="false">H185-H184</f>
        <v>0</v>
      </c>
      <c r="J185" s="1" t="s">
        <v>10</v>
      </c>
      <c r="K185" s="1" t="e">
        <f aca="false">SQRT(VAR($B$183:$B$213)/COUNT($B$183:$B$213))</f>
        <v>#DIV/0!</v>
      </c>
      <c r="L185" s="1" t="e">
        <f aca="false">SQRT(VAR($D$183:$D$213)/COUNT($D$183:$D$213))</f>
        <v>#DIV/0!</v>
      </c>
      <c r="M185" s="1" t="e">
        <f aca="false">SQRT(VAR($F$183:$F$213)/COUNT($F$183:$F$213))</f>
        <v>#DIV/0!</v>
      </c>
      <c r="N185" s="1" t="e">
        <f aca="false">SQRT(VAR($H$183:$H$213)/COUNT($H$183:$H$213))</f>
        <v>#DIV/0!</v>
      </c>
    </row>
    <row r="186" customFormat="false" ht="13.8" hidden="false" customHeight="false" outlineLevel="0" collapsed="false">
      <c r="A186" s="32" t="n">
        <v>46207</v>
      </c>
      <c r="B186" s="33"/>
      <c r="C186" s="33" t="n">
        <f aca="false">B186-B185</f>
        <v>0</v>
      </c>
      <c r="D186" s="33"/>
      <c r="E186" s="33" t="n">
        <f aca="false">D186-D185</f>
        <v>0</v>
      </c>
      <c r="F186" s="33"/>
      <c r="G186" s="33" t="n">
        <f aca="false">F186-F185</f>
        <v>0</v>
      </c>
      <c r="H186" s="33"/>
      <c r="I186" s="33" t="n">
        <f aca="false">H186-H185</f>
        <v>0</v>
      </c>
      <c r="J186" s="1" t="s">
        <v>14</v>
      </c>
      <c r="K186" s="1" t="e">
        <f aca="false">MODE($B$183:$B$213)</f>
        <v>#VALUE!</v>
      </c>
      <c r="L186" s="1" t="e">
        <f aca="false">MODE($D$183:$D$213)</f>
        <v>#VALUE!</v>
      </c>
      <c r="M186" s="1" t="e">
        <f aca="false">MODE($F$183:$F$213)</f>
        <v>#VALUE!</v>
      </c>
      <c r="N186" s="1" t="e">
        <f aca="false">MODE($H$183:$H$213)</f>
        <v>#VALUE!</v>
      </c>
    </row>
    <row r="187" customFormat="false" ht="13.8" hidden="false" customHeight="false" outlineLevel="0" collapsed="false">
      <c r="A187" s="32" t="n">
        <v>46208</v>
      </c>
      <c r="B187" s="33"/>
      <c r="C187" s="33" t="n">
        <f aca="false">B187-B186</f>
        <v>0</v>
      </c>
      <c r="D187" s="33"/>
      <c r="E187" s="33" t="n">
        <f aca="false">D187-D186</f>
        <v>0</v>
      </c>
      <c r="F187" s="33"/>
      <c r="G187" s="33" t="n">
        <f aca="false">F187-F186</f>
        <v>0</v>
      </c>
      <c r="H187" s="33"/>
      <c r="I187" s="33" t="n">
        <f aca="false">H187-H186</f>
        <v>0</v>
      </c>
      <c r="J187" s="1" t="s">
        <v>12</v>
      </c>
      <c r="K187" s="1" t="e">
        <f aca="false">MEDIAN($B$183:$B$213)</f>
        <v>#VALUE!</v>
      </c>
      <c r="L187" s="1" t="e">
        <f aca="false">MEDIAN($D$183:$D$213)</f>
        <v>#VALUE!</v>
      </c>
      <c r="M187" s="1" t="e">
        <f aca="false">MEDIAN($F$183:$F$213)</f>
        <v>#VALUE!</v>
      </c>
      <c r="N187" s="1" t="e">
        <f aca="false">MEDIAN($H$183:$H$213)</f>
        <v>#VALUE!</v>
      </c>
    </row>
    <row r="188" customFormat="false" ht="13.8" hidden="false" customHeight="false" outlineLevel="0" collapsed="false">
      <c r="A188" s="32" t="n">
        <v>46209</v>
      </c>
      <c r="B188" s="33"/>
      <c r="C188" s="33" t="n">
        <f aca="false">B188-B187</f>
        <v>0</v>
      </c>
      <c r="D188" s="33"/>
      <c r="E188" s="33" t="n">
        <f aca="false">D188-D187</f>
        <v>0</v>
      </c>
      <c r="F188" s="33"/>
      <c r="G188" s="33" t="n">
        <f aca="false">F188-F187</f>
        <v>0</v>
      </c>
      <c r="H188" s="33"/>
      <c r="I188" s="33" t="n">
        <f aca="false">H188-H187</f>
        <v>0</v>
      </c>
      <c r="J188" s="1" t="s">
        <v>195</v>
      </c>
      <c r="K188" s="1" t="e">
        <f aca="false">QUARTILE($B$183:$B$213, 1)</f>
        <v>#VALUE!</v>
      </c>
      <c r="L188" s="1" t="e">
        <f aca="false">QUARTILE($D$183:$D$213, 1)</f>
        <v>#VALUE!</v>
      </c>
      <c r="M188" s="1" t="e">
        <f aca="false">QUARTILE($F$183:$F$213, 1)</f>
        <v>#VALUE!</v>
      </c>
      <c r="N188" s="1" t="e">
        <f aca="false">QUARTILE($H$183:$H$213, 1)</f>
        <v>#VALUE!</v>
      </c>
    </row>
    <row r="189" customFormat="false" ht="13.8" hidden="false" customHeight="false" outlineLevel="0" collapsed="false">
      <c r="A189" s="32" t="n">
        <v>46210</v>
      </c>
      <c r="B189" s="33"/>
      <c r="C189" s="33" t="n">
        <f aca="false">B189-B188</f>
        <v>0</v>
      </c>
      <c r="D189" s="33"/>
      <c r="E189" s="33" t="n">
        <f aca="false">D189-D188</f>
        <v>0</v>
      </c>
      <c r="F189" s="33"/>
      <c r="G189" s="33" t="n">
        <f aca="false">F189-F188</f>
        <v>0</v>
      </c>
      <c r="H189" s="33"/>
      <c r="I189" s="33" t="n">
        <f aca="false">H189-H188</f>
        <v>0</v>
      </c>
      <c r="J189" s="1" t="s">
        <v>181</v>
      </c>
      <c r="K189" s="1" t="e">
        <f aca="false">QUARTILE($B$183:$B$213, 3)</f>
        <v>#VALUE!</v>
      </c>
      <c r="L189" s="1" t="e">
        <f aca="false">QUARTILE($D$183:$D$213, 3)</f>
        <v>#VALUE!</v>
      </c>
      <c r="M189" s="1" t="e">
        <f aca="false">QUARTILE($F$183:$F$213, 3)</f>
        <v>#VALUE!</v>
      </c>
      <c r="N189" s="1" t="e">
        <f aca="false">QUARTILE($H$183:$H$213, 3)</f>
        <v>#VALUE!</v>
      </c>
    </row>
    <row r="190" customFormat="false" ht="13.8" hidden="false" customHeight="false" outlineLevel="0" collapsed="false">
      <c r="A190" s="32" t="n">
        <v>46211</v>
      </c>
      <c r="B190" s="33"/>
      <c r="C190" s="33" t="n">
        <f aca="false">B190-B189</f>
        <v>0</v>
      </c>
      <c r="D190" s="33"/>
      <c r="E190" s="33" t="n">
        <f aca="false">D190-D189</f>
        <v>0</v>
      </c>
      <c r="F190" s="33"/>
      <c r="G190" s="33" t="n">
        <f aca="false">F190-F189</f>
        <v>0</v>
      </c>
      <c r="H190" s="33"/>
      <c r="I190" s="33" t="n">
        <f aca="false">H190-H189</f>
        <v>0</v>
      </c>
      <c r="J190" s="1" t="s">
        <v>182</v>
      </c>
      <c r="K190" s="1" t="e">
        <f aca="false">VAR($B$183:$B$213)</f>
        <v>#DIV/0!</v>
      </c>
      <c r="L190" s="1" t="e">
        <f aca="false">VAR($D$183:$D$213)</f>
        <v>#DIV/0!</v>
      </c>
      <c r="M190" s="1" t="e">
        <f aca="false">VAR($F$183:$F$213)</f>
        <v>#DIV/0!</v>
      </c>
      <c r="N190" s="1" t="e">
        <f aca="false">VAR($H$183:$H$213)</f>
        <v>#DIV/0!</v>
      </c>
    </row>
    <row r="191" customFormat="false" ht="13.8" hidden="false" customHeight="false" outlineLevel="0" collapsed="false">
      <c r="A191" s="32" t="n">
        <v>46212</v>
      </c>
      <c r="B191" s="33"/>
      <c r="C191" s="33" t="n">
        <f aca="false">B191-B190</f>
        <v>0</v>
      </c>
      <c r="D191" s="33"/>
      <c r="E191" s="33" t="n">
        <f aca="false">D191-D190</f>
        <v>0</v>
      </c>
      <c r="F191" s="33"/>
      <c r="G191" s="33" t="n">
        <f aca="false">F191-F190</f>
        <v>0</v>
      </c>
      <c r="H191" s="33"/>
      <c r="I191" s="33" t="n">
        <f aca="false">H191-H190</f>
        <v>0</v>
      </c>
      <c r="J191" s="1" t="s">
        <v>16</v>
      </c>
      <c r="K191" s="1" t="e">
        <f aca="false">STDEV($B$183:$B$213)</f>
        <v>#DIV/0!</v>
      </c>
      <c r="L191" s="1" t="e">
        <f aca="false">STDEV($D$183:$D$213)</f>
        <v>#DIV/0!</v>
      </c>
      <c r="M191" s="1" t="e">
        <f aca="false">STDEV($F$183:$F$213)</f>
        <v>#DIV/0!</v>
      </c>
      <c r="N191" s="1" t="e">
        <f aca="false">STDEV($H$183:$H$213)</f>
        <v>#DIV/0!</v>
      </c>
    </row>
    <row r="192" customFormat="false" ht="13.8" hidden="false" customHeight="false" outlineLevel="0" collapsed="false">
      <c r="A192" s="32" t="n">
        <v>46213</v>
      </c>
      <c r="B192" s="33"/>
      <c r="C192" s="33" t="n">
        <f aca="false">B192-B191</f>
        <v>0</v>
      </c>
      <c r="D192" s="33"/>
      <c r="E192" s="33" t="n">
        <f aca="false">D192-D191</f>
        <v>0</v>
      </c>
      <c r="F192" s="33"/>
      <c r="G192" s="33" t="n">
        <f aca="false">F192-F191</f>
        <v>0</v>
      </c>
      <c r="H192" s="33"/>
      <c r="I192" s="33" t="n">
        <f aca="false">H192-H191</f>
        <v>0</v>
      </c>
      <c r="J192" s="1" t="s">
        <v>20</v>
      </c>
      <c r="K192" s="1" t="e">
        <f aca="false">KURT($B$183:$B$213)</f>
        <v>#DIV/0!</v>
      </c>
      <c r="L192" s="1" t="e">
        <f aca="false">KURT($D$183:$D$213)</f>
        <v>#DIV/0!</v>
      </c>
      <c r="M192" s="1" t="e">
        <f aca="false">KURT($F$183:$F$213)</f>
        <v>#DIV/0!</v>
      </c>
      <c r="N192" s="1" t="e">
        <f aca="false">KURT($H$183:$H$213)</f>
        <v>#DIV/0!</v>
      </c>
    </row>
    <row r="193" customFormat="false" ht="13.8" hidden="false" customHeight="false" outlineLevel="0" collapsed="false">
      <c r="A193" s="32" t="n">
        <v>46214</v>
      </c>
      <c r="B193" s="33"/>
      <c r="C193" s="33" t="n">
        <f aca="false">B193-B192</f>
        <v>0</v>
      </c>
      <c r="D193" s="33"/>
      <c r="E193" s="33" t="n">
        <f aca="false">D193-D192</f>
        <v>0</v>
      </c>
      <c r="F193" s="33"/>
      <c r="G193" s="33" t="n">
        <f aca="false">F193-F192</f>
        <v>0</v>
      </c>
      <c r="H193" s="33"/>
      <c r="I193" s="33" t="n">
        <f aca="false">H193-H192</f>
        <v>0</v>
      </c>
      <c r="J193" s="1" t="s">
        <v>22</v>
      </c>
      <c r="K193" s="1" t="e">
        <f aca="false">SKEW($B$183:$B$213)</f>
        <v>#DIV/0!</v>
      </c>
      <c r="L193" s="1" t="e">
        <f aca="false">SKEW($D$183:$D$213)</f>
        <v>#DIV/0!</v>
      </c>
      <c r="M193" s="1" t="e">
        <f aca="false">SKEW($F$183:$F$213)</f>
        <v>#DIV/0!</v>
      </c>
      <c r="N193" s="1" t="e">
        <f aca="false">SKEW($H$183:$H$213)</f>
        <v>#DIV/0!</v>
      </c>
    </row>
    <row r="194" customFormat="false" ht="13.8" hidden="false" customHeight="false" outlineLevel="0" collapsed="false">
      <c r="A194" s="32" t="n">
        <v>46215</v>
      </c>
      <c r="B194" s="33"/>
      <c r="C194" s="33" t="n">
        <f aca="false">B194-B193</f>
        <v>0</v>
      </c>
      <c r="D194" s="33"/>
      <c r="E194" s="33" t="n">
        <f aca="false">D194-D193</f>
        <v>0</v>
      </c>
      <c r="F194" s="33"/>
      <c r="G194" s="33" t="n">
        <f aca="false">F194-F193</f>
        <v>0</v>
      </c>
      <c r="H194" s="33"/>
      <c r="I194" s="33" t="n">
        <f aca="false">H194-H193</f>
        <v>0</v>
      </c>
      <c r="J194" s="1" t="s">
        <v>24</v>
      </c>
      <c r="K194" s="1" t="n">
        <f aca="false">MAX($B$183:$B$213)-MIN($B$183:$B$213)</f>
        <v>0</v>
      </c>
      <c r="L194" s="1" t="n">
        <f aca="false">MAX($D$183:$D$213)-MIN($D$183:$D$213)</f>
        <v>0</v>
      </c>
      <c r="M194" s="1" t="n">
        <f aca="false">MAX($F$183:$F$213)-MIN($F$183:$F$213)</f>
        <v>0</v>
      </c>
      <c r="N194" s="1" t="n">
        <f aca="false">MAX($H$183:$H$213)-MIN($H$183:$H$213)</f>
        <v>0</v>
      </c>
    </row>
    <row r="195" customFormat="false" ht="13.8" hidden="false" customHeight="false" outlineLevel="0" collapsed="false">
      <c r="A195" s="32" t="n">
        <v>46216</v>
      </c>
      <c r="B195" s="33"/>
      <c r="C195" s="33" t="n">
        <f aca="false">B195-B194</f>
        <v>0</v>
      </c>
      <c r="D195" s="33"/>
      <c r="E195" s="33" t="n">
        <f aca="false">D195-D194</f>
        <v>0</v>
      </c>
      <c r="F195" s="33"/>
      <c r="G195" s="33" t="n">
        <f aca="false">F195-F194</f>
        <v>0</v>
      </c>
      <c r="H195" s="33"/>
      <c r="I195" s="33" t="n">
        <f aca="false">H195-H194</f>
        <v>0</v>
      </c>
      <c r="J195" s="1" t="s">
        <v>26</v>
      </c>
      <c r="K195" s="1" t="n">
        <f aca="false">MIN($B$183:$B$213)</f>
        <v>0</v>
      </c>
      <c r="L195" s="1" t="n">
        <f aca="false">MIN($D$183:$D$213)</f>
        <v>0</v>
      </c>
      <c r="M195" s="1" t="n">
        <f aca="false">MIN($F$183:$F$213)</f>
        <v>0</v>
      </c>
      <c r="N195" s="1" t="n">
        <f aca="false">MIN($H$183:$H$213)</f>
        <v>0</v>
      </c>
    </row>
    <row r="196" customFormat="false" ht="13.8" hidden="false" customHeight="false" outlineLevel="0" collapsed="false">
      <c r="A196" s="32" t="n">
        <v>46217</v>
      </c>
      <c r="B196" s="33"/>
      <c r="C196" s="33" t="n">
        <f aca="false">B196-B195</f>
        <v>0</v>
      </c>
      <c r="D196" s="33"/>
      <c r="E196" s="33" t="n">
        <f aca="false">D196-D195</f>
        <v>0</v>
      </c>
      <c r="F196" s="33"/>
      <c r="G196" s="33" t="n">
        <f aca="false">F196-F195</f>
        <v>0</v>
      </c>
      <c r="H196" s="33"/>
      <c r="I196" s="33" t="n">
        <f aca="false">H196-H195</f>
        <v>0</v>
      </c>
      <c r="J196" s="1" t="s">
        <v>28</v>
      </c>
      <c r="K196" s="1" t="n">
        <f aca="false">MAX($B$183:$B$213)</f>
        <v>0</v>
      </c>
      <c r="L196" s="1" t="n">
        <f aca="false">MAX($D$183:$D$213)</f>
        <v>0</v>
      </c>
      <c r="M196" s="1" t="n">
        <f aca="false">MAX($F$183:$F$213)</f>
        <v>0</v>
      </c>
      <c r="N196" s="1" t="n">
        <f aca="false">MAX($H$183:$H$213)</f>
        <v>0</v>
      </c>
    </row>
    <row r="197" customFormat="false" ht="13.8" hidden="false" customHeight="false" outlineLevel="0" collapsed="false">
      <c r="A197" s="32" t="n">
        <v>46218</v>
      </c>
      <c r="B197" s="33"/>
      <c r="C197" s="33" t="n">
        <f aca="false">B197-B196</f>
        <v>0</v>
      </c>
      <c r="D197" s="33"/>
      <c r="E197" s="33" t="n">
        <f aca="false">D197-D196</f>
        <v>0</v>
      </c>
      <c r="F197" s="33"/>
      <c r="G197" s="33" t="n">
        <f aca="false">F197-F196</f>
        <v>0</v>
      </c>
      <c r="H197" s="33"/>
      <c r="I197" s="33" t="n">
        <f aca="false">H197-H196</f>
        <v>0</v>
      </c>
      <c r="J197" s="1" t="s">
        <v>30</v>
      </c>
      <c r="K197" s="1" t="n">
        <f aca="false">SUM($B$183:$B$213)</f>
        <v>0</v>
      </c>
      <c r="L197" s="1" t="n">
        <f aca="false">SUM($D$183:$D$213)</f>
        <v>0</v>
      </c>
      <c r="M197" s="1" t="n">
        <f aca="false">SUM($F$183:$F$213)</f>
        <v>0</v>
      </c>
      <c r="N197" s="1" t="n">
        <f aca="false">SUM($H$183:$H$213)</f>
        <v>0</v>
      </c>
    </row>
    <row r="198" customFormat="false" ht="13.8" hidden="false" customHeight="false" outlineLevel="0" collapsed="false">
      <c r="A198" s="32" t="n">
        <v>46219</v>
      </c>
      <c r="B198" s="33"/>
      <c r="C198" s="33" t="n">
        <f aca="false">B198-B197</f>
        <v>0</v>
      </c>
      <c r="D198" s="33"/>
      <c r="E198" s="33" t="n">
        <f aca="false">D198-D197</f>
        <v>0</v>
      </c>
      <c r="F198" s="33"/>
      <c r="G198" s="33" t="n">
        <f aca="false">F198-F197</f>
        <v>0</v>
      </c>
      <c r="H198" s="33"/>
      <c r="I198" s="33" t="n">
        <f aca="false">H198-H197</f>
        <v>0</v>
      </c>
      <c r="J198" s="1" t="s">
        <v>32</v>
      </c>
      <c r="K198" s="1" t="n">
        <f aca="false">COUNT($B$183:$B$213)</f>
        <v>0</v>
      </c>
      <c r="L198" s="1" t="n">
        <f aca="false">COUNT($D$183:$D$213)</f>
        <v>0</v>
      </c>
      <c r="M198" s="1" t="n">
        <f aca="false">COUNT($F$183:$F$213)</f>
        <v>0</v>
      </c>
      <c r="N198" s="1" t="n">
        <f aca="false">COUNT($H$183:$H$213)</f>
        <v>0</v>
      </c>
    </row>
    <row r="199" customFormat="false" ht="13.8" hidden="false" customHeight="false" outlineLevel="0" collapsed="false">
      <c r="A199" s="32" t="n">
        <v>46220</v>
      </c>
      <c r="B199" s="33"/>
      <c r="C199" s="33" t="n">
        <f aca="false">B199-B198</f>
        <v>0</v>
      </c>
      <c r="D199" s="33"/>
      <c r="E199" s="33" t="n">
        <f aca="false">D199-D198</f>
        <v>0</v>
      </c>
      <c r="F199" s="33"/>
      <c r="G199" s="33" t="n">
        <f aca="false">F199-F198</f>
        <v>0</v>
      </c>
      <c r="H199" s="33"/>
      <c r="I199" s="33" t="n">
        <f aca="false">H199-H198</f>
        <v>0</v>
      </c>
    </row>
    <row r="200" customFormat="false" ht="13.8" hidden="false" customHeight="false" outlineLevel="0" collapsed="false">
      <c r="A200" s="32" t="n">
        <v>46221</v>
      </c>
      <c r="B200" s="33"/>
      <c r="C200" s="33" t="n">
        <f aca="false">B200-B199</f>
        <v>0</v>
      </c>
      <c r="D200" s="33"/>
      <c r="E200" s="33" t="n">
        <f aca="false">D200-D199</f>
        <v>0</v>
      </c>
      <c r="F200" s="33"/>
      <c r="G200" s="33" t="n">
        <f aca="false">F200-F199</f>
        <v>0</v>
      </c>
      <c r="H200" s="33"/>
      <c r="I200" s="33" t="n">
        <f aca="false">H200-H199</f>
        <v>0</v>
      </c>
    </row>
    <row r="201" customFormat="false" ht="13.8" hidden="false" customHeight="false" outlineLevel="0" collapsed="false">
      <c r="A201" s="32" t="n">
        <v>46222</v>
      </c>
      <c r="B201" s="33"/>
      <c r="C201" s="33" t="n">
        <f aca="false">B201-B200</f>
        <v>0</v>
      </c>
      <c r="D201" s="33"/>
      <c r="E201" s="33" t="n">
        <f aca="false">D201-D200</f>
        <v>0</v>
      </c>
      <c r="F201" s="33"/>
      <c r="G201" s="33" t="n">
        <f aca="false">F201-F200</f>
        <v>0</v>
      </c>
      <c r="H201" s="33"/>
      <c r="I201" s="33" t="n">
        <f aca="false">H201-H200</f>
        <v>0</v>
      </c>
    </row>
    <row r="202" customFormat="false" ht="13.8" hidden="false" customHeight="false" outlineLevel="0" collapsed="false">
      <c r="A202" s="32" t="n">
        <v>46223</v>
      </c>
      <c r="B202" s="33"/>
      <c r="C202" s="33" t="n">
        <f aca="false">B202-B201</f>
        <v>0</v>
      </c>
      <c r="D202" s="33"/>
      <c r="E202" s="33" t="n">
        <f aca="false">D202-D201</f>
        <v>0</v>
      </c>
      <c r="F202" s="33"/>
      <c r="G202" s="33" t="n">
        <f aca="false">F202-F201</f>
        <v>0</v>
      </c>
      <c r="H202" s="33"/>
      <c r="I202" s="33" t="n">
        <f aca="false">H202-H201</f>
        <v>0</v>
      </c>
    </row>
    <row r="203" customFormat="false" ht="13.8" hidden="false" customHeight="false" outlineLevel="0" collapsed="false">
      <c r="A203" s="32" t="n">
        <v>46224</v>
      </c>
      <c r="B203" s="33"/>
      <c r="C203" s="33" t="n">
        <f aca="false">B203-B202</f>
        <v>0</v>
      </c>
      <c r="D203" s="33"/>
      <c r="E203" s="33" t="n">
        <f aca="false">D203-D202</f>
        <v>0</v>
      </c>
      <c r="F203" s="33"/>
      <c r="G203" s="33" t="n">
        <f aca="false">F203-F202</f>
        <v>0</v>
      </c>
      <c r="H203" s="33"/>
      <c r="I203" s="33" t="n">
        <f aca="false">H203-H202</f>
        <v>0</v>
      </c>
    </row>
    <row r="204" customFormat="false" ht="13.8" hidden="false" customHeight="false" outlineLevel="0" collapsed="false">
      <c r="A204" s="32" t="n">
        <v>46225</v>
      </c>
      <c r="B204" s="33"/>
      <c r="C204" s="33" t="n">
        <f aca="false">B204-B203</f>
        <v>0</v>
      </c>
      <c r="D204" s="33"/>
      <c r="E204" s="33" t="n">
        <f aca="false">D204-D203</f>
        <v>0</v>
      </c>
      <c r="F204" s="33"/>
      <c r="G204" s="33" t="n">
        <f aca="false">F204-F203</f>
        <v>0</v>
      </c>
      <c r="H204" s="33"/>
      <c r="I204" s="33" t="n">
        <f aca="false">H204-H203</f>
        <v>0</v>
      </c>
    </row>
    <row r="205" customFormat="false" ht="13.8" hidden="false" customHeight="false" outlineLevel="0" collapsed="false">
      <c r="A205" s="32" t="n">
        <v>46226</v>
      </c>
      <c r="B205" s="33"/>
      <c r="C205" s="33" t="n">
        <f aca="false">B205-B204</f>
        <v>0</v>
      </c>
      <c r="D205" s="33"/>
      <c r="E205" s="33" t="n">
        <f aca="false">D205-D204</f>
        <v>0</v>
      </c>
      <c r="F205" s="33"/>
      <c r="G205" s="33" t="n">
        <f aca="false">F205-F204</f>
        <v>0</v>
      </c>
      <c r="H205" s="33"/>
      <c r="I205" s="33" t="n">
        <f aca="false">H205-H204</f>
        <v>0</v>
      </c>
    </row>
    <row r="206" customFormat="false" ht="13.8" hidden="false" customHeight="false" outlineLevel="0" collapsed="false">
      <c r="A206" s="32" t="n">
        <v>46227</v>
      </c>
      <c r="B206" s="33"/>
      <c r="C206" s="33" t="n">
        <f aca="false">B206-B205</f>
        <v>0</v>
      </c>
      <c r="D206" s="33"/>
      <c r="E206" s="33" t="n">
        <f aca="false">D206-D205</f>
        <v>0</v>
      </c>
      <c r="F206" s="33"/>
      <c r="G206" s="33" t="n">
        <f aca="false">F206-F205</f>
        <v>0</v>
      </c>
      <c r="H206" s="33"/>
      <c r="I206" s="33" t="n">
        <f aca="false">H206-H205</f>
        <v>0</v>
      </c>
    </row>
    <row r="207" customFormat="false" ht="13.8" hidden="false" customHeight="false" outlineLevel="0" collapsed="false">
      <c r="A207" s="32" t="n">
        <v>46228</v>
      </c>
      <c r="B207" s="33"/>
      <c r="C207" s="33" t="n">
        <f aca="false">B207-B206</f>
        <v>0</v>
      </c>
      <c r="D207" s="33"/>
      <c r="E207" s="33" t="n">
        <f aca="false">D207-D206</f>
        <v>0</v>
      </c>
      <c r="F207" s="33"/>
      <c r="G207" s="33" t="n">
        <f aca="false">F207-F206</f>
        <v>0</v>
      </c>
      <c r="H207" s="33"/>
      <c r="I207" s="33" t="n">
        <f aca="false">H207-H206</f>
        <v>0</v>
      </c>
    </row>
    <row r="208" customFormat="false" ht="13.8" hidden="false" customHeight="false" outlineLevel="0" collapsed="false">
      <c r="A208" s="32" t="n">
        <v>46229</v>
      </c>
      <c r="B208" s="33"/>
      <c r="C208" s="33" t="n">
        <f aca="false">B208-B207</f>
        <v>0</v>
      </c>
      <c r="D208" s="33"/>
      <c r="E208" s="33" t="n">
        <f aca="false">D208-D207</f>
        <v>0</v>
      </c>
      <c r="F208" s="33"/>
      <c r="G208" s="33" t="n">
        <f aca="false">F208-F207</f>
        <v>0</v>
      </c>
      <c r="H208" s="33"/>
      <c r="I208" s="33" t="n">
        <f aca="false">H208-H207</f>
        <v>0</v>
      </c>
    </row>
    <row r="209" customFormat="false" ht="13.8" hidden="false" customHeight="false" outlineLevel="0" collapsed="false">
      <c r="A209" s="32" t="n">
        <v>46230</v>
      </c>
      <c r="B209" s="33"/>
      <c r="C209" s="33" t="n">
        <f aca="false">B209-B208</f>
        <v>0</v>
      </c>
      <c r="D209" s="33"/>
      <c r="E209" s="33" t="n">
        <f aca="false">D209-D208</f>
        <v>0</v>
      </c>
      <c r="F209" s="33"/>
      <c r="G209" s="33" t="n">
        <f aca="false">F209-F208</f>
        <v>0</v>
      </c>
      <c r="H209" s="33"/>
      <c r="I209" s="33" t="n">
        <f aca="false">H209-H208</f>
        <v>0</v>
      </c>
    </row>
    <row r="210" customFormat="false" ht="13.8" hidden="false" customHeight="false" outlineLevel="0" collapsed="false">
      <c r="A210" s="32" t="n">
        <v>46231</v>
      </c>
      <c r="B210" s="33"/>
      <c r="C210" s="33" t="n">
        <f aca="false">B210-B209</f>
        <v>0</v>
      </c>
      <c r="D210" s="33"/>
      <c r="E210" s="33" t="n">
        <f aca="false">D210-D209</f>
        <v>0</v>
      </c>
      <c r="F210" s="33"/>
      <c r="G210" s="33" t="n">
        <f aca="false">F210-F209</f>
        <v>0</v>
      </c>
      <c r="H210" s="33"/>
      <c r="I210" s="33" t="n">
        <f aca="false">H210-H209</f>
        <v>0</v>
      </c>
    </row>
    <row r="211" customFormat="false" ht="13.8" hidden="false" customHeight="false" outlineLevel="0" collapsed="false">
      <c r="A211" s="32" t="n">
        <v>46232</v>
      </c>
      <c r="B211" s="33"/>
      <c r="C211" s="33" t="n">
        <f aca="false">B211-B210</f>
        <v>0</v>
      </c>
      <c r="D211" s="33"/>
      <c r="E211" s="33" t="n">
        <f aca="false">D211-D210</f>
        <v>0</v>
      </c>
      <c r="F211" s="33"/>
      <c r="G211" s="33" t="n">
        <f aca="false">F211-F210</f>
        <v>0</v>
      </c>
      <c r="H211" s="33"/>
      <c r="I211" s="33" t="n">
        <f aca="false">H211-H210</f>
        <v>0</v>
      </c>
    </row>
    <row r="212" customFormat="false" ht="13.8" hidden="false" customHeight="false" outlineLevel="0" collapsed="false">
      <c r="A212" s="32" t="n">
        <v>46233</v>
      </c>
      <c r="B212" s="33"/>
      <c r="C212" s="33" t="n">
        <f aca="false">B212-B211</f>
        <v>0</v>
      </c>
      <c r="D212" s="33"/>
      <c r="E212" s="33" t="n">
        <f aca="false">D212-D211</f>
        <v>0</v>
      </c>
      <c r="F212" s="33"/>
      <c r="G212" s="33" t="n">
        <f aca="false">F212-F211</f>
        <v>0</v>
      </c>
      <c r="H212" s="33"/>
      <c r="I212" s="33" t="n">
        <f aca="false">H212-H211</f>
        <v>0</v>
      </c>
    </row>
    <row r="213" customFormat="false" ht="13.8" hidden="false" customHeight="false" outlineLevel="0" collapsed="false">
      <c r="A213" s="32" t="n">
        <v>46234</v>
      </c>
      <c r="B213" s="33"/>
      <c r="C213" s="33" t="n">
        <f aca="false">B213-B212</f>
        <v>0</v>
      </c>
      <c r="D213" s="33"/>
      <c r="E213" s="33" t="n">
        <f aca="false">D213-D212</f>
        <v>0</v>
      </c>
      <c r="F213" s="33"/>
      <c r="G213" s="33" t="n">
        <f aca="false">F213-F212</f>
        <v>0</v>
      </c>
      <c r="H213" s="33"/>
      <c r="I213" s="33" t="n">
        <f aca="false">H213-H212</f>
        <v>0</v>
      </c>
    </row>
    <row r="214" customFormat="false" ht="13.8" hidden="false" customHeight="false" outlineLevel="0" collapsed="false">
      <c r="A214" s="32" t="n">
        <v>46235</v>
      </c>
      <c r="B214" s="33"/>
      <c r="C214" s="33" t="n">
        <f aca="false">B214-B213</f>
        <v>0</v>
      </c>
      <c r="D214" s="33"/>
      <c r="E214" s="33" t="n">
        <f aca="false">D214-D213</f>
        <v>0</v>
      </c>
      <c r="F214" s="33"/>
      <c r="G214" s="33" t="n">
        <f aca="false">F214-F213</f>
        <v>0</v>
      </c>
      <c r="H214" s="33"/>
      <c r="I214" s="33" t="n">
        <f aca="false">H214-H213</f>
        <v>0</v>
      </c>
      <c r="K214" s="34" t="s">
        <v>2</v>
      </c>
      <c r="L214" s="34" t="s">
        <v>179</v>
      </c>
      <c r="M214" s="34" t="s">
        <v>175</v>
      </c>
      <c r="N214" s="34" t="s">
        <v>177</v>
      </c>
    </row>
    <row r="215" customFormat="false" ht="13.8" hidden="false" customHeight="false" outlineLevel="0" collapsed="false">
      <c r="A215" s="32" t="n">
        <v>46236</v>
      </c>
      <c r="B215" s="33"/>
      <c r="C215" s="33" t="n">
        <f aca="false">B215-B214</f>
        <v>0</v>
      </c>
      <c r="D215" s="33"/>
      <c r="E215" s="33" t="n">
        <f aca="false">D215-D214</f>
        <v>0</v>
      </c>
      <c r="F215" s="33"/>
      <c r="G215" s="33" t="n">
        <f aca="false">F215-F214</f>
        <v>0</v>
      </c>
      <c r="H215" s="33"/>
      <c r="I215" s="33" t="n">
        <f aca="false">H215-H214</f>
        <v>0</v>
      </c>
      <c r="J215" s="1" t="s">
        <v>8</v>
      </c>
      <c r="K215" s="1" t="e">
        <f aca="false">AVERAGE($B$214:$B$244)</f>
        <v>#DIV/0!</v>
      </c>
      <c r="L215" s="1" t="e">
        <f aca="false">AVERAGE($D$214:$D$244)</f>
        <v>#DIV/0!</v>
      </c>
      <c r="M215" s="1" t="e">
        <f aca="false">AVERAGE($F$214:$F$244)</f>
        <v>#DIV/0!</v>
      </c>
      <c r="N215" s="1" t="e">
        <f aca="false">AVERAGE($H$214:$H$244)</f>
        <v>#DIV/0!</v>
      </c>
    </row>
    <row r="216" customFormat="false" ht="13.8" hidden="false" customHeight="false" outlineLevel="0" collapsed="false">
      <c r="A216" s="32" t="n">
        <v>46237</v>
      </c>
      <c r="B216" s="33"/>
      <c r="C216" s="33" t="n">
        <f aca="false">B216-B215</f>
        <v>0</v>
      </c>
      <c r="D216" s="33"/>
      <c r="E216" s="33" t="n">
        <f aca="false">D216-D215</f>
        <v>0</v>
      </c>
      <c r="F216" s="33"/>
      <c r="G216" s="33" t="n">
        <f aca="false">F216-F215</f>
        <v>0</v>
      </c>
      <c r="H216" s="33"/>
      <c r="I216" s="33" t="n">
        <f aca="false">H216-H215</f>
        <v>0</v>
      </c>
      <c r="J216" s="1" t="s">
        <v>10</v>
      </c>
      <c r="K216" s="1" t="e">
        <f aca="false">SQRT(VAR($B$214:$B$244)/COUNT($B$214:$B$244))</f>
        <v>#DIV/0!</v>
      </c>
      <c r="L216" s="1" t="e">
        <f aca="false">SQRT(VAR($D$214:$D$244)/COUNT($D$214:$D$244))</f>
        <v>#DIV/0!</v>
      </c>
      <c r="M216" s="1" t="e">
        <f aca="false">SQRT(VAR($F$214:$F$244)/COUNT($F$214:$F$244))</f>
        <v>#DIV/0!</v>
      </c>
      <c r="N216" s="1" t="e">
        <f aca="false">SQRT(VAR($H$214:$H$244)/COUNT($H$214:$H$244))</f>
        <v>#DIV/0!</v>
      </c>
    </row>
    <row r="217" customFormat="false" ht="13.8" hidden="false" customHeight="false" outlineLevel="0" collapsed="false">
      <c r="A217" s="32" t="n">
        <v>46238</v>
      </c>
      <c r="B217" s="33"/>
      <c r="C217" s="33" t="n">
        <f aca="false">B217-B216</f>
        <v>0</v>
      </c>
      <c r="D217" s="33"/>
      <c r="E217" s="33" t="n">
        <f aca="false">D217-D216</f>
        <v>0</v>
      </c>
      <c r="F217" s="33"/>
      <c r="G217" s="33" t="n">
        <f aca="false">F217-F216</f>
        <v>0</v>
      </c>
      <c r="H217" s="33"/>
      <c r="I217" s="33" t="n">
        <f aca="false">H217-H216</f>
        <v>0</v>
      </c>
      <c r="J217" s="1" t="s">
        <v>14</v>
      </c>
      <c r="K217" s="1" t="e">
        <f aca="false">MODE($B$214:$B$244)</f>
        <v>#VALUE!</v>
      </c>
      <c r="L217" s="1" t="e">
        <f aca="false">MODE($D$214:$D$244)</f>
        <v>#VALUE!</v>
      </c>
      <c r="M217" s="1" t="e">
        <f aca="false">MODE($F$214:$F$244)</f>
        <v>#VALUE!</v>
      </c>
      <c r="N217" s="1" t="e">
        <f aca="false">MODE($H$214:$H$244)</f>
        <v>#VALUE!</v>
      </c>
    </row>
    <row r="218" customFormat="false" ht="13.8" hidden="false" customHeight="false" outlineLevel="0" collapsed="false">
      <c r="A218" s="32" t="n">
        <v>46239</v>
      </c>
      <c r="B218" s="33"/>
      <c r="C218" s="33" t="n">
        <f aca="false">B218-B217</f>
        <v>0</v>
      </c>
      <c r="D218" s="33"/>
      <c r="E218" s="33" t="n">
        <f aca="false">D218-D217</f>
        <v>0</v>
      </c>
      <c r="F218" s="33"/>
      <c r="G218" s="33" t="n">
        <f aca="false">F218-F217</f>
        <v>0</v>
      </c>
      <c r="H218" s="33"/>
      <c r="I218" s="33" t="n">
        <f aca="false">H218-H217</f>
        <v>0</v>
      </c>
      <c r="J218" s="1" t="s">
        <v>12</v>
      </c>
      <c r="K218" s="1" t="e">
        <f aca="false">MEDIAN($B$214:$B$244)</f>
        <v>#VALUE!</v>
      </c>
      <c r="L218" s="1" t="e">
        <f aca="false">MEDIAN($D$214:$D$244)</f>
        <v>#VALUE!</v>
      </c>
      <c r="M218" s="1" t="e">
        <f aca="false">MEDIAN($F$214:$F$244)</f>
        <v>#VALUE!</v>
      </c>
      <c r="N218" s="1" t="e">
        <f aca="false">MEDIAN($H$214:$H$244)</f>
        <v>#VALUE!</v>
      </c>
    </row>
    <row r="219" customFormat="false" ht="13.8" hidden="false" customHeight="false" outlineLevel="0" collapsed="false">
      <c r="A219" s="32" t="n">
        <v>46240</v>
      </c>
      <c r="B219" s="33"/>
      <c r="C219" s="33" t="n">
        <f aca="false">B219-B218</f>
        <v>0</v>
      </c>
      <c r="D219" s="33"/>
      <c r="E219" s="33" t="n">
        <f aca="false">D219-D218</f>
        <v>0</v>
      </c>
      <c r="F219" s="33"/>
      <c r="G219" s="33" t="n">
        <f aca="false">F219-F218</f>
        <v>0</v>
      </c>
      <c r="H219" s="33"/>
      <c r="I219" s="33" t="n">
        <f aca="false">H219-H218</f>
        <v>0</v>
      </c>
      <c r="J219" s="1" t="s">
        <v>195</v>
      </c>
      <c r="K219" s="1" t="e">
        <f aca="false">QUARTILE($B$214:$B$244, 1)</f>
        <v>#VALUE!</v>
      </c>
      <c r="L219" s="1" t="e">
        <f aca="false">QUARTILE($D$214:$D$244, 1)</f>
        <v>#VALUE!</v>
      </c>
      <c r="M219" s="1" t="e">
        <f aca="false">QUARTILE($F$214:$F$244, 1)</f>
        <v>#VALUE!</v>
      </c>
      <c r="N219" s="1" t="e">
        <f aca="false">QUARTILE($H$214:$H$244, 1)</f>
        <v>#VALUE!</v>
      </c>
    </row>
    <row r="220" customFormat="false" ht="13.8" hidden="false" customHeight="false" outlineLevel="0" collapsed="false">
      <c r="A220" s="32" t="n">
        <v>46241</v>
      </c>
      <c r="B220" s="33"/>
      <c r="C220" s="33" t="n">
        <f aca="false">B220-B219</f>
        <v>0</v>
      </c>
      <c r="D220" s="33"/>
      <c r="E220" s="33" t="n">
        <f aca="false">D220-D219</f>
        <v>0</v>
      </c>
      <c r="F220" s="33"/>
      <c r="G220" s="33" t="n">
        <f aca="false">F220-F219</f>
        <v>0</v>
      </c>
      <c r="H220" s="33"/>
      <c r="I220" s="33" t="n">
        <f aca="false">H220-H219</f>
        <v>0</v>
      </c>
      <c r="J220" s="1" t="s">
        <v>181</v>
      </c>
      <c r="K220" s="1" t="e">
        <f aca="false">QUARTILE($B$214:$B$244, 3)</f>
        <v>#VALUE!</v>
      </c>
      <c r="L220" s="1" t="e">
        <f aca="false">QUARTILE($D$214:$D$244, 3)</f>
        <v>#VALUE!</v>
      </c>
      <c r="M220" s="1" t="e">
        <f aca="false">QUARTILE($F$214:$F$244, 3)</f>
        <v>#VALUE!</v>
      </c>
      <c r="N220" s="1" t="e">
        <f aca="false">QUARTILE($H$214:$H$244, 3)</f>
        <v>#VALUE!</v>
      </c>
    </row>
    <row r="221" customFormat="false" ht="13.8" hidden="false" customHeight="false" outlineLevel="0" collapsed="false">
      <c r="A221" s="32" t="n">
        <v>46242</v>
      </c>
      <c r="B221" s="33"/>
      <c r="C221" s="33" t="n">
        <f aca="false">B221-B220</f>
        <v>0</v>
      </c>
      <c r="D221" s="33"/>
      <c r="E221" s="33" t="n">
        <f aca="false">D221-D220</f>
        <v>0</v>
      </c>
      <c r="F221" s="33"/>
      <c r="G221" s="33" t="n">
        <f aca="false">F221-F220</f>
        <v>0</v>
      </c>
      <c r="H221" s="33"/>
      <c r="I221" s="33" t="n">
        <f aca="false">H221-H220</f>
        <v>0</v>
      </c>
      <c r="J221" s="1" t="s">
        <v>182</v>
      </c>
      <c r="K221" s="1" t="e">
        <f aca="false">VAR($B$214:$B$244)</f>
        <v>#DIV/0!</v>
      </c>
      <c r="L221" s="1" t="e">
        <f aca="false">VAR($D$214:$D$244)</f>
        <v>#DIV/0!</v>
      </c>
      <c r="M221" s="1" t="e">
        <f aca="false">VAR($F$214:$F$244)</f>
        <v>#DIV/0!</v>
      </c>
      <c r="N221" s="1" t="e">
        <f aca="false">VAR($H$214:$H$244)</f>
        <v>#DIV/0!</v>
      </c>
    </row>
    <row r="222" customFormat="false" ht="13.8" hidden="false" customHeight="false" outlineLevel="0" collapsed="false">
      <c r="A222" s="32" t="n">
        <v>46243</v>
      </c>
      <c r="B222" s="33"/>
      <c r="C222" s="33" t="n">
        <f aca="false">B222-B221</f>
        <v>0</v>
      </c>
      <c r="D222" s="33"/>
      <c r="E222" s="33" t="n">
        <f aca="false">D222-D221</f>
        <v>0</v>
      </c>
      <c r="F222" s="33"/>
      <c r="G222" s="33" t="n">
        <f aca="false">F222-F221</f>
        <v>0</v>
      </c>
      <c r="H222" s="33"/>
      <c r="I222" s="33" t="n">
        <f aca="false">H222-H221</f>
        <v>0</v>
      </c>
      <c r="J222" s="1" t="s">
        <v>16</v>
      </c>
      <c r="K222" s="1" t="e">
        <f aca="false">STDEV($B$214:$B$244)</f>
        <v>#DIV/0!</v>
      </c>
      <c r="L222" s="1" t="e">
        <f aca="false">STDEV($D$214:$D$244)</f>
        <v>#DIV/0!</v>
      </c>
      <c r="M222" s="1" t="e">
        <f aca="false">STDEV($F$214:$F$244)</f>
        <v>#DIV/0!</v>
      </c>
      <c r="N222" s="1" t="e">
        <f aca="false">STDEV($H$214:$H$244)</f>
        <v>#DIV/0!</v>
      </c>
    </row>
    <row r="223" customFormat="false" ht="13.8" hidden="false" customHeight="false" outlineLevel="0" collapsed="false">
      <c r="A223" s="32" t="n">
        <v>46244</v>
      </c>
      <c r="B223" s="33"/>
      <c r="C223" s="33" t="n">
        <f aca="false">B223-B222</f>
        <v>0</v>
      </c>
      <c r="D223" s="33"/>
      <c r="E223" s="33" t="n">
        <f aca="false">D223-D222</f>
        <v>0</v>
      </c>
      <c r="F223" s="33"/>
      <c r="G223" s="33" t="n">
        <f aca="false">F223-F222</f>
        <v>0</v>
      </c>
      <c r="H223" s="33"/>
      <c r="I223" s="33" t="n">
        <f aca="false">H223-H222</f>
        <v>0</v>
      </c>
      <c r="J223" s="1" t="s">
        <v>20</v>
      </c>
      <c r="K223" s="1" t="e">
        <f aca="false">KURT($B$214:$B$244)</f>
        <v>#DIV/0!</v>
      </c>
      <c r="L223" s="1" t="e">
        <f aca="false">KURT($D$214:$D$244)</f>
        <v>#DIV/0!</v>
      </c>
      <c r="M223" s="1" t="e">
        <f aca="false">KURT($F$214:$F$244)</f>
        <v>#DIV/0!</v>
      </c>
      <c r="N223" s="1" t="e">
        <f aca="false">KURT($H$214:$H$244)</f>
        <v>#DIV/0!</v>
      </c>
    </row>
    <row r="224" customFormat="false" ht="13.8" hidden="false" customHeight="false" outlineLevel="0" collapsed="false">
      <c r="A224" s="32" t="n">
        <v>46245</v>
      </c>
      <c r="B224" s="33"/>
      <c r="C224" s="33" t="n">
        <f aca="false">B224-B223</f>
        <v>0</v>
      </c>
      <c r="D224" s="33"/>
      <c r="E224" s="33" t="n">
        <f aca="false">D224-D223</f>
        <v>0</v>
      </c>
      <c r="F224" s="33"/>
      <c r="G224" s="33" t="n">
        <f aca="false">F224-F223</f>
        <v>0</v>
      </c>
      <c r="H224" s="33"/>
      <c r="I224" s="33" t="n">
        <f aca="false">H224-H223</f>
        <v>0</v>
      </c>
      <c r="J224" s="1" t="s">
        <v>22</v>
      </c>
      <c r="K224" s="1" t="e">
        <f aca="false">SKEW($B$214:$B$244)</f>
        <v>#DIV/0!</v>
      </c>
      <c r="L224" s="1" t="e">
        <f aca="false">SKEW($D$214:$D$244)</f>
        <v>#DIV/0!</v>
      </c>
      <c r="M224" s="1" t="e">
        <f aca="false">SKEW($F$214:$F$244)</f>
        <v>#DIV/0!</v>
      </c>
      <c r="N224" s="1" t="e">
        <f aca="false">SKEW($H$214:$H$244)</f>
        <v>#DIV/0!</v>
      </c>
    </row>
    <row r="225" customFormat="false" ht="13.8" hidden="false" customHeight="false" outlineLevel="0" collapsed="false">
      <c r="A225" s="32" t="n">
        <v>46246</v>
      </c>
      <c r="B225" s="33"/>
      <c r="C225" s="33" t="n">
        <f aca="false">B225-B224</f>
        <v>0</v>
      </c>
      <c r="D225" s="33"/>
      <c r="E225" s="33" t="n">
        <f aca="false">D225-D224</f>
        <v>0</v>
      </c>
      <c r="F225" s="33"/>
      <c r="G225" s="33" t="n">
        <f aca="false">F225-F224</f>
        <v>0</v>
      </c>
      <c r="H225" s="33"/>
      <c r="I225" s="33" t="n">
        <f aca="false">H225-H224</f>
        <v>0</v>
      </c>
      <c r="J225" s="1" t="s">
        <v>24</v>
      </c>
      <c r="K225" s="1" t="n">
        <f aca="false">MAX($B$214:$B$244)-MIN($B$214:$B$244)</f>
        <v>0</v>
      </c>
      <c r="L225" s="1" t="n">
        <f aca="false">MAX($D$214:$D$244)-MIN($D$214:$D$244)</f>
        <v>0</v>
      </c>
      <c r="M225" s="1" t="n">
        <f aca="false">MAX($F$214:$F$244)-MIN($F$214:$F$244)</f>
        <v>0</v>
      </c>
      <c r="N225" s="1" t="n">
        <f aca="false">MAX($H$214:$H$244)-MIN($H$214:$H$244)</f>
        <v>0</v>
      </c>
    </row>
    <row r="226" customFormat="false" ht="13.8" hidden="false" customHeight="false" outlineLevel="0" collapsed="false">
      <c r="A226" s="32" t="n">
        <v>46247</v>
      </c>
      <c r="B226" s="33"/>
      <c r="C226" s="33" t="n">
        <f aca="false">B226-B225</f>
        <v>0</v>
      </c>
      <c r="D226" s="33"/>
      <c r="E226" s="33" t="n">
        <f aca="false">D226-D225</f>
        <v>0</v>
      </c>
      <c r="F226" s="33"/>
      <c r="G226" s="33" t="n">
        <f aca="false">F226-F225</f>
        <v>0</v>
      </c>
      <c r="H226" s="33"/>
      <c r="I226" s="33" t="n">
        <f aca="false">H226-H225</f>
        <v>0</v>
      </c>
      <c r="J226" s="1" t="s">
        <v>26</v>
      </c>
      <c r="K226" s="1" t="n">
        <f aca="false">MIN($B$214:$B$244)</f>
        <v>0</v>
      </c>
      <c r="L226" s="1" t="n">
        <f aca="false">MIN($D$214:$D$244)</f>
        <v>0</v>
      </c>
      <c r="M226" s="1" t="n">
        <f aca="false">MIN($F$214:$F$244)</f>
        <v>0</v>
      </c>
      <c r="N226" s="1" t="n">
        <f aca="false">MIN($H$214:$H$244)</f>
        <v>0</v>
      </c>
    </row>
    <row r="227" customFormat="false" ht="13.8" hidden="false" customHeight="false" outlineLevel="0" collapsed="false">
      <c r="A227" s="32" t="n">
        <v>46248</v>
      </c>
      <c r="B227" s="33"/>
      <c r="C227" s="33" t="n">
        <f aca="false">B227-B226</f>
        <v>0</v>
      </c>
      <c r="D227" s="33"/>
      <c r="E227" s="33" t="n">
        <f aca="false">D227-D226</f>
        <v>0</v>
      </c>
      <c r="F227" s="33"/>
      <c r="G227" s="33" t="n">
        <f aca="false">F227-F226</f>
        <v>0</v>
      </c>
      <c r="H227" s="33"/>
      <c r="I227" s="33" t="n">
        <f aca="false">H227-H226</f>
        <v>0</v>
      </c>
      <c r="J227" s="1" t="s">
        <v>28</v>
      </c>
      <c r="K227" s="1" t="n">
        <f aca="false">MAX($B$214:$B$244)</f>
        <v>0</v>
      </c>
      <c r="L227" s="1" t="n">
        <f aca="false">MAX($D$214:$D$244)</f>
        <v>0</v>
      </c>
      <c r="M227" s="1" t="n">
        <f aca="false">MAX($F$214:$F$244)</f>
        <v>0</v>
      </c>
      <c r="N227" s="1" t="n">
        <f aca="false">MAX($H$214:$H$244)</f>
        <v>0</v>
      </c>
    </row>
    <row r="228" customFormat="false" ht="13.8" hidden="false" customHeight="false" outlineLevel="0" collapsed="false">
      <c r="A228" s="32" t="n">
        <v>46249</v>
      </c>
      <c r="B228" s="33"/>
      <c r="C228" s="33" t="n">
        <f aca="false">B228-B227</f>
        <v>0</v>
      </c>
      <c r="D228" s="33"/>
      <c r="E228" s="33" t="n">
        <f aca="false">D228-D227</f>
        <v>0</v>
      </c>
      <c r="F228" s="33"/>
      <c r="G228" s="33" t="n">
        <f aca="false">F228-F227</f>
        <v>0</v>
      </c>
      <c r="H228" s="33"/>
      <c r="I228" s="33" t="n">
        <f aca="false">H228-H227</f>
        <v>0</v>
      </c>
      <c r="J228" s="1" t="s">
        <v>30</v>
      </c>
      <c r="K228" s="1" t="n">
        <f aca="false">SUM($B$214:$B$244)</f>
        <v>0</v>
      </c>
      <c r="L228" s="1" t="n">
        <f aca="false">SUM($D$214:$D$244)</f>
        <v>0</v>
      </c>
      <c r="M228" s="1" t="n">
        <f aca="false">SUM($F$214:$F$244)</f>
        <v>0</v>
      </c>
      <c r="N228" s="1" t="n">
        <f aca="false">SUM($H$214:$H$244)</f>
        <v>0</v>
      </c>
    </row>
    <row r="229" customFormat="false" ht="13.8" hidden="false" customHeight="false" outlineLevel="0" collapsed="false">
      <c r="A229" s="32" t="n">
        <v>46250</v>
      </c>
      <c r="B229" s="33"/>
      <c r="C229" s="33" t="n">
        <f aca="false">B229-B228</f>
        <v>0</v>
      </c>
      <c r="D229" s="33"/>
      <c r="E229" s="33" t="n">
        <f aca="false">D229-D228</f>
        <v>0</v>
      </c>
      <c r="F229" s="33"/>
      <c r="G229" s="33" t="n">
        <f aca="false">F229-F228</f>
        <v>0</v>
      </c>
      <c r="H229" s="33"/>
      <c r="I229" s="33" t="n">
        <f aca="false">H229-H228</f>
        <v>0</v>
      </c>
      <c r="J229" s="1" t="s">
        <v>32</v>
      </c>
      <c r="K229" s="1" t="n">
        <f aca="false">COUNT($B$214:$B$244)</f>
        <v>0</v>
      </c>
      <c r="L229" s="1" t="n">
        <f aca="false">COUNT($D$214:$D$244)</f>
        <v>0</v>
      </c>
      <c r="M229" s="1" t="n">
        <f aca="false">COUNT($F$214:$F$244)</f>
        <v>0</v>
      </c>
      <c r="N229" s="1" t="n">
        <f aca="false">COUNT($H$214:$H$244)</f>
        <v>0</v>
      </c>
    </row>
    <row r="230" customFormat="false" ht="13.8" hidden="false" customHeight="false" outlineLevel="0" collapsed="false">
      <c r="A230" s="32" t="n">
        <v>46251</v>
      </c>
      <c r="B230" s="33"/>
      <c r="C230" s="33" t="n">
        <f aca="false">B230-B229</f>
        <v>0</v>
      </c>
      <c r="D230" s="33"/>
      <c r="E230" s="33" t="n">
        <f aca="false">D230-D229</f>
        <v>0</v>
      </c>
      <c r="F230" s="33"/>
      <c r="G230" s="33" t="n">
        <f aca="false">F230-F229</f>
        <v>0</v>
      </c>
      <c r="H230" s="33"/>
      <c r="I230" s="33" t="n">
        <f aca="false">H230-H229</f>
        <v>0</v>
      </c>
    </row>
    <row r="231" customFormat="false" ht="13.8" hidden="false" customHeight="false" outlineLevel="0" collapsed="false">
      <c r="A231" s="32" t="n">
        <v>46252</v>
      </c>
      <c r="B231" s="33"/>
      <c r="C231" s="33" t="n">
        <f aca="false">B231-B230</f>
        <v>0</v>
      </c>
      <c r="D231" s="33"/>
      <c r="E231" s="33" t="n">
        <f aca="false">D231-D230</f>
        <v>0</v>
      </c>
      <c r="F231" s="33"/>
      <c r="G231" s="33" t="n">
        <f aca="false">F231-F230</f>
        <v>0</v>
      </c>
      <c r="H231" s="33"/>
      <c r="I231" s="33" t="n">
        <f aca="false">H231-H230</f>
        <v>0</v>
      </c>
    </row>
    <row r="232" customFormat="false" ht="13.8" hidden="false" customHeight="false" outlineLevel="0" collapsed="false">
      <c r="A232" s="32" t="n">
        <v>46253</v>
      </c>
      <c r="B232" s="33"/>
      <c r="C232" s="33" t="n">
        <f aca="false">B232-B231</f>
        <v>0</v>
      </c>
      <c r="D232" s="33"/>
      <c r="E232" s="33" t="n">
        <f aca="false">D232-D231</f>
        <v>0</v>
      </c>
      <c r="F232" s="33"/>
      <c r="G232" s="33" t="n">
        <f aca="false">F232-F231</f>
        <v>0</v>
      </c>
      <c r="H232" s="33"/>
      <c r="I232" s="33" t="n">
        <f aca="false">H232-H231</f>
        <v>0</v>
      </c>
    </row>
    <row r="233" customFormat="false" ht="13.8" hidden="false" customHeight="false" outlineLevel="0" collapsed="false">
      <c r="A233" s="32" t="n">
        <v>46254</v>
      </c>
      <c r="B233" s="33"/>
      <c r="C233" s="33" t="n">
        <f aca="false">B233-B232</f>
        <v>0</v>
      </c>
      <c r="D233" s="33"/>
      <c r="E233" s="33" t="n">
        <f aca="false">D233-D232</f>
        <v>0</v>
      </c>
      <c r="F233" s="33"/>
      <c r="G233" s="33" t="n">
        <f aca="false">F233-F232</f>
        <v>0</v>
      </c>
      <c r="H233" s="33"/>
      <c r="I233" s="33" t="n">
        <f aca="false">H233-H232</f>
        <v>0</v>
      </c>
    </row>
    <row r="234" customFormat="false" ht="13.8" hidden="false" customHeight="false" outlineLevel="0" collapsed="false">
      <c r="A234" s="32" t="n">
        <v>46255</v>
      </c>
      <c r="B234" s="33"/>
      <c r="C234" s="33" t="n">
        <f aca="false">B234-B233</f>
        <v>0</v>
      </c>
      <c r="D234" s="33"/>
      <c r="E234" s="33" t="n">
        <f aca="false">D234-D233</f>
        <v>0</v>
      </c>
      <c r="F234" s="33"/>
      <c r="G234" s="33" t="n">
        <f aca="false">F234-F233</f>
        <v>0</v>
      </c>
      <c r="H234" s="33"/>
      <c r="I234" s="33" t="n">
        <f aca="false">H234-H233</f>
        <v>0</v>
      </c>
    </row>
    <row r="235" customFormat="false" ht="13.8" hidden="false" customHeight="false" outlineLevel="0" collapsed="false">
      <c r="A235" s="32" t="n">
        <v>46256</v>
      </c>
      <c r="B235" s="33"/>
      <c r="C235" s="33" t="n">
        <f aca="false">B235-B234</f>
        <v>0</v>
      </c>
      <c r="D235" s="33"/>
      <c r="E235" s="33" t="n">
        <f aca="false">D235-D234</f>
        <v>0</v>
      </c>
      <c r="F235" s="33"/>
      <c r="G235" s="33" t="n">
        <f aca="false">F235-F234</f>
        <v>0</v>
      </c>
      <c r="H235" s="33"/>
      <c r="I235" s="33" t="n">
        <f aca="false">H235-H234</f>
        <v>0</v>
      </c>
    </row>
    <row r="236" customFormat="false" ht="13.8" hidden="false" customHeight="false" outlineLevel="0" collapsed="false">
      <c r="A236" s="32" t="n">
        <v>46257</v>
      </c>
      <c r="B236" s="33"/>
      <c r="C236" s="33" t="n">
        <f aca="false">B236-B235</f>
        <v>0</v>
      </c>
      <c r="D236" s="33"/>
      <c r="E236" s="33" t="n">
        <f aca="false">D236-D235</f>
        <v>0</v>
      </c>
      <c r="F236" s="33"/>
      <c r="G236" s="33" t="n">
        <f aca="false">F236-F235</f>
        <v>0</v>
      </c>
      <c r="H236" s="33"/>
      <c r="I236" s="33" t="n">
        <f aca="false">H236-H235</f>
        <v>0</v>
      </c>
    </row>
    <row r="237" customFormat="false" ht="13.8" hidden="false" customHeight="false" outlineLevel="0" collapsed="false">
      <c r="A237" s="32" t="n">
        <v>46258</v>
      </c>
      <c r="B237" s="33"/>
      <c r="C237" s="33" t="n">
        <f aca="false">B237-B236</f>
        <v>0</v>
      </c>
      <c r="D237" s="33"/>
      <c r="E237" s="33" t="n">
        <f aca="false">D237-D236</f>
        <v>0</v>
      </c>
      <c r="F237" s="33"/>
      <c r="G237" s="33" t="n">
        <f aca="false">F237-F236</f>
        <v>0</v>
      </c>
      <c r="H237" s="33"/>
      <c r="I237" s="33" t="n">
        <f aca="false">H237-H236</f>
        <v>0</v>
      </c>
    </row>
    <row r="238" customFormat="false" ht="13.8" hidden="false" customHeight="false" outlineLevel="0" collapsed="false">
      <c r="A238" s="32" t="n">
        <v>46259</v>
      </c>
      <c r="B238" s="33"/>
      <c r="C238" s="33" t="n">
        <f aca="false">B238-B237</f>
        <v>0</v>
      </c>
      <c r="D238" s="33"/>
      <c r="E238" s="33" t="n">
        <f aca="false">D238-D237</f>
        <v>0</v>
      </c>
      <c r="F238" s="33"/>
      <c r="G238" s="33" t="n">
        <f aca="false">F238-F237</f>
        <v>0</v>
      </c>
      <c r="H238" s="33"/>
      <c r="I238" s="33" t="n">
        <f aca="false">H238-H237</f>
        <v>0</v>
      </c>
    </row>
    <row r="239" customFormat="false" ht="13.8" hidden="false" customHeight="false" outlineLevel="0" collapsed="false">
      <c r="A239" s="32" t="n">
        <v>46260</v>
      </c>
      <c r="B239" s="33"/>
      <c r="C239" s="33" t="n">
        <f aca="false">B239-B238</f>
        <v>0</v>
      </c>
      <c r="D239" s="33"/>
      <c r="E239" s="33" t="n">
        <f aca="false">D239-D238</f>
        <v>0</v>
      </c>
      <c r="F239" s="33"/>
      <c r="G239" s="33" t="n">
        <f aca="false">F239-F238</f>
        <v>0</v>
      </c>
      <c r="H239" s="33"/>
      <c r="I239" s="33" t="n">
        <f aca="false">H239-H238</f>
        <v>0</v>
      </c>
    </row>
    <row r="240" customFormat="false" ht="13.8" hidden="false" customHeight="false" outlineLevel="0" collapsed="false">
      <c r="A240" s="32" t="n">
        <v>46261</v>
      </c>
      <c r="B240" s="33"/>
      <c r="C240" s="33" t="n">
        <f aca="false">B240-B239</f>
        <v>0</v>
      </c>
      <c r="D240" s="33"/>
      <c r="E240" s="33" t="n">
        <f aca="false">D240-D239</f>
        <v>0</v>
      </c>
      <c r="F240" s="33"/>
      <c r="G240" s="33" t="n">
        <f aca="false">F240-F239</f>
        <v>0</v>
      </c>
      <c r="H240" s="33"/>
      <c r="I240" s="33" t="n">
        <f aca="false">H240-H239</f>
        <v>0</v>
      </c>
    </row>
    <row r="241" customFormat="false" ht="13.8" hidden="false" customHeight="false" outlineLevel="0" collapsed="false">
      <c r="A241" s="32" t="n">
        <v>46262</v>
      </c>
      <c r="B241" s="33"/>
      <c r="C241" s="33" t="n">
        <f aca="false">B241-B240</f>
        <v>0</v>
      </c>
      <c r="D241" s="33"/>
      <c r="E241" s="33" t="n">
        <f aca="false">D241-D240</f>
        <v>0</v>
      </c>
      <c r="F241" s="33"/>
      <c r="G241" s="33" t="n">
        <f aca="false">F241-F240</f>
        <v>0</v>
      </c>
      <c r="H241" s="33"/>
      <c r="I241" s="33" t="n">
        <f aca="false">H241-H240</f>
        <v>0</v>
      </c>
    </row>
    <row r="242" customFormat="false" ht="13.8" hidden="false" customHeight="false" outlineLevel="0" collapsed="false">
      <c r="A242" s="32" t="n">
        <v>46263</v>
      </c>
      <c r="B242" s="33"/>
      <c r="C242" s="33" t="n">
        <f aca="false">B242-B241</f>
        <v>0</v>
      </c>
      <c r="D242" s="33"/>
      <c r="E242" s="33" t="n">
        <f aca="false">D242-D241</f>
        <v>0</v>
      </c>
      <c r="F242" s="33"/>
      <c r="G242" s="33" t="n">
        <f aca="false">F242-F241</f>
        <v>0</v>
      </c>
      <c r="H242" s="33"/>
      <c r="I242" s="33" t="n">
        <f aca="false">H242-H241</f>
        <v>0</v>
      </c>
    </row>
    <row r="243" customFormat="false" ht="13.8" hidden="false" customHeight="false" outlineLevel="0" collapsed="false">
      <c r="A243" s="32" t="n">
        <v>46264</v>
      </c>
      <c r="B243" s="33"/>
      <c r="C243" s="33" t="n">
        <f aca="false">B243-B242</f>
        <v>0</v>
      </c>
      <c r="D243" s="33"/>
      <c r="E243" s="33" t="n">
        <f aca="false">D243-D242</f>
        <v>0</v>
      </c>
      <c r="F243" s="33"/>
      <c r="G243" s="33" t="n">
        <f aca="false">F243-F242</f>
        <v>0</v>
      </c>
      <c r="H243" s="33"/>
      <c r="I243" s="33" t="n">
        <f aca="false">H243-H242</f>
        <v>0</v>
      </c>
    </row>
    <row r="244" customFormat="false" ht="13.8" hidden="false" customHeight="false" outlineLevel="0" collapsed="false">
      <c r="A244" s="32" t="n">
        <v>46265</v>
      </c>
      <c r="B244" s="33"/>
      <c r="C244" s="33" t="n">
        <f aca="false">B244-B243</f>
        <v>0</v>
      </c>
      <c r="D244" s="33"/>
      <c r="E244" s="33" t="n">
        <f aca="false">D244-D243</f>
        <v>0</v>
      </c>
      <c r="F244" s="33"/>
      <c r="G244" s="33" t="n">
        <f aca="false">F244-F243</f>
        <v>0</v>
      </c>
      <c r="H244" s="33"/>
      <c r="I244" s="33" t="n">
        <f aca="false">H244-H243</f>
        <v>0</v>
      </c>
    </row>
    <row r="245" customFormat="false" ht="13.8" hidden="false" customHeight="false" outlineLevel="0" collapsed="false">
      <c r="A245" s="32" t="n">
        <v>46266</v>
      </c>
      <c r="B245" s="33"/>
      <c r="C245" s="33" t="n">
        <f aca="false">B245-B244</f>
        <v>0</v>
      </c>
      <c r="D245" s="33"/>
      <c r="E245" s="33" t="n">
        <f aca="false">D245-D244</f>
        <v>0</v>
      </c>
      <c r="F245" s="33"/>
      <c r="G245" s="33" t="n">
        <f aca="false">F245-F244</f>
        <v>0</v>
      </c>
      <c r="H245" s="33"/>
      <c r="I245" s="33" t="n">
        <f aca="false">H245-H244</f>
        <v>0</v>
      </c>
      <c r="K245" s="34" t="s">
        <v>2</v>
      </c>
      <c r="L245" s="34" t="s">
        <v>179</v>
      </c>
      <c r="M245" s="34" t="s">
        <v>175</v>
      </c>
      <c r="N245" s="34" t="s">
        <v>177</v>
      </c>
    </row>
    <row r="246" customFormat="false" ht="13.8" hidden="false" customHeight="false" outlineLevel="0" collapsed="false">
      <c r="A246" s="32" t="n">
        <v>46267</v>
      </c>
      <c r="B246" s="33"/>
      <c r="C246" s="33" t="n">
        <f aca="false">B246-B245</f>
        <v>0</v>
      </c>
      <c r="D246" s="33"/>
      <c r="E246" s="33" t="n">
        <f aca="false">D246-D245</f>
        <v>0</v>
      </c>
      <c r="F246" s="33"/>
      <c r="G246" s="33" t="n">
        <f aca="false">F246-F245</f>
        <v>0</v>
      </c>
      <c r="H246" s="33"/>
      <c r="I246" s="33" t="n">
        <f aca="false">H246-H245</f>
        <v>0</v>
      </c>
      <c r="J246" s="1" t="s">
        <v>8</v>
      </c>
      <c r="K246" s="1" t="e">
        <f aca="false">AVERAGE($B$245:$B$274)</f>
        <v>#DIV/0!</v>
      </c>
      <c r="L246" s="1" t="e">
        <f aca="false">AVERAGE($D$245:$D$274)</f>
        <v>#DIV/0!</v>
      </c>
      <c r="M246" s="1" t="e">
        <f aca="false">AVERAGE($F$245:$F$274)</f>
        <v>#DIV/0!</v>
      </c>
      <c r="N246" s="1" t="e">
        <f aca="false">AVERAGE($H$245:$H$274)</f>
        <v>#DIV/0!</v>
      </c>
    </row>
    <row r="247" customFormat="false" ht="13.8" hidden="false" customHeight="false" outlineLevel="0" collapsed="false">
      <c r="A247" s="32" t="n">
        <v>46268</v>
      </c>
      <c r="B247" s="33"/>
      <c r="C247" s="33" t="n">
        <f aca="false">B247-B246</f>
        <v>0</v>
      </c>
      <c r="D247" s="33"/>
      <c r="E247" s="33" t="n">
        <f aca="false">D247-D246</f>
        <v>0</v>
      </c>
      <c r="F247" s="33"/>
      <c r="G247" s="33" t="n">
        <f aca="false">F247-F246</f>
        <v>0</v>
      </c>
      <c r="H247" s="33"/>
      <c r="I247" s="33" t="n">
        <f aca="false">H247-H246</f>
        <v>0</v>
      </c>
      <c r="J247" s="1" t="s">
        <v>10</v>
      </c>
      <c r="K247" s="1" t="e">
        <f aca="false">SQRT(VAR($B$245:$B$274)/COUNT($B$245:$B$274))</f>
        <v>#DIV/0!</v>
      </c>
      <c r="L247" s="1" t="e">
        <f aca="false">SQRT(VAR($D$245:$D$274)/COUNT($D$245:$D$274))</f>
        <v>#DIV/0!</v>
      </c>
      <c r="M247" s="1" t="e">
        <f aca="false">SQRT(VAR($F$245:$F$274)/COUNT($F$245:$F$274))</f>
        <v>#DIV/0!</v>
      </c>
      <c r="N247" s="1" t="e">
        <f aca="false">SQRT(VAR($H$245:$H$274)/COUNT($H$245:$H$274))</f>
        <v>#DIV/0!</v>
      </c>
    </row>
    <row r="248" customFormat="false" ht="13.8" hidden="false" customHeight="false" outlineLevel="0" collapsed="false">
      <c r="A248" s="32" t="n">
        <v>46269</v>
      </c>
      <c r="B248" s="33"/>
      <c r="C248" s="33" t="n">
        <f aca="false">B248-B247</f>
        <v>0</v>
      </c>
      <c r="D248" s="33"/>
      <c r="E248" s="33" t="n">
        <f aca="false">D248-D247</f>
        <v>0</v>
      </c>
      <c r="F248" s="33"/>
      <c r="G248" s="33" t="n">
        <f aca="false">F248-F247</f>
        <v>0</v>
      </c>
      <c r="H248" s="33"/>
      <c r="I248" s="33" t="n">
        <f aca="false">H248-H247</f>
        <v>0</v>
      </c>
      <c r="J248" s="1" t="s">
        <v>14</v>
      </c>
      <c r="K248" s="1" t="e">
        <f aca="false">MODE($B$245:$B$274)</f>
        <v>#VALUE!</v>
      </c>
      <c r="L248" s="1" t="e">
        <f aca="false">MODE($D$245:$D$274)</f>
        <v>#VALUE!</v>
      </c>
      <c r="M248" s="1" t="e">
        <f aca="false">MODE($F$245:$F$274)</f>
        <v>#VALUE!</v>
      </c>
      <c r="N248" s="1" t="e">
        <f aca="false">MODE($H$245:$H$274)</f>
        <v>#VALUE!</v>
      </c>
    </row>
    <row r="249" customFormat="false" ht="13.8" hidden="false" customHeight="false" outlineLevel="0" collapsed="false">
      <c r="A249" s="32" t="n">
        <v>46270</v>
      </c>
      <c r="B249" s="33"/>
      <c r="C249" s="33" t="n">
        <f aca="false">B249-B248</f>
        <v>0</v>
      </c>
      <c r="D249" s="33"/>
      <c r="E249" s="33" t="n">
        <f aca="false">D249-D248</f>
        <v>0</v>
      </c>
      <c r="F249" s="33"/>
      <c r="G249" s="33" t="n">
        <f aca="false">F249-F248</f>
        <v>0</v>
      </c>
      <c r="H249" s="33"/>
      <c r="I249" s="33" t="n">
        <f aca="false">H249-H248</f>
        <v>0</v>
      </c>
      <c r="J249" s="1" t="s">
        <v>12</v>
      </c>
      <c r="K249" s="1" t="e">
        <f aca="false">MEDIAN($B$245:$B$274)</f>
        <v>#VALUE!</v>
      </c>
      <c r="L249" s="1" t="e">
        <f aca="false">MEDIAN($D$245:$D$274)</f>
        <v>#VALUE!</v>
      </c>
      <c r="M249" s="1" t="e">
        <f aca="false">MEDIAN($F$245:$F$274)</f>
        <v>#VALUE!</v>
      </c>
      <c r="N249" s="1" t="e">
        <f aca="false">MEDIAN($H$245:$H$274)</f>
        <v>#VALUE!</v>
      </c>
    </row>
    <row r="250" customFormat="false" ht="13.8" hidden="false" customHeight="false" outlineLevel="0" collapsed="false">
      <c r="A250" s="32" t="n">
        <v>46271</v>
      </c>
      <c r="B250" s="33"/>
      <c r="C250" s="33" t="n">
        <f aca="false">B250-B249</f>
        <v>0</v>
      </c>
      <c r="D250" s="33"/>
      <c r="E250" s="33" t="n">
        <f aca="false">D250-D249</f>
        <v>0</v>
      </c>
      <c r="F250" s="33"/>
      <c r="G250" s="33" t="n">
        <f aca="false">F250-F249</f>
        <v>0</v>
      </c>
      <c r="H250" s="33"/>
      <c r="I250" s="33" t="n">
        <f aca="false">H250-H249</f>
        <v>0</v>
      </c>
      <c r="J250" s="1" t="s">
        <v>195</v>
      </c>
      <c r="K250" s="1" t="e">
        <f aca="false">QUARTILE($B$245:$B$274, 1)</f>
        <v>#VALUE!</v>
      </c>
      <c r="L250" s="1" t="e">
        <f aca="false">QUARTILE($D$245:$D$274, 1)</f>
        <v>#VALUE!</v>
      </c>
      <c r="M250" s="1" t="e">
        <f aca="false">QUARTILE($F$245:$F$274, 1)</f>
        <v>#VALUE!</v>
      </c>
      <c r="N250" s="1" t="e">
        <f aca="false">QUARTILE($H$245:$H$274, 1)</f>
        <v>#VALUE!</v>
      </c>
    </row>
    <row r="251" customFormat="false" ht="13.8" hidden="false" customHeight="false" outlineLevel="0" collapsed="false">
      <c r="A251" s="32" t="n">
        <v>46272</v>
      </c>
      <c r="B251" s="33"/>
      <c r="C251" s="33" t="n">
        <f aca="false">B251-B250</f>
        <v>0</v>
      </c>
      <c r="D251" s="33"/>
      <c r="E251" s="33" t="n">
        <f aca="false">D251-D250</f>
        <v>0</v>
      </c>
      <c r="F251" s="33"/>
      <c r="G251" s="33" t="n">
        <f aca="false">F251-F250</f>
        <v>0</v>
      </c>
      <c r="H251" s="33"/>
      <c r="I251" s="33" t="n">
        <f aca="false">H251-H250</f>
        <v>0</v>
      </c>
      <c r="J251" s="1" t="s">
        <v>181</v>
      </c>
      <c r="K251" s="1" t="e">
        <f aca="false">QUARTILE($B$245:$B$274, 3)</f>
        <v>#VALUE!</v>
      </c>
      <c r="L251" s="1" t="e">
        <f aca="false">QUARTILE($D$245:$D$274, 3)</f>
        <v>#VALUE!</v>
      </c>
      <c r="M251" s="1" t="e">
        <f aca="false">QUARTILE($F$245:$F$274, 3)</f>
        <v>#VALUE!</v>
      </c>
      <c r="N251" s="1" t="e">
        <f aca="false">QUARTILE($H$245:$H$274, 3)</f>
        <v>#VALUE!</v>
      </c>
    </row>
    <row r="252" customFormat="false" ht="13.8" hidden="false" customHeight="false" outlineLevel="0" collapsed="false">
      <c r="A252" s="32" t="n">
        <v>46273</v>
      </c>
      <c r="B252" s="33"/>
      <c r="C252" s="33" t="n">
        <f aca="false">B252-B251</f>
        <v>0</v>
      </c>
      <c r="D252" s="33"/>
      <c r="E252" s="33" t="n">
        <f aca="false">D252-D251</f>
        <v>0</v>
      </c>
      <c r="F252" s="33"/>
      <c r="G252" s="33" t="n">
        <f aca="false">F252-F251</f>
        <v>0</v>
      </c>
      <c r="H252" s="33"/>
      <c r="I252" s="33" t="n">
        <f aca="false">H252-H251</f>
        <v>0</v>
      </c>
      <c r="J252" s="1" t="s">
        <v>182</v>
      </c>
      <c r="K252" s="1" t="e">
        <f aca="false">VAR($B$245:$B$274)</f>
        <v>#DIV/0!</v>
      </c>
      <c r="L252" s="1" t="e">
        <f aca="false">VAR($D$245:$D$274)</f>
        <v>#DIV/0!</v>
      </c>
      <c r="M252" s="1" t="e">
        <f aca="false">VAR($F$245:$F$274)</f>
        <v>#DIV/0!</v>
      </c>
      <c r="N252" s="1" t="e">
        <f aca="false">VAR($H$245:$H$274)</f>
        <v>#DIV/0!</v>
      </c>
    </row>
    <row r="253" customFormat="false" ht="13.8" hidden="false" customHeight="false" outlineLevel="0" collapsed="false">
      <c r="A253" s="32" t="n">
        <v>46274</v>
      </c>
      <c r="B253" s="33"/>
      <c r="C253" s="33" t="n">
        <f aca="false">B253-B252</f>
        <v>0</v>
      </c>
      <c r="D253" s="33"/>
      <c r="E253" s="33" t="n">
        <f aca="false">D253-D252</f>
        <v>0</v>
      </c>
      <c r="F253" s="33"/>
      <c r="G253" s="33" t="n">
        <f aca="false">F253-F252</f>
        <v>0</v>
      </c>
      <c r="H253" s="33"/>
      <c r="I253" s="33" t="n">
        <f aca="false">H253-H252</f>
        <v>0</v>
      </c>
      <c r="J253" s="1" t="s">
        <v>16</v>
      </c>
      <c r="K253" s="1" t="e">
        <f aca="false">STDEV($B$245:$B$274)</f>
        <v>#DIV/0!</v>
      </c>
      <c r="L253" s="1" t="e">
        <f aca="false">STDEV($D$245:$D$274)</f>
        <v>#DIV/0!</v>
      </c>
      <c r="M253" s="1" t="e">
        <f aca="false">STDEV($F$245:$F$274)</f>
        <v>#DIV/0!</v>
      </c>
      <c r="N253" s="1" t="e">
        <f aca="false">STDEV($H$245:$H$274)</f>
        <v>#DIV/0!</v>
      </c>
    </row>
    <row r="254" customFormat="false" ht="13.8" hidden="false" customHeight="false" outlineLevel="0" collapsed="false">
      <c r="A254" s="32" t="n">
        <v>46275</v>
      </c>
      <c r="B254" s="33"/>
      <c r="C254" s="33" t="n">
        <f aca="false">B254-B253</f>
        <v>0</v>
      </c>
      <c r="D254" s="33"/>
      <c r="E254" s="33" t="n">
        <f aca="false">D254-D253</f>
        <v>0</v>
      </c>
      <c r="F254" s="33"/>
      <c r="G254" s="33" t="n">
        <f aca="false">F254-F253</f>
        <v>0</v>
      </c>
      <c r="H254" s="33"/>
      <c r="I254" s="33" t="n">
        <f aca="false">H254-H253</f>
        <v>0</v>
      </c>
      <c r="J254" s="1" t="s">
        <v>20</v>
      </c>
      <c r="K254" s="1" t="e">
        <f aca="false">KURT($B$245:$B$274)</f>
        <v>#DIV/0!</v>
      </c>
      <c r="L254" s="1" t="e">
        <f aca="false">KURT($D$245:$D$274)</f>
        <v>#DIV/0!</v>
      </c>
      <c r="M254" s="1" t="e">
        <f aca="false">KURT($F$245:$F$274)</f>
        <v>#DIV/0!</v>
      </c>
      <c r="N254" s="1" t="e">
        <f aca="false">KURT($H$245:$H$274)</f>
        <v>#DIV/0!</v>
      </c>
    </row>
    <row r="255" customFormat="false" ht="13.8" hidden="false" customHeight="false" outlineLevel="0" collapsed="false">
      <c r="A255" s="32" t="n">
        <v>46276</v>
      </c>
      <c r="B255" s="33"/>
      <c r="C255" s="33" t="n">
        <f aca="false">B255-B254</f>
        <v>0</v>
      </c>
      <c r="D255" s="33"/>
      <c r="E255" s="33" t="n">
        <f aca="false">D255-D254</f>
        <v>0</v>
      </c>
      <c r="F255" s="33"/>
      <c r="G255" s="33" t="n">
        <f aca="false">F255-F254</f>
        <v>0</v>
      </c>
      <c r="H255" s="33"/>
      <c r="I255" s="33" t="n">
        <f aca="false">H255-H254</f>
        <v>0</v>
      </c>
      <c r="J255" s="1" t="s">
        <v>22</v>
      </c>
      <c r="K255" s="1" t="e">
        <f aca="false">SKEW($B$245:$B$274)</f>
        <v>#DIV/0!</v>
      </c>
      <c r="L255" s="1" t="e">
        <f aca="false">SKEW($D$245:$D$274)</f>
        <v>#DIV/0!</v>
      </c>
      <c r="M255" s="1" t="e">
        <f aca="false">SKEW($F$245:$F$274)</f>
        <v>#DIV/0!</v>
      </c>
      <c r="N255" s="1" t="e">
        <f aca="false">SKEW($H$245:$H$274)</f>
        <v>#DIV/0!</v>
      </c>
    </row>
    <row r="256" customFormat="false" ht="13.8" hidden="false" customHeight="false" outlineLevel="0" collapsed="false">
      <c r="A256" s="32" t="n">
        <v>46277</v>
      </c>
      <c r="B256" s="33"/>
      <c r="C256" s="33" t="n">
        <f aca="false">B256-B255</f>
        <v>0</v>
      </c>
      <c r="D256" s="33"/>
      <c r="E256" s="33" t="n">
        <f aca="false">D256-D255</f>
        <v>0</v>
      </c>
      <c r="F256" s="33"/>
      <c r="G256" s="33" t="n">
        <f aca="false">F256-F255</f>
        <v>0</v>
      </c>
      <c r="H256" s="33"/>
      <c r="I256" s="33" t="n">
        <f aca="false">H256-H255</f>
        <v>0</v>
      </c>
      <c r="J256" s="1" t="s">
        <v>24</v>
      </c>
      <c r="K256" s="1" t="n">
        <f aca="false">MAX($B$245:$B$274)-MIN($B$245:$B$274)</f>
        <v>0</v>
      </c>
      <c r="L256" s="1" t="n">
        <f aca="false">MAX($D$245:$D$274)-MIN($D$245:$D$274)</f>
        <v>0</v>
      </c>
      <c r="M256" s="1" t="n">
        <f aca="false">MAX($F$245:$F$274)-MIN($F$245:$F$274)</f>
        <v>0</v>
      </c>
      <c r="N256" s="1" t="n">
        <f aca="false">MAX($H$245:$H$274)-MIN($H$245:$H$274)</f>
        <v>0</v>
      </c>
    </row>
    <row r="257" customFormat="false" ht="13.8" hidden="false" customHeight="false" outlineLevel="0" collapsed="false">
      <c r="A257" s="32" t="n">
        <v>46278</v>
      </c>
      <c r="B257" s="33"/>
      <c r="C257" s="33" t="n">
        <f aca="false">B257-B256</f>
        <v>0</v>
      </c>
      <c r="D257" s="33"/>
      <c r="E257" s="33" t="n">
        <f aca="false">D257-D256</f>
        <v>0</v>
      </c>
      <c r="F257" s="33"/>
      <c r="G257" s="33" t="n">
        <f aca="false">F257-F256</f>
        <v>0</v>
      </c>
      <c r="H257" s="33"/>
      <c r="I257" s="33" t="n">
        <f aca="false">H257-H256</f>
        <v>0</v>
      </c>
      <c r="J257" s="1" t="s">
        <v>26</v>
      </c>
      <c r="K257" s="1" t="n">
        <f aca="false">MIN($B$245:$B$274)</f>
        <v>0</v>
      </c>
      <c r="L257" s="1" t="n">
        <f aca="false">MIN($D$245:$D$274)</f>
        <v>0</v>
      </c>
      <c r="M257" s="1" t="n">
        <f aca="false">MIN($F$245:$F$274)</f>
        <v>0</v>
      </c>
      <c r="N257" s="1" t="n">
        <f aca="false">MIN($H$245:$H$274)</f>
        <v>0</v>
      </c>
    </row>
    <row r="258" customFormat="false" ht="13.8" hidden="false" customHeight="false" outlineLevel="0" collapsed="false">
      <c r="A258" s="32" t="n">
        <v>46279</v>
      </c>
      <c r="B258" s="33"/>
      <c r="C258" s="33" t="n">
        <f aca="false">B258-B257</f>
        <v>0</v>
      </c>
      <c r="D258" s="33"/>
      <c r="E258" s="33" t="n">
        <f aca="false">D258-D257</f>
        <v>0</v>
      </c>
      <c r="F258" s="33"/>
      <c r="G258" s="33" t="n">
        <f aca="false">F258-F257</f>
        <v>0</v>
      </c>
      <c r="H258" s="33"/>
      <c r="I258" s="33" t="n">
        <f aca="false">H258-H257</f>
        <v>0</v>
      </c>
      <c r="J258" s="1" t="s">
        <v>28</v>
      </c>
      <c r="K258" s="1" t="n">
        <f aca="false">MAX($B$245:$B$274)</f>
        <v>0</v>
      </c>
      <c r="L258" s="1" t="n">
        <f aca="false">MAX($D$245:$D$274)</f>
        <v>0</v>
      </c>
      <c r="M258" s="1" t="n">
        <f aca="false">MAX($F$245:$F$274)</f>
        <v>0</v>
      </c>
      <c r="N258" s="1" t="n">
        <f aca="false">MAX($H$245:$H$274)</f>
        <v>0</v>
      </c>
    </row>
    <row r="259" customFormat="false" ht="13.8" hidden="false" customHeight="false" outlineLevel="0" collapsed="false">
      <c r="A259" s="32" t="n">
        <v>46280</v>
      </c>
      <c r="B259" s="33"/>
      <c r="C259" s="33" t="n">
        <f aca="false">B259-B258</f>
        <v>0</v>
      </c>
      <c r="D259" s="33"/>
      <c r="E259" s="33" t="n">
        <f aca="false">D259-D258</f>
        <v>0</v>
      </c>
      <c r="F259" s="33"/>
      <c r="G259" s="33" t="n">
        <f aca="false">F259-F258</f>
        <v>0</v>
      </c>
      <c r="H259" s="33"/>
      <c r="I259" s="33" t="n">
        <f aca="false">H259-H258</f>
        <v>0</v>
      </c>
      <c r="J259" s="1" t="s">
        <v>30</v>
      </c>
      <c r="K259" s="1" t="n">
        <f aca="false">SUM($B$245:$B$274)</f>
        <v>0</v>
      </c>
      <c r="L259" s="1" t="n">
        <f aca="false">SUM($D$245:$D$274)</f>
        <v>0</v>
      </c>
      <c r="M259" s="1" t="n">
        <f aca="false">SUM($F$245:$F$274)</f>
        <v>0</v>
      </c>
      <c r="N259" s="1" t="n">
        <f aca="false">SUM($H$245:$H$274)</f>
        <v>0</v>
      </c>
    </row>
    <row r="260" customFormat="false" ht="13.8" hidden="false" customHeight="false" outlineLevel="0" collapsed="false">
      <c r="A260" s="32" t="n">
        <v>46281</v>
      </c>
      <c r="B260" s="33"/>
      <c r="C260" s="33" t="n">
        <f aca="false">B260-B259</f>
        <v>0</v>
      </c>
      <c r="D260" s="33"/>
      <c r="E260" s="33" t="n">
        <f aca="false">D260-D259</f>
        <v>0</v>
      </c>
      <c r="F260" s="33"/>
      <c r="G260" s="33" t="n">
        <f aca="false">F260-F259</f>
        <v>0</v>
      </c>
      <c r="H260" s="33"/>
      <c r="I260" s="33" t="n">
        <f aca="false">H260-H259</f>
        <v>0</v>
      </c>
      <c r="J260" s="1" t="s">
        <v>32</v>
      </c>
      <c r="K260" s="1" t="n">
        <f aca="false">COUNT($B$245:$B$274)</f>
        <v>0</v>
      </c>
      <c r="L260" s="1" t="n">
        <f aca="false">COUNT($D$245:$D$274)</f>
        <v>0</v>
      </c>
      <c r="M260" s="1" t="n">
        <f aca="false">COUNT($F$245:$F$274)</f>
        <v>0</v>
      </c>
      <c r="N260" s="1" t="n">
        <f aca="false">COUNT($H$245:$H$274)</f>
        <v>0</v>
      </c>
    </row>
    <row r="261" customFormat="false" ht="13.8" hidden="false" customHeight="false" outlineLevel="0" collapsed="false">
      <c r="A261" s="32" t="n">
        <v>46282</v>
      </c>
      <c r="B261" s="33"/>
      <c r="C261" s="33" t="n">
        <f aca="false">B261-B260</f>
        <v>0</v>
      </c>
      <c r="D261" s="33"/>
      <c r="E261" s="33" t="n">
        <f aca="false">D261-D260</f>
        <v>0</v>
      </c>
      <c r="F261" s="33"/>
      <c r="G261" s="33" t="n">
        <f aca="false">F261-F260</f>
        <v>0</v>
      </c>
      <c r="H261" s="33"/>
      <c r="I261" s="33" t="n">
        <f aca="false">H261-H260</f>
        <v>0</v>
      </c>
    </row>
    <row r="262" customFormat="false" ht="13.8" hidden="false" customHeight="false" outlineLevel="0" collapsed="false">
      <c r="A262" s="32" t="n">
        <v>46283</v>
      </c>
      <c r="B262" s="33"/>
      <c r="C262" s="33" t="n">
        <f aca="false">B262-B261</f>
        <v>0</v>
      </c>
      <c r="D262" s="33"/>
      <c r="E262" s="33" t="n">
        <f aca="false">D262-D261</f>
        <v>0</v>
      </c>
      <c r="F262" s="33"/>
      <c r="G262" s="33" t="n">
        <f aca="false">F262-F261</f>
        <v>0</v>
      </c>
      <c r="H262" s="33"/>
      <c r="I262" s="33" t="n">
        <f aca="false">H262-H261</f>
        <v>0</v>
      </c>
    </row>
    <row r="263" customFormat="false" ht="13.8" hidden="false" customHeight="false" outlineLevel="0" collapsed="false">
      <c r="A263" s="32" t="n">
        <v>46284</v>
      </c>
      <c r="B263" s="33"/>
      <c r="C263" s="33" t="n">
        <f aca="false">B263-B262</f>
        <v>0</v>
      </c>
      <c r="D263" s="33"/>
      <c r="E263" s="33" t="n">
        <f aca="false">D263-D262</f>
        <v>0</v>
      </c>
      <c r="F263" s="33"/>
      <c r="G263" s="33" t="n">
        <f aca="false">F263-F262</f>
        <v>0</v>
      </c>
      <c r="H263" s="33"/>
      <c r="I263" s="33" t="n">
        <f aca="false">H263-H262</f>
        <v>0</v>
      </c>
    </row>
    <row r="264" customFormat="false" ht="13.8" hidden="false" customHeight="false" outlineLevel="0" collapsed="false">
      <c r="A264" s="32" t="n">
        <v>46285</v>
      </c>
      <c r="B264" s="33"/>
      <c r="C264" s="33" t="n">
        <f aca="false">B264-B263</f>
        <v>0</v>
      </c>
      <c r="D264" s="33"/>
      <c r="E264" s="33" t="n">
        <f aca="false">D264-D263</f>
        <v>0</v>
      </c>
      <c r="F264" s="33"/>
      <c r="G264" s="33" t="n">
        <f aca="false">F264-F263</f>
        <v>0</v>
      </c>
      <c r="H264" s="33"/>
      <c r="I264" s="33" t="n">
        <f aca="false">H264-H263</f>
        <v>0</v>
      </c>
    </row>
    <row r="265" customFormat="false" ht="13.8" hidden="false" customHeight="false" outlineLevel="0" collapsed="false">
      <c r="A265" s="32" t="n">
        <v>46286</v>
      </c>
      <c r="B265" s="33"/>
      <c r="C265" s="33" t="n">
        <f aca="false">B265-B264</f>
        <v>0</v>
      </c>
      <c r="D265" s="33"/>
      <c r="E265" s="33" t="n">
        <f aca="false">D265-D264</f>
        <v>0</v>
      </c>
      <c r="F265" s="33"/>
      <c r="G265" s="33" t="n">
        <f aca="false">F265-F264</f>
        <v>0</v>
      </c>
      <c r="H265" s="33"/>
      <c r="I265" s="33" t="n">
        <f aca="false">H265-H264</f>
        <v>0</v>
      </c>
    </row>
    <row r="266" customFormat="false" ht="13.8" hidden="false" customHeight="false" outlineLevel="0" collapsed="false">
      <c r="A266" s="32" t="n">
        <v>46287</v>
      </c>
      <c r="B266" s="33"/>
      <c r="C266" s="33" t="n">
        <f aca="false">B266-B265</f>
        <v>0</v>
      </c>
      <c r="D266" s="33"/>
      <c r="E266" s="33" t="n">
        <f aca="false">D266-D265</f>
        <v>0</v>
      </c>
      <c r="F266" s="33"/>
      <c r="G266" s="33" t="n">
        <f aca="false">F266-F265</f>
        <v>0</v>
      </c>
      <c r="H266" s="33"/>
      <c r="I266" s="33" t="n">
        <f aca="false">H266-H265</f>
        <v>0</v>
      </c>
    </row>
    <row r="267" customFormat="false" ht="13.8" hidden="false" customHeight="false" outlineLevel="0" collapsed="false">
      <c r="A267" s="32" t="n">
        <v>46288</v>
      </c>
      <c r="B267" s="33"/>
      <c r="C267" s="33" t="n">
        <f aca="false">B267-B266</f>
        <v>0</v>
      </c>
      <c r="D267" s="33"/>
      <c r="E267" s="33" t="n">
        <f aca="false">D267-D266</f>
        <v>0</v>
      </c>
      <c r="F267" s="33"/>
      <c r="G267" s="33" t="n">
        <f aca="false">F267-F266</f>
        <v>0</v>
      </c>
      <c r="H267" s="33"/>
      <c r="I267" s="33" t="n">
        <f aca="false">H267-H266</f>
        <v>0</v>
      </c>
    </row>
    <row r="268" customFormat="false" ht="13.8" hidden="false" customHeight="false" outlineLevel="0" collapsed="false">
      <c r="A268" s="32" t="n">
        <v>46289</v>
      </c>
      <c r="B268" s="33"/>
      <c r="C268" s="33" t="n">
        <f aca="false">B268-B267</f>
        <v>0</v>
      </c>
      <c r="D268" s="33"/>
      <c r="E268" s="33" t="n">
        <f aca="false">D268-D267</f>
        <v>0</v>
      </c>
      <c r="F268" s="33"/>
      <c r="G268" s="33" t="n">
        <f aca="false">F268-F267</f>
        <v>0</v>
      </c>
      <c r="H268" s="33"/>
      <c r="I268" s="33" t="n">
        <f aca="false">H268-H267</f>
        <v>0</v>
      </c>
    </row>
    <row r="269" customFormat="false" ht="13.8" hidden="false" customHeight="false" outlineLevel="0" collapsed="false">
      <c r="A269" s="32" t="n">
        <v>46290</v>
      </c>
      <c r="B269" s="33"/>
      <c r="C269" s="33" t="n">
        <f aca="false">B269-B268</f>
        <v>0</v>
      </c>
      <c r="D269" s="33"/>
      <c r="E269" s="33" t="n">
        <f aca="false">D269-D268</f>
        <v>0</v>
      </c>
      <c r="F269" s="33"/>
      <c r="G269" s="33" t="n">
        <f aca="false">F269-F268</f>
        <v>0</v>
      </c>
      <c r="H269" s="33"/>
      <c r="I269" s="33" t="n">
        <f aca="false">H269-H268</f>
        <v>0</v>
      </c>
    </row>
    <row r="270" customFormat="false" ht="13.8" hidden="false" customHeight="false" outlineLevel="0" collapsed="false">
      <c r="A270" s="32" t="n">
        <v>46291</v>
      </c>
      <c r="B270" s="33"/>
      <c r="C270" s="33" t="n">
        <f aca="false">B270-B269</f>
        <v>0</v>
      </c>
      <c r="D270" s="33"/>
      <c r="E270" s="33" t="n">
        <f aca="false">D270-D269</f>
        <v>0</v>
      </c>
      <c r="F270" s="33"/>
      <c r="G270" s="33" t="n">
        <f aca="false">F270-F269</f>
        <v>0</v>
      </c>
      <c r="H270" s="33"/>
      <c r="I270" s="33" t="n">
        <f aca="false">H270-H269</f>
        <v>0</v>
      </c>
    </row>
    <row r="271" customFormat="false" ht="13.8" hidden="false" customHeight="false" outlineLevel="0" collapsed="false">
      <c r="A271" s="32" t="n">
        <v>46292</v>
      </c>
      <c r="B271" s="33"/>
      <c r="C271" s="33" t="n">
        <f aca="false">B271-B270</f>
        <v>0</v>
      </c>
      <c r="D271" s="33"/>
      <c r="E271" s="33" t="n">
        <f aca="false">D271-D270</f>
        <v>0</v>
      </c>
      <c r="F271" s="33"/>
      <c r="G271" s="33" t="n">
        <f aca="false">F271-F270</f>
        <v>0</v>
      </c>
      <c r="H271" s="33"/>
      <c r="I271" s="33" t="n">
        <f aca="false">H271-H270</f>
        <v>0</v>
      </c>
    </row>
    <row r="272" customFormat="false" ht="13.8" hidden="false" customHeight="false" outlineLevel="0" collapsed="false">
      <c r="A272" s="32" t="n">
        <v>46293</v>
      </c>
      <c r="B272" s="33"/>
      <c r="C272" s="33" t="n">
        <f aca="false">B272-B271</f>
        <v>0</v>
      </c>
      <c r="D272" s="33"/>
      <c r="E272" s="33" t="n">
        <f aca="false">D272-D271</f>
        <v>0</v>
      </c>
      <c r="F272" s="33"/>
      <c r="G272" s="33" t="n">
        <f aca="false">F272-F271</f>
        <v>0</v>
      </c>
      <c r="H272" s="33"/>
      <c r="I272" s="33" t="n">
        <f aca="false">H272-H271</f>
        <v>0</v>
      </c>
    </row>
    <row r="273" customFormat="false" ht="13.8" hidden="false" customHeight="false" outlineLevel="0" collapsed="false">
      <c r="A273" s="32" t="n">
        <v>46294</v>
      </c>
      <c r="B273" s="33"/>
      <c r="C273" s="33" t="n">
        <f aca="false">B273-B272</f>
        <v>0</v>
      </c>
      <c r="D273" s="33"/>
      <c r="E273" s="33" t="n">
        <f aca="false">D273-D272</f>
        <v>0</v>
      </c>
      <c r="F273" s="33"/>
      <c r="G273" s="33" t="n">
        <f aca="false">F273-F272</f>
        <v>0</v>
      </c>
      <c r="H273" s="33"/>
      <c r="I273" s="33" t="n">
        <f aca="false">H273-H272</f>
        <v>0</v>
      </c>
    </row>
    <row r="274" customFormat="false" ht="13.8" hidden="false" customHeight="false" outlineLevel="0" collapsed="false">
      <c r="A274" s="32" t="n">
        <v>46295</v>
      </c>
      <c r="B274" s="33"/>
      <c r="C274" s="33" t="n">
        <f aca="false">B274-B273</f>
        <v>0</v>
      </c>
      <c r="D274" s="33"/>
      <c r="E274" s="33" t="n">
        <f aca="false">D274-D273</f>
        <v>0</v>
      </c>
      <c r="F274" s="33"/>
      <c r="G274" s="33" t="n">
        <f aca="false">F274-F273</f>
        <v>0</v>
      </c>
      <c r="H274" s="33"/>
      <c r="I274" s="33" t="n">
        <f aca="false">H274-H273</f>
        <v>0</v>
      </c>
    </row>
    <row r="275" customFormat="false" ht="13.8" hidden="false" customHeight="false" outlineLevel="0" collapsed="false">
      <c r="A275" s="32" t="n">
        <v>46296</v>
      </c>
      <c r="B275" s="33"/>
      <c r="C275" s="33" t="n">
        <f aca="false">B275-B274</f>
        <v>0</v>
      </c>
      <c r="D275" s="33"/>
      <c r="E275" s="33" t="n">
        <f aca="false">D275-D274</f>
        <v>0</v>
      </c>
      <c r="F275" s="33"/>
      <c r="G275" s="33" t="n">
        <f aca="false">F275-F274</f>
        <v>0</v>
      </c>
      <c r="H275" s="33"/>
      <c r="I275" s="33" t="n">
        <f aca="false">H275-H274</f>
        <v>0</v>
      </c>
      <c r="K275" s="34" t="s">
        <v>2</v>
      </c>
      <c r="L275" s="34" t="s">
        <v>179</v>
      </c>
      <c r="M275" s="34" t="s">
        <v>175</v>
      </c>
      <c r="N275" s="34" t="s">
        <v>177</v>
      </c>
    </row>
    <row r="276" customFormat="false" ht="13.8" hidden="false" customHeight="false" outlineLevel="0" collapsed="false">
      <c r="A276" s="32" t="n">
        <v>46297</v>
      </c>
      <c r="B276" s="33"/>
      <c r="C276" s="33" t="n">
        <f aca="false">B276-B275</f>
        <v>0</v>
      </c>
      <c r="D276" s="33"/>
      <c r="E276" s="33" t="n">
        <f aca="false">D276-D275</f>
        <v>0</v>
      </c>
      <c r="F276" s="33"/>
      <c r="G276" s="33" t="n">
        <f aca="false">F276-F275</f>
        <v>0</v>
      </c>
      <c r="H276" s="33"/>
      <c r="I276" s="33" t="n">
        <f aca="false">H276-H275</f>
        <v>0</v>
      </c>
      <c r="J276" s="1" t="s">
        <v>8</v>
      </c>
      <c r="K276" s="1" t="e">
        <f aca="false">AVERAGE($B$275:$B$305)</f>
        <v>#DIV/0!</v>
      </c>
      <c r="L276" s="1" t="e">
        <f aca="false">AVERAGE($D$275:$D$305)</f>
        <v>#DIV/0!</v>
      </c>
      <c r="M276" s="1" t="e">
        <f aca="false">AVERAGE($F$275:$F$305)</f>
        <v>#DIV/0!</v>
      </c>
      <c r="N276" s="1" t="e">
        <f aca="false">AVERAGE($H$275:$H$305)</f>
        <v>#DIV/0!</v>
      </c>
    </row>
    <row r="277" customFormat="false" ht="13.8" hidden="false" customHeight="false" outlineLevel="0" collapsed="false">
      <c r="A277" s="32" t="n">
        <v>46298</v>
      </c>
      <c r="B277" s="33"/>
      <c r="C277" s="33" t="n">
        <f aca="false">B277-B276</f>
        <v>0</v>
      </c>
      <c r="D277" s="33"/>
      <c r="E277" s="33" t="n">
        <f aca="false">D277-D276</f>
        <v>0</v>
      </c>
      <c r="F277" s="33"/>
      <c r="G277" s="33" t="n">
        <f aca="false">F277-F276</f>
        <v>0</v>
      </c>
      <c r="H277" s="33"/>
      <c r="I277" s="33" t="n">
        <f aca="false">H277-H276</f>
        <v>0</v>
      </c>
      <c r="J277" s="1" t="s">
        <v>10</v>
      </c>
      <c r="K277" s="1" t="e">
        <f aca="false">SQRT(VAR($B$275:$B$305)/COUNT($B$275:$B$305))</f>
        <v>#DIV/0!</v>
      </c>
      <c r="L277" s="1" t="e">
        <f aca="false">SQRT(VAR($D$275:$D$305)/COUNT($D$275:$D$305))</f>
        <v>#DIV/0!</v>
      </c>
      <c r="M277" s="1" t="e">
        <f aca="false">SQRT(VAR($F$275:$F$305)/COUNT($F$275:$F$305))</f>
        <v>#DIV/0!</v>
      </c>
      <c r="N277" s="1" t="e">
        <f aca="false">SQRT(VAR($H$275:$H$305)/COUNT($H$275:$H$305))</f>
        <v>#DIV/0!</v>
      </c>
    </row>
    <row r="278" customFormat="false" ht="13.8" hidden="false" customHeight="false" outlineLevel="0" collapsed="false">
      <c r="A278" s="32" t="n">
        <v>46299</v>
      </c>
      <c r="B278" s="33"/>
      <c r="C278" s="33" t="n">
        <f aca="false">B278-B277</f>
        <v>0</v>
      </c>
      <c r="D278" s="33"/>
      <c r="E278" s="33" t="n">
        <f aca="false">D278-D277</f>
        <v>0</v>
      </c>
      <c r="F278" s="33"/>
      <c r="G278" s="33" t="n">
        <f aca="false">F278-F277</f>
        <v>0</v>
      </c>
      <c r="H278" s="33"/>
      <c r="I278" s="33" t="n">
        <f aca="false">H278-H277</f>
        <v>0</v>
      </c>
      <c r="J278" s="1" t="s">
        <v>14</v>
      </c>
      <c r="K278" s="1" t="e">
        <f aca="false">MODE($B$275:$B$305)</f>
        <v>#VALUE!</v>
      </c>
      <c r="L278" s="1" t="e">
        <f aca="false">MODE($D$275:$D$305)</f>
        <v>#VALUE!</v>
      </c>
      <c r="M278" s="1" t="e">
        <f aca="false">MODE($F$275:$F$305)</f>
        <v>#VALUE!</v>
      </c>
      <c r="N278" s="1" t="e">
        <f aca="false">MODE($H$275:$H$305)</f>
        <v>#VALUE!</v>
      </c>
    </row>
    <row r="279" customFormat="false" ht="13.8" hidden="false" customHeight="false" outlineLevel="0" collapsed="false">
      <c r="A279" s="32" t="n">
        <v>46300</v>
      </c>
      <c r="B279" s="33"/>
      <c r="C279" s="33" t="n">
        <f aca="false">B279-B278</f>
        <v>0</v>
      </c>
      <c r="D279" s="33"/>
      <c r="E279" s="33" t="n">
        <f aca="false">D279-D278</f>
        <v>0</v>
      </c>
      <c r="F279" s="33"/>
      <c r="G279" s="33" t="n">
        <f aca="false">F279-F278</f>
        <v>0</v>
      </c>
      <c r="H279" s="33"/>
      <c r="I279" s="33" t="n">
        <f aca="false">H279-H278</f>
        <v>0</v>
      </c>
      <c r="J279" s="1" t="s">
        <v>12</v>
      </c>
      <c r="K279" s="1" t="e">
        <f aca="false">MEDIAN($B$275:$B$305)</f>
        <v>#VALUE!</v>
      </c>
      <c r="L279" s="1" t="e">
        <f aca="false">MEDIAN($D$275:$D$305)</f>
        <v>#VALUE!</v>
      </c>
      <c r="M279" s="1" t="e">
        <f aca="false">MEDIAN($F$275:$F$305)</f>
        <v>#VALUE!</v>
      </c>
      <c r="N279" s="1" t="e">
        <f aca="false">MEDIAN($H$275:$H$305)</f>
        <v>#VALUE!</v>
      </c>
    </row>
    <row r="280" customFormat="false" ht="13.8" hidden="false" customHeight="false" outlineLevel="0" collapsed="false">
      <c r="A280" s="32" t="n">
        <v>46301</v>
      </c>
      <c r="B280" s="33"/>
      <c r="C280" s="33" t="n">
        <f aca="false">B280-B279</f>
        <v>0</v>
      </c>
      <c r="D280" s="33"/>
      <c r="E280" s="33" t="n">
        <f aca="false">D280-D279</f>
        <v>0</v>
      </c>
      <c r="F280" s="33"/>
      <c r="G280" s="33" t="n">
        <f aca="false">F280-F279</f>
        <v>0</v>
      </c>
      <c r="H280" s="33"/>
      <c r="I280" s="33" t="n">
        <f aca="false">H280-H279</f>
        <v>0</v>
      </c>
      <c r="J280" s="1" t="s">
        <v>195</v>
      </c>
      <c r="K280" s="1" t="e">
        <f aca="false">QUARTILE($B$275:$B$305, 1)</f>
        <v>#VALUE!</v>
      </c>
      <c r="L280" s="1" t="e">
        <f aca="false">QUARTILE($D$275:$D$305, 1)</f>
        <v>#VALUE!</v>
      </c>
      <c r="M280" s="1" t="e">
        <f aca="false">QUARTILE($F$275:$F$305, 1)</f>
        <v>#VALUE!</v>
      </c>
      <c r="N280" s="1" t="e">
        <f aca="false">QUARTILE($H$275:$H$305, 1)</f>
        <v>#VALUE!</v>
      </c>
    </row>
    <row r="281" customFormat="false" ht="13.8" hidden="false" customHeight="false" outlineLevel="0" collapsed="false">
      <c r="A281" s="32" t="n">
        <v>46302</v>
      </c>
      <c r="B281" s="33"/>
      <c r="C281" s="33" t="n">
        <f aca="false">B281-B280</f>
        <v>0</v>
      </c>
      <c r="D281" s="33"/>
      <c r="E281" s="33" t="n">
        <f aca="false">D281-D280</f>
        <v>0</v>
      </c>
      <c r="F281" s="33"/>
      <c r="G281" s="33" t="n">
        <f aca="false">F281-F280</f>
        <v>0</v>
      </c>
      <c r="H281" s="33"/>
      <c r="I281" s="33" t="n">
        <f aca="false">H281-H280</f>
        <v>0</v>
      </c>
      <c r="J281" s="1" t="s">
        <v>181</v>
      </c>
      <c r="K281" s="1" t="e">
        <f aca="false">QUARTILE($B$275:$B$305, 3)</f>
        <v>#VALUE!</v>
      </c>
      <c r="L281" s="1" t="e">
        <f aca="false">QUARTILE($D$275:$D$305, 3)</f>
        <v>#VALUE!</v>
      </c>
      <c r="M281" s="1" t="e">
        <f aca="false">QUARTILE($F$275:$F$305, 3)</f>
        <v>#VALUE!</v>
      </c>
      <c r="N281" s="1" t="e">
        <f aca="false">QUARTILE($H$275:$H$305, 3)</f>
        <v>#VALUE!</v>
      </c>
    </row>
    <row r="282" customFormat="false" ht="13.8" hidden="false" customHeight="false" outlineLevel="0" collapsed="false">
      <c r="A282" s="32" t="n">
        <v>46303</v>
      </c>
      <c r="B282" s="33"/>
      <c r="C282" s="33" t="n">
        <f aca="false">B282-B281</f>
        <v>0</v>
      </c>
      <c r="D282" s="33"/>
      <c r="E282" s="33" t="n">
        <f aca="false">D282-D281</f>
        <v>0</v>
      </c>
      <c r="F282" s="33"/>
      <c r="G282" s="33" t="n">
        <f aca="false">F282-F281</f>
        <v>0</v>
      </c>
      <c r="H282" s="33"/>
      <c r="I282" s="33" t="n">
        <f aca="false">H282-H281</f>
        <v>0</v>
      </c>
      <c r="J282" s="1" t="s">
        <v>182</v>
      </c>
      <c r="K282" s="1" t="e">
        <f aca="false">VAR($B$275:$B$305)</f>
        <v>#DIV/0!</v>
      </c>
      <c r="L282" s="1" t="e">
        <f aca="false">VAR($D$275:$D$305)</f>
        <v>#DIV/0!</v>
      </c>
      <c r="M282" s="1" t="e">
        <f aca="false">VAR($F$275:$F$305)</f>
        <v>#DIV/0!</v>
      </c>
      <c r="N282" s="1" t="e">
        <f aca="false">VAR($H$275:$H$305)</f>
        <v>#DIV/0!</v>
      </c>
    </row>
    <row r="283" customFormat="false" ht="13.8" hidden="false" customHeight="false" outlineLevel="0" collapsed="false">
      <c r="A283" s="32" t="n">
        <v>46304</v>
      </c>
      <c r="B283" s="33"/>
      <c r="C283" s="33" t="n">
        <f aca="false">B283-B282</f>
        <v>0</v>
      </c>
      <c r="D283" s="33"/>
      <c r="E283" s="33" t="n">
        <f aca="false">D283-D282</f>
        <v>0</v>
      </c>
      <c r="F283" s="33"/>
      <c r="G283" s="33" t="n">
        <f aca="false">F283-F282</f>
        <v>0</v>
      </c>
      <c r="H283" s="33"/>
      <c r="I283" s="33" t="n">
        <f aca="false">H283-H282</f>
        <v>0</v>
      </c>
      <c r="J283" s="1" t="s">
        <v>16</v>
      </c>
      <c r="K283" s="1" t="e">
        <f aca="false">STDEV($B$275:$B$305)</f>
        <v>#DIV/0!</v>
      </c>
      <c r="L283" s="1" t="e">
        <f aca="false">STDEV($D$275:$D$305)</f>
        <v>#DIV/0!</v>
      </c>
      <c r="M283" s="1" t="e">
        <f aca="false">STDEV($F$275:$F$305)</f>
        <v>#DIV/0!</v>
      </c>
      <c r="N283" s="1" t="e">
        <f aca="false">STDEV($H$275:$H$305)</f>
        <v>#DIV/0!</v>
      </c>
    </row>
    <row r="284" customFormat="false" ht="13.8" hidden="false" customHeight="false" outlineLevel="0" collapsed="false">
      <c r="A284" s="32" t="n">
        <v>46305</v>
      </c>
      <c r="B284" s="33"/>
      <c r="C284" s="33" t="n">
        <f aca="false">B284-B283</f>
        <v>0</v>
      </c>
      <c r="D284" s="33"/>
      <c r="E284" s="33" t="n">
        <f aca="false">D284-D283</f>
        <v>0</v>
      </c>
      <c r="F284" s="33"/>
      <c r="G284" s="33" t="n">
        <f aca="false">F284-F283</f>
        <v>0</v>
      </c>
      <c r="H284" s="33"/>
      <c r="I284" s="33" t="n">
        <f aca="false">H284-H283</f>
        <v>0</v>
      </c>
      <c r="J284" s="1" t="s">
        <v>20</v>
      </c>
      <c r="K284" s="1" t="e">
        <f aca="false">KURT($B$275:$B$305)</f>
        <v>#DIV/0!</v>
      </c>
      <c r="L284" s="1" t="e">
        <f aca="false">KURT($D$275:$D$305)</f>
        <v>#DIV/0!</v>
      </c>
      <c r="M284" s="1" t="e">
        <f aca="false">KURT($F$275:$F$305)</f>
        <v>#DIV/0!</v>
      </c>
      <c r="N284" s="1" t="e">
        <f aca="false">KURT($H$275:$H$305)</f>
        <v>#DIV/0!</v>
      </c>
    </row>
    <row r="285" customFormat="false" ht="13.8" hidden="false" customHeight="false" outlineLevel="0" collapsed="false">
      <c r="A285" s="32" t="n">
        <v>46306</v>
      </c>
      <c r="B285" s="33"/>
      <c r="C285" s="33" t="n">
        <f aca="false">B285-B284</f>
        <v>0</v>
      </c>
      <c r="D285" s="33"/>
      <c r="E285" s="33" t="n">
        <f aca="false">D285-D284</f>
        <v>0</v>
      </c>
      <c r="F285" s="33"/>
      <c r="G285" s="33" t="n">
        <f aca="false">F285-F284</f>
        <v>0</v>
      </c>
      <c r="H285" s="33"/>
      <c r="I285" s="33" t="n">
        <f aca="false">H285-H284</f>
        <v>0</v>
      </c>
      <c r="J285" s="1" t="s">
        <v>22</v>
      </c>
      <c r="K285" s="1" t="e">
        <f aca="false">SKEW($B$275:$B$305)</f>
        <v>#DIV/0!</v>
      </c>
      <c r="L285" s="1" t="e">
        <f aca="false">SKEW($D$275:$D$305)</f>
        <v>#DIV/0!</v>
      </c>
      <c r="M285" s="1" t="e">
        <f aca="false">SKEW($F$275:$F$305)</f>
        <v>#DIV/0!</v>
      </c>
      <c r="N285" s="1" t="e">
        <f aca="false">SKEW($H$275:$H$305)</f>
        <v>#DIV/0!</v>
      </c>
    </row>
    <row r="286" customFormat="false" ht="13.8" hidden="false" customHeight="false" outlineLevel="0" collapsed="false">
      <c r="A286" s="32" t="n">
        <v>46307</v>
      </c>
      <c r="B286" s="33"/>
      <c r="C286" s="33" t="n">
        <f aca="false">B286-B285</f>
        <v>0</v>
      </c>
      <c r="D286" s="33"/>
      <c r="E286" s="33" t="n">
        <f aca="false">D286-D285</f>
        <v>0</v>
      </c>
      <c r="F286" s="33"/>
      <c r="G286" s="33" t="n">
        <f aca="false">F286-F285</f>
        <v>0</v>
      </c>
      <c r="H286" s="33"/>
      <c r="I286" s="33" t="n">
        <f aca="false">H286-H285</f>
        <v>0</v>
      </c>
      <c r="J286" s="1" t="s">
        <v>24</v>
      </c>
      <c r="K286" s="1" t="n">
        <f aca="false">MAX($B$275:$B$305)-MIN($B$275:$B$305)</f>
        <v>0</v>
      </c>
      <c r="L286" s="1" t="n">
        <f aca="false">MAX($D$275:$D$305)-MIN($D$275:$D$305)</f>
        <v>0</v>
      </c>
      <c r="M286" s="1" t="n">
        <f aca="false">MAX($F$275:$F$305)-MIN($F$275:$F$305)</f>
        <v>0</v>
      </c>
      <c r="N286" s="1" t="n">
        <f aca="false">MAX($H$275:$H$305)-MIN($H$275:$H$305)</f>
        <v>0</v>
      </c>
    </row>
    <row r="287" customFormat="false" ht="13.8" hidden="false" customHeight="false" outlineLevel="0" collapsed="false">
      <c r="A287" s="32" t="n">
        <v>46308</v>
      </c>
      <c r="B287" s="33"/>
      <c r="C287" s="33" t="n">
        <f aca="false">B287-B286</f>
        <v>0</v>
      </c>
      <c r="D287" s="33"/>
      <c r="E287" s="33" t="n">
        <f aca="false">D287-D286</f>
        <v>0</v>
      </c>
      <c r="F287" s="33"/>
      <c r="G287" s="33" t="n">
        <f aca="false">F287-F286</f>
        <v>0</v>
      </c>
      <c r="H287" s="33"/>
      <c r="I287" s="33" t="n">
        <f aca="false">H287-H286</f>
        <v>0</v>
      </c>
      <c r="J287" s="1" t="s">
        <v>26</v>
      </c>
      <c r="K287" s="1" t="n">
        <f aca="false">MIN($B$275:$B$305)</f>
        <v>0</v>
      </c>
      <c r="L287" s="1" t="n">
        <f aca="false">MIN($D$275:$D$305)</f>
        <v>0</v>
      </c>
      <c r="M287" s="1" t="n">
        <f aca="false">MIN($F$275:$F$305)</f>
        <v>0</v>
      </c>
      <c r="N287" s="1" t="n">
        <f aca="false">MIN($H$275:$H$305)</f>
        <v>0</v>
      </c>
    </row>
    <row r="288" customFormat="false" ht="13.8" hidden="false" customHeight="false" outlineLevel="0" collapsed="false">
      <c r="A288" s="32" t="n">
        <v>46309</v>
      </c>
      <c r="B288" s="33"/>
      <c r="C288" s="33" t="n">
        <f aca="false">B288-B287</f>
        <v>0</v>
      </c>
      <c r="D288" s="33"/>
      <c r="E288" s="33" t="n">
        <f aca="false">D288-D287</f>
        <v>0</v>
      </c>
      <c r="F288" s="33"/>
      <c r="G288" s="33" t="n">
        <f aca="false">F288-F287</f>
        <v>0</v>
      </c>
      <c r="H288" s="33"/>
      <c r="I288" s="33" t="n">
        <f aca="false">H288-H287</f>
        <v>0</v>
      </c>
      <c r="J288" s="1" t="s">
        <v>28</v>
      </c>
      <c r="K288" s="1" t="n">
        <f aca="false">MAX($B$275:$B$305)</f>
        <v>0</v>
      </c>
      <c r="L288" s="1" t="n">
        <f aca="false">MAX($D$275:$D$305)</f>
        <v>0</v>
      </c>
      <c r="M288" s="1" t="n">
        <f aca="false">MAX($F$275:$F$305)</f>
        <v>0</v>
      </c>
      <c r="N288" s="1" t="n">
        <f aca="false">MAX($H$275:$H$305)</f>
        <v>0</v>
      </c>
    </row>
    <row r="289" customFormat="false" ht="13.8" hidden="false" customHeight="false" outlineLevel="0" collapsed="false">
      <c r="A289" s="32" t="n">
        <v>46310</v>
      </c>
      <c r="B289" s="33"/>
      <c r="C289" s="33" t="n">
        <f aca="false">B289-B288</f>
        <v>0</v>
      </c>
      <c r="D289" s="33"/>
      <c r="E289" s="33" t="n">
        <f aca="false">D289-D288</f>
        <v>0</v>
      </c>
      <c r="F289" s="33"/>
      <c r="G289" s="33" t="n">
        <f aca="false">F289-F288</f>
        <v>0</v>
      </c>
      <c r="H289" s="33"/>
      <c r="I289" s="33" t="n">
        <f aca="false">H289-H288</f>
        <v>0</v>
      </c>
      <c r="J289" s="1" t="s">
        <v>30</v>
      </c>
      <c r="K289" s="1" t="n">
        <f aca="false">SUM($B$275:$B$305)</f>
        <v>0</v>
      </c>
      <c r="L289" s="1" t="n">
        <f aca="false">SUM($D$275:$D$305)</f>
        <v>0</v>
      </c>
      <c r="M289" s="1" t="n">
        <f aca="false">SUM($F$275:$F$305)</f>
        <v>0</v>
      </c>
      <c r="N289" s="1" t="n">
        <f aca="false">SUM($H$275:$H$305)</f>
        <v>0</v>
      </c>
    </row>
    <row r="290" customFormat="false" ht="13.8" hidden="false" customHeight="false" outlineLevel="0" collapsed="false">
      <c r="A290" s="32" t="n">
        <v>46311</v>
      </c>
      <c r="B290" s="33"/>
      <c r="C290" s="33" t="n">
        <f aca="false">B290-B289</f>
        <v>0</v>
      </c>
      <c r="D290" s="33"/>
      <c r="E290" s="33" t="n">
        <f aca="false">D290-D289</f>
        <v>0</v>
      </c>
      <c r="F290" s="33"/>
      <c r="G290" s="33" t="n">
        <f aca="false">F290-F289</f>
        <v>0</v>
      </c>
      <c r="H290" s="33"/>
      <c r="I290" s="33" t="n">
        <f aca="false">H290-H289</f>
        <v>0</v>
      </c>
      <c r="J290" s="1" t="s">
        <v>32</v>
      </c>
      <c r="K290" s="1" t="n">
        <f aca="false">COUNT($B$275:$B$305)</f>
        <v>0</v>
      </c>
      <c r="L290" s="1" t="n">
        <f aca="false">COUNT($D$275:$D$305)</f>
        <v>0</v>
      </c>
      <c r="M290" s="1" t="n">
        <f aca="false">COUNT($F$275:$F$305)</f>
        <v>0</v>
      </c>
      <c r="N290" s="1" t="n">
        <f aca="false">COUNT($H$275:$H$305)</f>
        <v>0</v>
      </c>
    </row>
    <row r="291" customFormat="false" ht="13.8" hidden="false" customHeight="false" outlineLevel="0" collapsed="false">
      <c r="A291" s="32" t="n">
        <v>46312</v>
      </c>
      <c r="B291" s="33"/>
      <c r="C291" s="33" t="n">
        <f aca="false">B291-B290</f>
        <v>0</v>
      </c>
      <c r="D291" s="33"/>
      <c r="E291" s="33" t="n">
        <f aca="false">D291-D290</f>
        <v>0</v>
      </c>
      <c r="F291" s="33"/>
      <c r="G291" s="33" t="n">
        <f aca="false">F291-F290</f>
        <v>0</v>
      </c>
      <c r="H291" s="33"/>
      <c r="I291" s="33" t="n">
        <f aca="false">H291-H290</f>
        <v>0</v>
      </c>
    </row>
    <row r="292" customFormat="false" ht="13.8" hidden="false" customHeight="false" outlineLevel="0" collapsed="false">
      <c r="A292" s="32" t="n">
        <v>46313</v>
      </c>
      <c r="B292" s="33"/>
      <c r="C292" s="33" t="n">
        <f aca="false">B292-B291</f>
        <v>0</v>
      </c>
      <c r="D292" s="33"/>
      <c r="E292" s="33" t="n">
        <f aca="false">D292-D291</f>
        <v>0</v>
      </c>
      <c r="F292" s="33"/>
      <c r="G292" s="33" t="n">
        <f aca="false">F292-F291</f>
        <v>0</v>
      </c>
      <c r="H292" s="33"/>
      <c r="I292" s="33" t="n">
        <f aca="false">H292-H291</f>
        <v>0</v>
      </c>
    </row>
    <row r="293" customFormat="false" ht="13.8" hidden="false" customHeight="false" outlineLevel="0" collapsed="false">
      <c r="A293" s="32" t="n">
        <v>46314</v>
      </c>
      <c r="B293" s="33"/>
      <c r="C293" s="33" t="n">
        <f aca="false">B293-B292</f>
        <v>0</v>
      </c>
      <c r="D293" s="33"/>
      <c r="E293" s="33" t="n">
        <f aca="false">D293-D292</f>
        <v>0</v>
      </c>
      <c r="F293" s="33"/>
      <c r="G293" s="33" t="n">
        <f aca="false">F293-F292</f>
        <v>0</v>
      </c>
      <c r="H293" s="33"/>
      <c r="I293" s="33" t="n">
        <f aca="false">H293-H292</f>
        <v>0</v>
      </c>
    </row>
    <row r="294" customFormat="false" ht="13.8" hidden="false" customHeight="false" outlineLevel="0" collapsed="false">
      <c r="A294" s="32" t="n">
        <v>46315</v>
      </c>
      <c r="B294" s="33"/>
      <c r="C294" s="33" t="n">
        <f aca="false">B294-B293</f>
        <v>0</v>
      </c>
      <c r="D294" s="33"/>
      <c r="E294" s="33" t="n">
        <f aca="false">D294-D293</f>
        <v>0</v>
      </c>
      <c r="F294" s="33"/>
      <c r="G294" s="33" t="n">
        <f aca="false">F294-F293</f>
        <v>0</v>
      </c>
      <c r="H294" s="33"/>
      <c r="I294" s="33" t="n">
        <f aca="false">H294-H293</f>
        <v>0</v>
      </c>
    </row>
    <row r="295" customFormat="false" ht="13.8" hidden="false" customHeight="false" outlineLevel="0" collapsed="false">
      <c r="A295" s="32" t="n">
        <v>46316</v>
      </c>
      <c r="B295" s="33"/>
      <c r="C295" s="33" t="n">
        <f aca="false">B295-B294</f>
        <v>0</v>
      </c>
      <c r="D295" s="33"/>
      <c r="E295" s="33" t="n">
        <f aca="false">D295-D294</f>
        <v>0</v>
      </c>
      <c r="F295" s="33"/>
      <c r="G295" s="33" t="n">
        <f aca="false">F295-F294</f>
        <v>0</v>
      </c>
      <c r="H295" s="33"/>
      <c r="I295" s="33" t="n">
        <f aca="false">H295-H294</f>
        <v>0</v>
      </c>
    </row>
    <row r="296" customFormat="false" ht="13.8" hidden="false" customHeight="false" outlineLevel="0" collapsed="false">
      <c r="A296" s="32" t="n">
        <v>46317</v>
      </c>
      <c r="B296" s="33"/>
      <c r="C296" s="33" t="n">
        <f aca="false">B296-B295</f>
        <v>0</v>
      </c>
      <c r="D296" s="33"/>
      <c r="E296" s="33" t="n">
        <f aca="false">D296-D295</f>
        <v>0</v>
      </c>
      <c r="F296" s="33"/>
      <c r="G296" s="33" t="n">
        <f aca="false">F296-F295</f>
        <v>0</v>
      </c>
      <c r="H296" s="33"/>
      <c r="I296" s="33" t="n">
        <f aca="false">H296-H295</f>
        <v>0</v>
      </c>
    </row>
    <row r="297" customFormat="false" ht="13.8" hidden="false" customHeight="false" outlineLevel="0" collapsed="false">
      <c r="A297" s="32" t="n">
        <v>46318</v>
      </c>
      <c r="B297" s="33"/>
      <c r="C297" s="33" t="n">
        <f aca="false">B297-B296</f>
        <v>0</v>
      </c>
      <c r="D297" s="33"/>
      <c r="E297" s="33" t="n">
        <f aca="false">D297-D296</f>
        <v>0</v>
      </c>
      <c r="F297" s="33"/>
      <c r="G297" s="33" t="n">
        <f aca="false">F297-F296</f>
        <v>0</v>
      </c>
      <c r="H297" s="33"/>
      <c r="I297" s="33" t="n">
        <f aca="false">H297-H296</f>
        <v>0</v>
      </c>
    </row>
    <row r="298" customFormat="false" ht="13.8" hidden="false" customHeight="false" outlineLevel="0" collapsed="false">
      <c r="A298" s="32" t="n">
        <v>46319</v>
      </c>
      <c r="B298" s="33"/>
      <c r="C298" s="33" t="n">
        <f aca="false">B298-B297</f>
        <v>0</v>
      </c>
      <c r="D298" s="33"/>
      <c r="E298" s="33" t="n">
        <f aca="false">D298-D297</f>
        <v>0</v>
      </c>
      <c r="F298" s="33"/>
      <c r="G298" s="33" t="n">
        <f aca="false">F298-F297</f>
        <v>0</v>
      </c>
      <c r="H298" s="33"/>
      <c r="I298" s="33" t="n">
        <f aca="false">H298-H297</f>
        <v>0</v>
      </c>
    </row>
    <row r="299" customFormat="false" ht="13.8" hidden="false" customHeight="false" outlineLevel="0" collapsed="false">
      <c r="A299" s="32" t="n">
        <v>46320</v>
      </c>
      <c r="B299" s="33"/>
      <c r="C299" s="33" t="n">
        <f aca="false">B299-B298</f>
        <v>0</v>
      </c>
      <c r="D299" s="33"/>
      <c r="E299" s="33" t="n">
        <f aca="false">D299-D298</f>
        <v>0</v>
      </c>
      <c r="F299" s="33"/>
      <c r="G299" s="33" t="n">
        <f aca="false">F299-F298</f>
        <v>0</v>
      </c>
      <c r="H299" s="33"/>
      <c r="I299" s="33" t="n">
        <f aca="false">H299-H298</f>
        <v>0</v>
      </c>
    </row>
    <row r="300" customFormat="false" ht="13.8" hidden="false" customHeight="false" outlineLevel="0" collapsed="false">
      <c r="A300" s="32" t="n">
        <v>46321</v>
      </c>
      <c r="B300" s="33"/>
      <c r="C300" s="33" t="n">
        <f aca="false">B300-B299</f>
        <v>0</v>
      </c>
      <c r="D300" s="33"/>
      <c r="E300" s="33" t="n">
        <f aca="false">D300-D299</f>
        <v>0</v>
      </c>
      <c r="F300" s="33"/>
      <c r="G300" s="33" t="n">
        <f aca="false">F300-F299</f>
        <v>0</v>
      </c>
      <c r="H300" s="33"/>
      <c r="I300" s="33" t="n">
        <f aca="false">H300-H299</f>
        <v>0</v>
      </c>
    </row>
    <row r="301" customFormat="false" ht="13.8" hidden="false" customHeight="false" outlineLevel="0" collapsed="false">
      <c r="A301" s="32" t="n">
        <v>46322</v>
      </c>
      <c r="B301" s="33"/>
      <c r="C301" s="33" t="n">
        <f aca="false">B301-B300</f>
        <v>0</v>
      </c>
      <c r="D301" s="33"/>
      <c r="E301" s="33" t="n">
        <f aca="false">D301-D300</f>
        <v>0</v>
      </c>
      <c r="F301" s="33"/>
      <c r="G301" s="33" t="n">
        <f aca="false">F301-F300</f>
        <v>0</v>
      </c>
      <c r="H301" s="33"/>
      <c r="I301" s="33" t="n">
        <f aca="false">H301-H300</f>
        <v>0</v>
      </c>
    </row>
    <row r="302" customFormat="false" ht="13.8" hidden="false" customHeight="false" outlineLevel="0" collapsed="false">
      <c r="A302" s="32" t="n">
        <v>46323</v>
      </c>
      <c r="B302" s="33"/>
      <c r="C302" s="33" t="n">
        <f aca="false">B302-B301</f>
        <v>0</v>
      </c>
      <c r="D302" s="33"/>
      <c r="E302" s="33" t="n">
        <f aca="false">D302-D301</f>
        <v>0</v>
      </c>
      <c r="F302" s="33"/>
      <c r="G302" s="33" t="n">
        <f aca="false">F302-F301</f>
        <v>0</v>
      </c>
      <c r="H302" s="33"/>
      <c r="I302" s="33" t="n">
        <f aca="false">H302-H301</f>
        <v>0</v>
      </c>
    </row>
    <row r="303" customFormat="false" ht="13.8" hidden="false" customHeight="false" outlineLevel="0" collapsed="false">
      <c r="A303" s="32" t="n">
        <v>46324</v>
      </c>
      <c r="B303" s="33"/>
      <c r="C303" s="33" t="n">
        <f aca="false">B303-B302</f>
        <v>0</v>
      </c>
      <c r="D303" s="33"/>
      <c r="E303" s="33" t="n">
        <f aca="false">D303-D302</f>
        <v>0</v>
      </c>
      <c r="F303" s="33"/>
      <c r="G303" s="33" t="n">
        <f aca="false">F303-F302</f>
        <v>0</v>
      </c>
      <c r="H303" s="33"/>
      <c r="I303" s="33" t="n">
        <f aca="false">H303-H302</f>
        <v>0</v>
      </c>
    </row>
    <row r="304" customFormat="false" ht="13.8" hidden="false" customHeight="false" outlineLevel="0" collapsed="false">
      <c r="A304" s="32" t="n">
        <v>46325</v>
      </c>
      <c r="B304" s="33"/>
      <c r="C304" s="33" t="n">
        <f aca="false">B304-B303</f>
        <v>0</v>
      </c>
      <c r="D304" s="33"/>
      <c r="E304" s="33" t="n">
        <f aca="false">D304-D303</f>
        <v>0</v>
      </c>
      <c r="F304" s="33"/>
      <c r="G304" s="33" t="n">
        <f aca="false">F304-F303</f>
        <v>0</v>
      </c>
      <c r="H304" s="33"/>
      <c r="I304" s="33" t="n">
        <f aca="false">H304-H303</f>
        <v>0</v>
      </c>
    </row>
    <row r="305" customFormat="false" ht="13.8" hidden="false" customHeight="false" outlineLevel="0" collapsed="false">
      <c r="A305" s="32" t="n">
        <v>46326</v>
      </c>
      <c r="B305" s="33"/>
      <c r="C305" s="33" t="n">
        <f aca="false">B305-B304</f>
        <v>0</v>
      </c>
      <c r="D305" s="33"/>
      <c r="E305" s="33" t="n">
        <f aca="false">D305-D304</f>
        <v>0</v>
      </c>
      <c r="F305" s="33"/>
      <c r="G305" s="33" t="n">
        <f aca="false">F305-F304</f>
        <v>0</v>
      </c>
      <c r="H305" s="33"/>
      <c r="I305" s="33" t="n">
        <f aca="false">H305-H304</f>
        <v>0</v>
      </c>
    </row>
    <row r="306" customFormat="false" ht="13.8" hidden="false" customHeight="false" outlineLevel="0" collapsed="false">
      <c r="A306" s="32" t="n">
        <v>46327</v>
      </c>
      <c r="B306" s="33"/>
      <c r="C306" s="33" t="n">
        <f aca="false">B306-B305</f>
        <v>0</v>
      </c>
      <c r="D306" s="33"/>
      <c r="E306" s="33" t="n">
        <f aca="false">D306-D305</f>
        <v>0</v>
      </c>
      <c r="F306" s="33"/>
      <c r="G306" s="33" t="n">
        <f aca="false">F306-F305</f>
        <v>0</v>
      </c>
      <c r="H306" s="33"/>
      <c r="I306" s="33" t="n">
        <f aca="false">H306-H305</f>
        <v>0</v>
      </c>
      <c r="K306" s="34" t="s">
        <v>2</v>
      </c>
      <c r="L306" s="34" t="s">
        <v>179</v>
      </c>
      <c r="M306" s="34" t="s">
        <v>175</v>
      </c>
      <c r="N306" s="34" t="s">
        <v>177</v>
      </c>
    </row>
    <row r="307" customFormat="false" ht="13.8" hidden="false" customHeight="false" outlineLevel="0" collapsed="false">
      <c r="A307" s="32" t="n">
        <v>46328</v>
      </c>
      <c r="B307" s="33"/>
      <c r="C307" s="33" t="n">
        <f aca="false">B307-B306</f>
        <v>0</v>
      </c>
      <c r="D307" s="33"/>
      <c r="E307" s="33" t="n">
        <f aca="false">D307-D306</f>
        <v>0</v>
      </c>
      <c r="F307" s="33"/>
      <c r="G307" s="33" t="n">
        <f aca="false">F307-F306</f>
        <v>0</v>
      </c>
      <c r="H307" s="33"/>
      <c r="I307" s="33" t="n">
        <f aca="false">H307-H306</f>
        <v>0</v>
      </c>
      <c r="J307" s="1" t="s">
        <v>8</v>
      </c>
      <c r="K307" s="1" t="e">
        <f aca="false">AVERAGE($B$306:$B$335)</f>
        <v>#DIV/0!</v>
      </c>
      <c r="L307" s="1" t="e">
        <f aca="false">AVERAGE($D$306:$D$335)</f>
        <v>#DIV/0!</v>
      </c>
      <c r="M307" s="1" t="e">
        <f aca="false">AVERAGE($F$306:$F$335)</f>
        <v>#DIV/0!</v>
      </c>
      <c r="N307" s="1" t="e">
        <f aca="false">AVERAGE($H$306:$H$335)</f>
        <v>#DIV/0!</v>
      </c>
    </row>
    <row r="308" customFormat="false" ht="13.8" hidden="false" customHeight="false" outlineLevel="0" collapsed="false">
      <c r="A308" s="32" t="n">
        <v>46329</v>
      </c>
      <c r="B308" s="33"/>
      <c r="C308" s="33" t="n">
        <f aca="false">B308-B307</f>
        <v>0</v>
      </c>
      <c r="D308" s="33"/>
      <c r="E308" s="33" t="n">
        <f aca="false">D308-D307</f>
        <v>0</v>
      </c>
      <c r="F308" s="33"/>
      <c r="G308" s="33" t="n">
        <f aca="false">F308-F307</f>
        <v>0</v>
      </c>
      <c r="H308" s="33"/>
      <c r="I308" s="33" t="n">
        <f aca="false">H308-H307</f>
        <v>0</v>
      </c>
      <c r="J308" s="1" t="s">
        <v>10</v>
      </c>
      <c r="K308" s="1" t="e">
        <f aca="false">SQRT(VAR($B$306:$B$335)/COUNT($B$306:$B$335))</f>
        <v>#DIV/0!</v>
      </c>
      <c r="L308" s="1" t="e">
        <f aca="false">SQRT(VAR($D$306:$D$335)/COUNT($D$306:$D$335))</f>
        <v>#DIV/0!</v>
      </c>
      <c r="M308" s="1" t="e">
        <f aca="false">SQRT(VAR($F$306:$F$335)/COUNT($F$306:$F$335))</f>
        <v>#DIV/0!</v>
      </c>
      <c r="N308" s="1" t="e">
        <f aca="false">SQRT(VAR($H$306:$H$335)/COUNT($H$306:$H$335))</f>
        <v>#DIV/0!</v>
      </c>
    </row>
    <row r="309" customFormat="false" ht="13.8" hidden="false" customHeight="false" outlineLevel="0" collapsed="false">
      <c r="A309" s="32" t="n">
        <v>46330</v>
      </c>
      <c r="B309" s="33"/>
      <c r="C309" s="33" t="n">
        <f aca="false">B309-B308</f>
        <v>0</v>
      </c>
      <c r="D309" s="33"/>
      <c r="E309" s="33" t="n">
        <f aca="false">D309-D308</f>
        <v>0</v>
      </c>
      <c r="F309" s="33"/>
      <c r="G309" s="33" t="n">
        <f aca="false">F309-F308</f>
        <v>0</v>
      </c>
      <c r="H309" s="33"/>
      <c r="I309" s="33" t="n">
        <f aca="false">H309-H308</f>
        <v>0</v>
      </c>
      <c r="J309" s="1" t="s">
        <v>14</v>
      </c>
      <c r="K309" s="1" t="e">
        <f aca="false">MODE($B$306:$B$335)</f>
        <v>#VALUE!</v>
      </c>
      <c r="L309" s="1" t="e">
        <f aca="false">MODE($D$306:$D$335)</f>
        <v>#VALUE!</v>
      </c>
      <c r="M309" s="1" t="e">
        <f aca="false">MODE($F$306:$F$335)</f>
        <v>#VALUE!</v>
      </c>
      <c r="N309" s="1" t="e">
        <f aca="false">MODE($H$306:$H$335)</f>
        <v>#VALUE!</v>
      </c>
    </row>
    <row r="310" customFormat="false" ht="13.8" hidden="false" customHeight="false" outlineLevel="0" collapsed="false">
      <c r="A310" s="32" t="n">
        <v>46331</v>
      </c>
      <c r="B310" s="33"/>
      <c r="C310" s="33" t="n">
        <f aca="false">B310-B309</f>
        <v>0</v>
      </c>
      <c r="D310" s="33"/>
      <c r="E310" s="33" t="n">
        <f aca="false">D310-D309</f>
        <v>0</v>
      </c>
      <c r="F310" s="33"/>
      <c r="G310" s="33" t="n">
        <f aca="false">F310-F309</f>
        <v>0</v>
      </c>
      <c r="H310" s="33"/>
      <c r="I310" s="33" t="n">
        <f aca="false">H310-H309</f>
        <v>0</v>
      </c>
      <c r="J310" s="1" t="s">
        <v>12</v>
      </c>
      <c r="K310" s="1" t="e">
        <f aca="false">MEDIAN($B$306:$B$335)</f>
        <v>#VALUE!</v>
      </c>
      <c r="L310" s="1" t="e">
        <f aca="false">MEDIAN($D$306:$D$335)</f>
        <v>#VALUE!</v>
      </c>
      <c r="M310" s="1" t="e">
        <f aca="false">MEDIAN($F$306:$F$335)</f>
        <v>#VALUE!</v>
      </c>
      <c r="N310" s="1" t="e">
        <f aca="false">MEDIAN($H$306:$H$335)</f>
        <v>#VALUE!</v>
      </c>
    </row>
    <row r="311" customFormat="false" ht="13.8" hidden="false" customHeight="false" outlineLevel="0" collapsed="false">
      <c r="A311" s="32" t="n">
        <v>46332</v>
      </c>
      <c r="B311" s="33"/>
      <c r="C311" s="33" t="n">
        <f aca="false">B311-B310</f>
        <v>0</v>
      </c>
      <c r="D311" s="33"/>
      <c r="E311" s="33" t="n">
        <f aca="false">D311-D310</f>
        <v>0</v>
      </c>
      <c r="F311" s="33"/>
      <c r="G311" s="33" t="n">
        <f aca="false">F311-F310</f>
        <v>0</v>
      </c>
      <c r="H311" s="33"/>
      <c r="I311" s="33" t="n">
        <f aca="false">H311-H310</f>
        <v>0</v>
      </c>
      <c r="J311" s="1" t="s">
        <v>195</v>
      </c>
      <c r="K311" s="1" t="e">
        <f aca="false">QUARTILE($B$306:$B$335, 1)</f>
        <v>#VALUE!</v>
      </c>
      <c r="L311" s="1" t="e">
        <f aca="false">QUARTILE($D$306:$D$335, 1)</f>
        <v>#VALUE!</v>
      </c>
      <c r="M311" s="1" t="e">
        <f aca="false">QUARTILE($F$306:$F$335, 1)</f>
        <v>#VALUE!</v>
      </c>
      <c r="N311" s="1" t="e">
        <f aca="false">QUARTILE($H$306:$H$335, 1)</f>
        <v>#VALUE!</v>
      </c>
    </row>
    <row r="312" customFormat="false" ht="13.8" hidden="false" customHeight="false" outlineLevel="0" collapsed="false">
      <c r="A312" s="32" t="n">
        <v>46333</v>
      </c>
      <c r="B312" s="33"/>
      <c r="C312" s="33" t="n">
        <f aca="false">B312-B311</f>
        <v>0</v>
      </c>
      <c r="D312" s="33"/>
      <c r="E312" s="33" t="n">
        <f aca="false">D312-D311</f>
        <v>0</v>
      </c>
      <c r="F312" s="33"/>
      <c r="G312" s="33" t="n">
        <f aca="false">F312-F311</f>
        <v>0</v>
      </c>
      <c r="H312" s="33"/>
      <c r="I312" s="33" t="n">
        <f aca="false">H312-H311</f>
        <v>0</v>
      </c>
      <c r="J312" s="1" t="s">
        <v>181</v>
      </c>
      <c r="K312" s="1" t="e">
        <f aca="false">QUARTILE($B$306:$B$335, 3)</f>
        <v>#VALUE!</v>
      </c>
      <c r="L312" s="1" t="e">
        <f aca="false">QUARTILE($D$306:$D$335, 3)</f>
        <v>#VALUE!</v>
      </c>
      <c r="M312" s="1" t="e">
        <f aca="false">QUARTILE($F$306:$F$335, 3)</f>
        <v>#VALUE!</v>
      </c>
      <c r="N312" s="1" t="e">
        <f aca="false">QUARTILE($H$306:$H$335, 3)</f>
        <v>#VALUE!</v>
      </c>
    </row>
    <row r="313" customFormat="false" ht="13.8" hidden="false" customHeight="false" outlineLevel="0" collapsed="false">
      <c r="A313" s="32" t="n">
        <v>46334</v>
      </c>
      <c r="B313" s="33"/>
      <c r="C313" s="33" t="n">
        <f aca="false">B313-B312</f>
        <v>0</v>
      </c>
      <c r="D313" s="33"/>
      <c r="E313" s="33" t="n">
        <f aca="false">D313-D312</f>
        <v>0</v>
      </c>
      <c r="F313" s="33"/>
      <c r="G313" s="33" t="n">
        <f aca="false">F313-F312</f>
        <v>0</v>
      </c>
      <c r="H313" s="33"/>
      <c r="I313" s="33" t="n">
        <f aca="false">H313-H312</f>
        <v>0</v>
      </c>
      <c r="J313" s="1" t="s">
        <v>182</v>
      </c>
      <c r="K313" s="1" t="e">
        <f aca="false">VAR($B$306:$B$335)</f>
        <v>#DIV/0!</v>
      </c>
      <c r="L313" s="1" t="e">
        <f aca="false">VAR($D$306:$D$335)</f>
        <v>#DIV/0!</v>
      </c>
      <c r="M313" s="1" t="e">
        <f aca="false">VAR($F$306:$F$335)</f>
        <v>#DIV/0!</v>
      </c>
      <c r="N313" s="1" t="e">
        <f aca="false">VAR($H$306:$H$335)</f>
        <v>#DIV/0!</v>
      </c>
    </row>
    <row r="314" customFormat="false" ht="13.8" hidden="false" customHeight="false" outlineLevel="0" collapsed="false">
      <c r="A314" s="32" t="n">
        <v>46335</v>
      </c>
      <c r="B314" s="33"/>
      <c r="C314" s="33" t="n">
        <f aca="false">B314-B313</f>
        <v>0</v>
      </c>
      <c r="D314" s="33"/>
      <c r="E314" s="33" t="n">
        <f aca="false">D314-D313</f>
        <v>0</v>
      </c>
      <c r="F314" s="33"/>
      <c r="G314" s="33" t="n">
        <f aca="false">F314-F313</f>
        <v>0</v>
      </c>
      <c r="H314" s="33"/>
      <c r="I314" s="33" t="n">
        <f aca="false">H314-H313</f>
        <v>0</v>
      </c>
      <c r="J314" s="1" t="s">
        <v>16</v>
      </c>
      <c r="K314" s="1" t="e">
        <f aca="false">STDEV($B$306:$B$335)</f>
        <v>#DIV/0!</v>
      </c>
      <c r="L314" s="1" t="e">
        <f aca="false">STDEV($D$306:$D$335)</f>
        <v>#DIV/0!</v>
      </c>
      <c r="M314" s="1" t="e">
        <f aca="false">STDEV($F$306:$F$335)</f>
        <v>#DIV/0!</v>
      </c>
      <c r="N314" s="1" t="e">
        <f aca="false">STDEV($H$306:$H$335)</f>
        <v>#DIV/0!</v>
      </c>
    </row>
    <row r="315" customFormat="false" ht="13.8" hidden="false" customHeight="false" outlineLevel="0" collapsed="false">
      <c r="A315" s="32" t="n">
        <v>46336</v>
      </c>
      <c r="B315" s="33"/>
      <c r="C315" s="33" t="n">
        <f aca="false">B315-B314</f>
        <v>0</v>
      </c>
      <c r="D315" s="33"/>
      <c r="E315" s="33" t="n">
        <f aca="false">D315-D314</f>
        <v>0</v>
      </c>
      <c r="F315" s="33"/>
      <c r="G315" s="33" t="n">
        <f aca="false">F315-F314</f>
        <v>0</v>
      </c>
      <c r="H315" s="33"/>
      <c r="I315" s="33" t="n">
        <f aca="false">H315-H314</f>
        <v>0</v>
      </c>
      <c r="J315" s="1" t="s">
        <v>20</v>
      </c>
      <c r="K315" s="1" t="e">
        <f aca="false">KURT($B$306:$B$335)</f>
        <v>#DIV/0!</v>
      </c>
      <c r="L315" s="1" t="e">
        <f aca="false">KURT($D$306:$D$335)</f>
        <v>#DIV/0!</v>
      </c>
      <c r="M315" s="1" t="e">
        <f aca="false">KURT($F$306:$F$335)</f>
        <v>#DIV/0!</v>
      </c>
      <c r="N315" s="1" t="e">
        <f aca="false">KURT($H$306:$H$335)</f>
        <v>#DIV/0!</v>
      </c>
    </row>
    <row r="316" customFormat="false" ht="13.8" hidden="false" customHeight="false" outlineLevel="0" collapsed="false">
      <c r="A316" s="32" t="n">
        <v>46337</v>
      </c>
      <c r="B316" s="33"/>
      <c r="C316" s="33" t="n">
        <f aca="false">B316-B315</f>
        <v>0</v>
      </c>
      <c r="D316" s="33"/>
      <c r="E316" s="33" t="n">
        <f aca="false">D316-D315</f>
        <v>0</v>
      </c>
      <c r="F316" s="33"/>
      <c r="G316" s="33" t="n">
        <f aca="false">F316-F315</f>
        <v>0</v>
      </c>
      <c r="H316" s="33"/>
      <c r="I316" s="33" t="n">
        <f aca="false">H316-H315</f>
        <v>0</v>
      </c>
      <c r="J316" s="1" t="s">
        <v>22</v>
      </c>
      <c r="K316" s="1" t="e">
        <f aca="false">SKEW($B$306:$B$335)</f>
        <v>#DIV/0!</v>
      </c>
      <c r="L316" s="1" t="e">
        <f aca="false">SKEW($D$306:$D$335)</f>
        <v>#DIV/0!</v>
      </c>
      <c r="M316" s="1" t="e">
        <f aca="false">SKEW($F$306:$F$335)</f>
        <v>#DIV/0!</v>
      </c>
      <c r="N316" s="1" t="e">
        <f aca="false">SKEW($H$306:$H$335)</f>
        <v>#DIV/0!</v>
      </c>
    </row>
    <row r="317" customFormat="false" ht="13.8" hidden="false" customHeight="false" outlineLevel="0" collapsed="false">
      <c r="A317" s="32" t="n">
        <v>46338</v>
      </c>
      <c r="B317" s="33"/>
      <c r="C317" s="33" t="n">
        <f aca="false">B317-B316</f>
        <v>0</v>
      </c>
      <c r="D317" s="33"/>
      <c r="E317" s="33" t="n">
        <f aca="false">D317-D316</f>
        <v>0</v>
      </c>
      <c r="F317" s="33"/>
      <c r="G317" s="33" t="n">
        <f aca="false">F317-F316</f>
        <v>0</v>
      </c>
      <c r="H317" s="33"/>
      <c r="I317" s="33" t="n">
        <f aca="false">H317-H316</f>
        <v>0</v>
      </c>
      <c r="J317" s="1" t="s">
        <v>24</v>
      </c>
      <c r="K317" s="1" t="n">
        <f aca="false">MAX($B$306:$B$335)-MIN($B$306:$B$335)</f>
        <v>0</v>
      </c>
      <c r="L317" s="1" t="n">
        <f aca="false">MAX($D$306:$D$335)-MIN($D$306:$D$335)</f>
        <v>0</v>
      </c>
      <c r="M317" s="1" t="n">
        <f aca="false">MAX($F$306:$F$335)-MIN($F$306:$F$335)</f>
        <v>0</v>
      </c>
      <c r="N317" s="1" t="n">
        <f aca="false">MAX($H$306:$H$335)-MIN($H$306:$H$335)</f>
        <v>0</v>
      </c>
    </row>
    <row r="318" customFormat="false" ht="13.8" hidden="false" customHeight="false" outlineLevel="0" collapsed="false">
      <c r="A318" s="32" t="n">
        <v>46339</v>
      </c>
      <c r="B318" s="33"/>
      <c r="C318" s="33" t="n">
        <f aca="false">B318-B317</f>
        <v>0</v>
      </c>
      <c r="D318" s="33"/>
      <c r="E318" s="33" t="n">
        <f aca="false">D318-D317</f>
        <v>0</v>
      </c>
      <c r="F318" s="33"/>
      <c r="G318" s="33" t="n">
        <f aca="false">F318-F317</f>
        <v>0</v>
      </c>
      <c r="H318" s="33"/>
      <c r="I318" s="33" t="n">
        <f aca="false">H318-H317</f>
        <v>0</v>
      </c>
      <c r="J318" s="1" t="s">
        <v>26</v>
      </c>
      <c r="K318" s="1" t="n">
        <f aca="false">MIN($B$306:$B$335)</f>
        <v>0</v>
      </c>
      <c r="L318" s="1" t="n">
        <f aca="false">MIN($D$306:$D$335)</f>
        <v>0</v>
      </c>
      <c r="M318" s="1" t="n">
        <f aca="false">MIN($F$306:$F$335)</f>
        <v>0</v>
      </c>
      <c r="N318" s="1" t="n">
        <f aca="false">MIN($H$306:$H$335)</f>
        <v>0</v>
      </c>
    </row>
    <row r="319" customFormat="false" ht="13.8" hidden="false" customHeight="false" outlineLevel="0" collapsed="false">
      <c r="A319" s="32" t="n">
        <v>46340</v>
      </c>
      <c r="B319" s="33"/>
      <c r="C319" s="33" t="n">
        <f aca="false">B319-B318</f>
        <v>0</v>
      </c>
      <c r="D319" s="33"/>
      <c r="E319" s="33" t="n">
        <f aca="false">D319-D318</f>
        <v>0</v>
      </c>
      <c r="F319" s="33"/>
      <c r="G319" s="33" t="n">
        <f aca="false">F319-F318</f>
        <v>0</v>
      </c>
      <c r="H319" s="33"/>
      <c r="I319" s="33" t="n">
        <f aca="false">H319-H318</f>
        <v>0</v>
      </c>
      <c r="J319" s="1" t="s">
        <v>28</v>
      </c>
      <c r="K319" s="1" t="n">
        <f aca="false">MAX($B$306:$B$335)</f>
        <v>0</v>
      </c>
      <c r="L319" s="1" t="n">
        <f aca="false">MAX($D$306:$D$335)</f>
        <v>0</v>
      </c>
      <c r="M319" s="1" t="n">
        <f aca="false">MAX($F$306:$F$335)</f>
        <v>0</v>
      </c>
      <c r="N319" s="1" t="n">
        <f aca="false">MAX($H$306:$H$335)</f>
        <v>0</v>
      </c>
    </row>
    <row r="320" customFormat="false" ht="13.8" hidden="false" customHeight="false" outlineLevel="0" collapsed="false">
      <c r="A320" s="32" t="n">
        <v>46341</v>
      </c>
      <c r="B320" s="33"/>
      <c r="C320" s="33" t="n">
        <f aca="false">B320-B319</f>
        <v>0</v>
      </c>
      <c r="D320" s="33"/>
      <c r="E320" s="33" t="n">
        <f aca="false">D320-D319</f>
        <v>0</v>
      </c>
      <c r="F320" s="33"/>
      <c r="G320" s="33" t="n">
        <f aca="false">F320-F319</f>
        <v>0</v>
      </c>
      <c r="H320" s="33"/>
      <c r="I320" s="33" t="n">
        <f aca="false">H320-H319</f>
        <v>0</v>
      </c>
      <c r="J320" s="1" t="s">
        <v>30</v>
      </c>
      <c r="K320" s="1" t="n">
        <f aca="false">SUM($B$306:$B$335)</f>
        <v>0</v>
      </c>
      <c r="L320" s="1" t="n">
        <f aca="false">SUM($D$306:$D$335)</f>
        <v>0</v>
      </c>
      <c r="M320" s="1" t="n">
        <f aca="false">SUM($F$306:$F$335)</f>
        <v>0</v>
      </c>
      <c r="N320" s="1" t="n">
        <f aca="false">SUM($H$306:$H$335)</f>
        <v>0</v>
      </c>
    </row>
    <row r="321" customFormat="false" ht="13.8" hidden="false" customHeight="false" outlineLevel="0" collapsed="false">
      <c r="A321" s="32" t="n">
        <v>46342</v>
      </c>
      <c r="B321" s="33"/>
      <c r="C321" s="33" t="n">
        <f aca="false">B321-B320</f>
        <v>0</v>
      </c>
      <c r="D321" s="33"/>
      <c r="E321" s="33" t="n">
        <f aca="false">D321-D320</f>
        <v>0</v>
      </c>
      <c r="F321" s="33"/>
      <c r="G321" s="33" t="n">
        <f aca="false">F321-F320</f>
        <v>0</v>
      </c>
      <c r="H321" s="33"/>
      <c r="I321" s="33" t="n">
        <f aca="false">H321-H320</f>
        <v>0</v>
      </c>
      <c r="J321" s="1" t="s">
        <v>32</v>
      </c>
      <c r="K321" s="1" t="n">
        <f aca="false">COUNT($B$306:$B$335)</f>
        <v>0</v>
      </c>
      <c r="L321" s="1" t="n">
        <f aca="false">COUNT($D$306:$D$335)</f>
        <v>0</v>
      </c>
      <c r="M321" s="1" t="n">
        <f aca="false">COUNT($F$306:$F$335)</f>
        <v>0</v>
      </c>
      <c r="N321" s="1" t="n">
        <f aca="false">COUNT($H$306:$H$335)</f>
        <v>0</v>
      </c>
    </row>
    <row r="322" customFormat="false" ht="13.8" hidden="false" customHeight="false" outlineLevel="0" collapsed="false">
      <c r="A322" s="32" t="n">
        <v>46343</v>
      </c>
      <c r="B322" s="33"/>
      <c r="C322" s="33" t="n">
        <f aca="false">B322-B321</f>
        <v>0</v>
      </c>
      <c r="D322" s="33"/>
      <c r="E322" s="33" t="n">
        <f aca="false">D322-D321</f>
        <v>0</v>
      </c>
      <c r="F322" s="33"/>
      <c r="G322" s="33" t="n">
        <f aca="false">F322-F321</f>
        <v>0</v>
      </c>
      <c r="H322" s="33"/>
      <c r="I322" s="33" t="n">
        <f aca="false">H322-H321</f>
        <v>0</v>
      </c>
    </row>
    <row r="323" customFormat="false" ht="13.8" hidden="false" customHeight="false" outlineLevel="0" collapsed="false">
      <c r="A323" s="32" t="n">
        <v>46344</v>
      </c>
      <c r="B323" s="33"/>
      <c r="C323" s="33" t="n">
        <f aca="false">B323-B322</f>
        <v>0</v>
      </c>
      <c r="D323" s="33"/>
      <c r="E323" s="33" t="n">
        <f aca="false">D323-D322</f>
        <v>0</v>
      </c>
      <c r="F323" s="33"/>
      <c r="G323" s="33" t="n">
        <f aca="false">F323-F322</f>
        <v>0</v>
      </c>
      <c r="H323" s="33"/>
      <c r="I323" s="33" t="n">
        <f aca="false">H323-H322</f>
        <v>0</v>
      </c>
    </row>
    <row r="324" customFormat="false" ht="13.8" hidden="false" customHeight="false" outlineLevel="0" collapsed="false">
      <c r="A324" s="32" t="n">
        <v>46345</v>
      </c>
      <c r="B324" s="33"/>
      <c r="C324" s="33" t="n">
        <f aca="false">B324-B323</f>
        <v>0</v>
      </c>
      <c r="D324" s="33"/>
      <c r="E324" s="33" t="n">
        <f aca="false">D324-D323</f>
        <v>0</v>
      </c>
      <c r="F324" s="33"/>
      <c r="G324" s="33" t="n">
        <f aca="false">F324-F323</f>
        <v>0</v>
      </c>
      <c r="H324" s="33"/>
      <c r="I324" s="33" t="n">
        <f aca="false">H324-H323</f>
        <v>0</v>
      </c>
    </row>
    <row r="325" customFormat="false" ht="13.8" hidden="false" customHeight="false" outlineLevel="0" collapsed="false">
      <c r="A325" s="32" t="n">
        <v>46346</v>
      </c>
      <c r="B325" s="33"/>
      <c r="C325" s="33" t="n">
        <f aca="false">B325-B324</f>
        <v>0</v>
      </c>
      <c r="D325" s="33"/>
      <c r="E325" s="33" t="n">
        <f aca="false">D325-D324</f>
        <v>0</v>
      </c>
      <c r="F325" s="33"/>
      <c r="G325" s="33" t="n">
        <f aca="false">F325-F324</f>
        <v>0</v>
      </c>
      <c r="H325" s="33"/>
      <c r="I325" s="33" t="n">
        <f aca="false">H325-H324</f>
        <v>0</v>
      </c>
    </row>
    <row r="326" customFormat="false" ht="13.8" hidden="false" customHeight="false" outlineLevel="0" collapsed="false">
      <c r="A326" s="32" t="n">
        <v>46347</v>
      </c>
      <c r="B326" s="33"/>
      <c r="C326" s="33" t="n">
        <f aca="false">B326-B325</f>
        <v>0</v>
      </c>
      <c r="D326" s="33"/>
      <c r="E326" s="33" t="n">
        <f aca="false">D326-D325</f>
        <v>0</v>
      </c>
      <c r="F326" s="33"/>
      <c r="G326" s="33" t="n">
        <f aca="false">F326-F325</f>
        <v>0</v>
      </c>
      <c r="H326" s="33"/>
      <c r="I326" s="33" t="n">
        <f aca="false">H326-H325</f>
        <v>0</v>
      </c>
    </row>
    <row r="327" customFormat="false" ht="13.8" hidden="false" customHeight="false" outlineLevel="0" collapsed="false">
      <c r="A327" s="32" t="n">
        <v>46348</v>
      </c>
      <c r="B327" s="33"/>
      <c r="C327" s="33" t="n">
        <f aca="false">B327-B326</f>
        <v>0</v>
      </c>
      <c r="D327" s="33"/>
      <c r="E327" s="33" t="n">
        <f aca="false">D327-D326</f>
        <v>0</v>
      </c>
      <c r="F327" s="33"/>
      <c r="G327" s="33" t="n">
        <f aca="false">F327-F326</f>
        <v>0</v>
      </c>
      <c r="H327" s="33"/>
      <c r="I327" s="33" t="n">
        <f aca="false">H327-H326</f>
        <v>0</v>
      </c>
    </row>
    <row r="328" customFormat="false" ht="13.8" hidden="false" customHeight="false" outlineLevel="0" collapsed="false">
      <c r="A328" s="32" t="n">
        <v>46349</v>
      </c>
      <c r="B328" s="33"/>
      <c r="C328" s="33" t="n">
        <f aca="false">B328-B327</f>
        <v>0</v>
      </c>
      <c r="D328" s="33"/>
      <c r="E328" s="33" t="n">
        <f aca="false">D328-D327</f>
        <v>0</v>
      </c>
      <c r="F328" s="33"/>
      <c r="G328" s="33" t="n">
        <f aca="false">F328-F327</f>
        <v>0</v>
      </c>
      <c r="H328" s="33"/>
      <c r="I328" s="33" t="n">
        <f aca="false">H328-H327</f>
        <v>0</v>
      </c>
    </row>
    <row r="329" customFormat="false" ht="13.8" hidden="false" customHeight="false" outlineLevel="0" collapsed="false">
      <c r="A329" s="32" t="n">
        <v>46350</v>
      </c>
      <c r="B329" s="33"/>
      <c r="C329" s="33" t="n">
        <f aca="false">B329-B328</f>
        <v>0</v>
      </c>
      <c r="D329" s="33"/>
      <c r="E329" s="33" t="n">
        <f aca="false">D329-D328</f>
        <v>0</v>
      </c>
      <c r="F329" s="33"/>
      <c r="G329" s="33" t="n">
        <f aca="false">F329-F328</f>
        <v>0</v>
      </c>
      <c r="H329" s="33"/>
      <c r="I329" s="33" t="n">
        <f aca="false">H329-H328</f>
        <v>0</v>
      </c>
    </row>
    <row r="330" customFormat="false" ht="13.8" hidden="false" customHeight="false" outlineLevel="0" collapsed="false">
      <c r="A330" s="32" t="n">
        <v>46351</v>
      </c>
      <c r="B330" s="33"/>
      <c r="C330" s="33" t="n">
        <f aca="false">B330-B329</f>
        <v>0</v>
      </c>
      <c r="D330" s="33"/>
      <c r="E330" s="33" t="n">
        <f aca="false">D330-D329</f>
        <v>0</v>
      </c>
      <c r="F330" s="33"/>
      <c r="G330" s="33" t="n">
        <f aca="false">F330-F329</f>
        <v>0</v>
      </c>
      <c r="H330" s="33"/>
      <c r="I330" s="33" t="n">
        <f aca="false">H330-H329</f>
        <v>0</v>
      </c>
    </row>
    <row r="331" customFormat="false" ht="13.8" hidden="false" customHeight="false" outlineLevel="0" collapsed="false">
      <c r="A331" s="32" t="n">
        <v>46352</v>
      </c>
      <c r="B331" s="33"/>
      <c r="C331" s="33" t="n">
        <f aca="false">B331-B330</f>
        <v>0</v>
      </c>
      <c r="D331" s="33"/>
      <c r="E331" s="33" t="n">
        <f aca="false">D331-D330</f>
        <v>0</v>
      </c>
      <c r="F331" s="33"/>
      <c r="G331" s="33" t="n">
        <f aca="false">F331-F330</f>
        <v>0</v>
      </c>
      <c r="H331" s="33"/>
      <c r="I331" s="33" t="n">
        <f aca="false">H331-H330</f>
        <v>0</v>
      </c>
    </row>
    <row r="332" customFormat="false" ht="13.8" hidden="false" customHeight="false" outlineLevel="0" collapsed="false">
      <c r="A332" s="32" t="n">
        <v>46353</v>
      </c>
      <c r="B332" s="33"/>
      <c r="C332" s="33" t="n">
        <f aca="false">B332-B331</f>
        <v>0</v>
      </c>
      <c r="D332" s="33"/>
      <c r="E332" s="33" t="n">
        <f aca="false">D332-D331</f>
        <v>0</v>
      </c>
      <c r="F332" s="33"/>
      <c r="G332" s="33" t="n">
        <f aca="false">F332-F331</f>
        <v>0</v>
      </c>
      <c r="H332" s="33"/>
      <c r="I332" s="33" t="n">
        <f aca="false">H332-H331</f>
        <v>0</v>
      </c>
    </row>
    <row r="333" customFormat="false" ht="13.8" hidden="false" customHeight="false" outlineLevel="0" collapsed="false">
      <c r="A333" s="32" t="n">
        <v>46354</v>
      </c>
      <c r="B333" s="33"/>
      <c r="C333" s="33" t="n">
        <f aca="false">B333-B332</f>
        <v>0</v>
      </c>
      <c r="D333" s="33"/>
      <c r="E333" s="33" t="n">
        <f aca="false">D333-D332</f>
        <v>0</v>
      </c>
      <c r="F333" s="33"/>
      <c r="G333" s="33" t="n">
        <f aca="false">F333-F332</f>
        <v>0</v>
      </c>
      <c r="H333" s="33"/>
      <c r="I333" s="33" t="n">
        <f aca="false">H333-H332</f>
        <v>0</v>
      </c>
    </row>
    <row r="334" customFormat="false" ht="13.8" hidden="false" customHeight="false" outlineLevel="0" collapsed="false">
      <c r="A334" s="32" t="n">
        <v>46355</v>
      </c>
      <c r="B334" s="33"/>
      <c r="C334" s="33" t="n">
        <f aca="false">B334-B333</f>
        <v>0</v>
      </c>
      <c r="D334" s="33"/>
      <c r="E334" s="33" t="n">
        <f aca="false">D334-D333</f>
        <v>0</v>
      </c>
      <c r="F334" s="33"/>
      <c r="G334" s="33" t="n">
        <f aca="false">F334-F333</f>
        <v>0</v>
      </c>
      <c r="H334" s="33"/>
      <c r="I334" s="33" t="n">
        <f aca="false">H334-H333</f>
        <v>0</v>
      </c>
    </row>
    <row r="335" customFormat="false" ht="13.8" hidden="false" customHeight="false" outlineLevel="0" collapsed="false">
      <c r="A335" s="32" t="n">
        <v>46356</v>
      </c>
      <c r="B335" s="33"/>
      <c r="C335" s="33" t="n">
        <f aca="false">B335-B334</f>
        <v>0</v>
      </c>
      <c r="D335" s="33"/>
      <c r="E335" s="33" t="n">
        <f aca="false">D335-D334</f>
        <v>0</v>
      </c>
      <c r="F335" s="33"/>
      <c r="G335" s="33" t="n">
        <f aca="false">F335-F334</f>
        <v>0</v>
      </c>
      <c r="H335" s="33"/>
      <c r="I335" s="33" t="n">
        <f aca="false">H335-H334</f>
        <v>0</v>
      </c>
    </row>
    <row r="336" customFormat="false" ht="13.8" hidden="false" customHeight="false" outlineLevel="0" collapsed="false">
      <c r="A336" s="32" t="n">
        <v>46357</v>
      </c>
      <c r="B336" s="33"/>
      <c r="C336" s="33" t="n">
        <f aca="false">B336-B335</f>
        <v>0</v>
      </c>
      <c r="D336" s="33"/>
      <c r="E336" s="33" t="n">
        <f aca="false">D336-D335</f>
        <v>0</v>
      </c>
      <c r="F336" s="33"/>
      <c r="G336" s="33" t="n">
        <f aca="false">F336-F335</f>
        <v>0</v>
      </c>
      <c r="H336" s="33"/>
      <c r="I336" s="33" t="n">
        <f aca="false">H336-H335</f>
        <v>0</v>
      </c>
      <c r="K336" s="34" t="s">
        <v>2</v>
      </c>
      <c r="L336" s="34" t="s">
        <v>179</v>
      </c>
      <c r="M336" s="34" t="s">
        <v>175</v>
      </c>
      <c r="N336" s="34" t="s">
        <v>177</v>
      </c>
    </row>
    <row r="337" customFormat="false" ht="13.8" hidden="false" customHeight="false" outlineLevel="0" collapsed="false">
      <c r="A337" s="32" t="n">
        <v>46358</v>
      </c>
      <c r="B337" s="33"/>
      <c r="C337" s="33" t="n">
        <f aca="false">B337-B336</f>
        <v>0</v>
      </c>
      <c r="D337" s="33"/>
      <c r="E337" s="33" t="n">
        <f aca="false">D337-D336</f>
        <v>0</v>
      </c>
      <c r="F337" s="33"/>
      <c r="G337" s="33" t="n">
        <f aca="false">F337-F336</f>
        <v>0</v>
      </c>
      <c r="H337" s="33"/>
      <c r="I337" s="33" t="n">
        <f aca="false">H337-H336</f>
        <v>0</v>
      </c>
      <c r="J337" s="1" t="s">
        <v>8</v>
      </c>
      <c r="K337" s="1" t="e">
        <f aca="false">AVERAGE($B$336:$B$366)</f>
        <v>#DIV/0!</v>
      </c>
      <c r="L337" s="1" t="e">
        <f aca="false">AVERAGE($D$336:$D$366)</f>
        <v>#DIV/0!</v>
      </c>
      <c r="M337" s="1" t="e">
        <f aca="false">AVERAGE($F$336:$F$366)</f>
        <v>#DIV/0!</v>
      </c>
      <c r="N337" s="1" t="e">
        <f aca="false">AVERAGE($H$336:$H$366)</f>
        <v>#DIV/0!</v>
      </c>
    </row>
    <row r="338" customFormat="false" ht="13.8" hidden="false" customHeight="false" outlineLevel="0" collapsed="false">
      <c r="A338" s="32" t="n">
        <v>46359</v>
      </c>
      <c r="B338" s="33"/>
      <c r="C338" s="33" t="n">
        <f aca="false">B338-B337</f>
        <v>0</v>
      </c>
      <c r="D338" s="33"/>
      <c r="E338" s="33" t="n">
        <f aca="false">D338-D337</f>
        <v>0</v>
      </c>
      <c r="F338" s="33"/>
      <c r="G338" s="33" t="n">
        <f aca="false">F338-F337</f>
        <v>0</v>
      </c>
      <c r="H338" s="33"/>
      <c r="I338" s="33" t="n">
        <f aca="false">H338-H337</f>
        <v>0</v>
      </c>
      <c r="J338" s="1" t="s">
        <v>10</v>
      </c>
      <c r="K338" s="1" t="e">
        <f aca="false">SQRT(VAR($B$336:$B$366)/COUNT($B$336:$B$366))</f>
        <v>#DIV/0!</v>
      </c>
      <c r="L338" s="1" t="e">
        <f aca="false">SQRT(VAR($D$336:$D$366)/COUNT($D$336:$D$366))</f>
        <v>#DIV/0!</v>
      </c>
      <c r="M338" s="1" t="e">
        <f aca="false">SQRT(VAR($F$336:$F$366)/COUNT($F$336:$F$366))</f>
        <v>#DIV/0!</v>
      </c>
      <c r="N338" s="1" t="e">
        <f aca="false">SQRT(VAR($H$336:$H$366)/COUNT($H$336:$H$366))</f>
        <v>#DIV/0!</v>
      </c>
    </row>
    <row r="339" customFormat="false" ht="13.8" hidden="false" customHeight="false" outlineLevel="0" collapsed="false">
      <c r="A339" s="32" t="n">
        <v>46360</v>
      </c>
      <c r="B339" s="33"/>
      <c r="C339" s="33" t="n">
        <f aca="false">B339-B338</f>
        <v>0</v>
      </c>
      <c r="D339" s="33"/>
      <c r="E339" s="33" t="n">
        <f aca="false">D339-D338</f>
        <v>0</v>
      </c>
      <c r="F339" s="33"/>
      <c r="G339" s="33" t="n">
        <f aca="false">F339-F338</f>
        <v>0</v>
      </c>
      <c r="H339" s="33"/>
      <c r="I339" s="33" t="n">
        <f aca="false">H339-H338</f>
        <v>0</v>
      </c>
      <c r="J339" s="1" t="s">
        <v>14</v>
      </c>
      <c r="K339" s="1" t="e">
        <f aca="false">MODE($B$336:$B$366)</f>
        <v>#VALUE!</v>
      </c>
      <c r="L339" s="1" t="e">
        <f aca="false">MODE($D$336:$D$366)</f>
        <v>#VALUE!</v>
      </c>
      <c r="M339" s="1" t="e">
        <f aca="false">MODE($F$336:$F$366)</f>
        <v>#VALUE!</v>
      </c>
      <c r="N339" s="1" t="e">
        <f aca="false">MODE($H$336:$H$366)</f>
        <v>#VALUE!</v>
      </c>
    </row>
    <row r="340" customFormat="false" ht="13.8" hidden="false" customHeight="false" outlineLevel="0" collapsed="false">
      <c r="A340" s="32" t="n">
        <v>46361</v>
      </c>
      <c r="B340" s="33"/>
      <c r="C340" s="33" t="n">
        <f aca="false">B340-B339</f>
        <v>0</v>
      </c>
      <c r="D340" s="33"/>
      <c r="E340" s="33" t="n">
        <f aca="false">D340-D339</f>
        <v>0</v>
      </c>
      <c r="F340" s="33"/>
      <c r="G340" s="33" t="n">
        <f aca="false">F340-F339</f>
        <v>0</v>
      </c>
      <c r="H340" s="33"/>
      <c r="I340" s="33" t="n">
        <f aca="false">H340-H339</f>
        <v>0</v>
      </c>
      <c r="J340" s="1" t="s">
        <v>12</v>
      </c>
      <c r="K340" s="1" t="e">
        <f aca="false">MEDIAN($B$336:$B$366)</f>
        <v>#VALUE!</v>
      </c>
      <c r="L340" s="1" t="e">
        <f aca="false">MEDIAN($D$336:$D$366)</f>
        <v>#VALUE!</v>
      </c>
      <c r="M340" s="1" t="e">
        <f aca="false">MEDIAN($F$336:$F$366)</f>
        <v>#VALUE!</v>
      </c>
      <c r="N340" s="1" t="e">
        <f aca="false">MEDIAN($H$336:$H$366)</f>
        <v>#VALUE!</v>
      </c>
    </row>
    <row r="341" customFormat="false" ht="13.8" hidden="false" customHeight="false" outlineLevel="0" collapsed="false">
      <c r="A341" s="32" t="n">
        <v>46362</v>
      </c>
      <c r="B341" s="33"/>
      <c r="C341" s="33" t="n">
        <f aca="false">B341-B340</f>
        <v>0</v>
      </c>
      <c r="D341" s="33"/>
      <c r="E341" s="33" t="n">
        <f aca="false">D341-D340</f>
        <v>0</v>
      </c>
      <c r="F341" s="33"/>
      <c r="G341" s="33" t="n">
        <f aca="false">F341-F340</f>
        <v>0</v>
      </c>
      <c r="H341" s="33"/>
      <c r="I341" s="33" t="n">
        <f aca="false">H341-H340</f>
        <v>0</v>
      </c>
      <c r="J341" s="1" t="s">
        <v>195</v>
      </c>
      <c r="K341" s="1" t="e">
        <f aca="false">QUARTILE($B$336:$B$366, 1)</f>
        <v>#VALUE!</v>
      </c>
      <c r="L341" s="1" t="e">
        <f aca="false">QUARTILE($D$336:$D$366, 1)</f>
        <v>#VALUE!</v>
      </c>
      <c r="M341" s="1" t="e">
        <f aca="false">QUARTILE($F$336:$F$366, 1)</f>
        <v>#VALUE!</v>
      </c>
      <c r="N341" s="1" t="e">
        <f aca="false">QUARTILE($H$336:$H$366, 1)</f>
        <v>#VALUE!</v>
      </c>
    </row>
    <row r="342" customFormat="false" ht="13.8" hidden="false" customHeight="false" outlineLevel="0" collapsed="false">
      <c r="A342" s="32" t="n">
        <v>46363</v>
      </c>
      <c r="B342" s="33"/>
      <c r="C342" s="33" t="n">
        <f aca="false">B342-B341</f>
        <v>0</v>
      </c>
      <c r="D342" s="33"/>
      <c r="E342" s="33" t="n">
        <f aca="false">D342-D341</f>
        <v>0</v>
      </c>
      <c r="F342" s="33"/>
      <c r="G342" s="33" t="n">
        <f aca="false">F342-F341</f>
        <v>0</v>
      </c>
      <c r="H342" s="33"/>
      <c r="I342" s="33" t="n">
        <f aca="false">H342-H341</f>
        <v>0</v>
      </c>
      <c r="J342" s="1" t="s">
        <v>181</v>
      </c>
      <c r="K342" s="1" t="e">
        <f aca="false">QUARTILE($B$336:$B$366, 3)</f>
        <v>#VALUE!</v>
      </c>
      <c r="L342" s="1" t="e">
        <f aca="false">QUARTILE($D$336:$D$366, 3)</f>
        <v>#VALUE!</v>
      </c>
      <c r="M342" s="1" t="e">
        <f aca="false">QUARTILE($F$336:$F$366, 3)</f>
        <v>#VALUE!</v>
      </c>
      <c r="N342" s="1" t="e">
        <f aca="false">QUARTILE($H$336:$H$366, 3)</f>
        <v>#VALUE!</v>
      </c>
    </row>
    <row r="343" customFormat="false" ht="13.8" hidden="false" customHeight="false" outlineLevel="0" collapsed="false">
      <c r="A343" s="32" t="n">
        <v>46364</v>
      </c>
      <c r="B343" s="33"/>
      <c r="C343" s="33" t="n">
        <f aca="false">B343-B342</f>
        <v>0</v>
      </c>
      <c r="D343" s="33"/>
      <c r="E343" s="33" t="n">
        <f aca="false">D343-D342</f>
        <v>0</v>
      </c>
      <c r="F343" s="33"/>
      <c r="G343" s="33" t="n">
        <f aca="false">F343-F342</f>
        <v>0</v>
      </c>
      <c r="H343" s="33"/>
      <c r="I343" s="33" t="n">
        <f aca="false">H343-H342</f>
        <v>0</v>
      </c>
      <c r="J343" s="1" t="s">
        <v>182</v>
      </c>
      <c r="K343" s="1" t="e">
        <f aca="false">VAR($B$336:$B$366)</f>
        <v>#DIV/0!</v>
      </c>
      <c r="L343" s="1" t="e">
        <f aca="false">VAR($D$336:$D$366)</f>
        <v>#DIV/0!</v>
      </c>
      <c r="M343" s="1" t="e">
        <f aca="false">VAR($F$336:$F$366)</f>
        <v>#DIV/0!</v>
      </c>
      <c r="N343" s="1" t="e">
        <f aca="false">VAR($H$336:$H$366)</f>
        <v>#DIV/0!</v>
      </c>
    </row>
    <row r="344" customFormat="false" ht="13.8" hidden="false" customHeight="false" outlineLevel="0" collapsed="false">
      <c r="A344" s="32" t="n">
        <v>46365</v>
      </c>
      <c r="B344" s="33"/>
      <c r="C344" s="33" t="n">
        <f aca="false">B344-B343</f>
        <v>0</v>
      </c>
      <c r="D344" s="33"/>
      <c r="E344" s="33" t="n">
        <f aca="false">D344-D343</f>
        <v>0</v>
      </c>
      <c r="F344" s="33"/>
      <c r="G344" s="33" t="n">
        <f aca="false">F344-F343</f>
        <v>0</v>
      </c>
      <c r="H344" s="33"/>
      <c r="I344" s="33" t="n">
        <f aca="false">H344-H343</f>
        <v>0</v>
      </c>
      <c r="J344" s="1" t="s">
        <v>16</v>
      </c>
      <c r="K344" s="1" t="e">
        <f aca="false">STDEV($B$336:$B$366)</f>
        <v>#DIV/0!</v>
      </c>
      <c r="L344" s="1" t="e">
        <f aca="false">STDEV($D$336:$D$366)</f>
        <v>#DIV/0!</v>
      </c>
      <c r="M344" s="1" t="e">
        <f aca="false">STDEV($F$336:$F$366)</f>
        <v>#DIV/0!</v>
      </c>
      <c r="N344" s="1" t="e">
        <f aca="false">STDEV($H$336:$H$366)</f>
        <v>#DIV/0!</v>
      </c>
    </row>
    <row r="345" customFormat="false" ht="13.8" hidden="false" customHeight="false" outlineLevel="0" collapsed="false">
      <c r="A345" s="32" t="n">
        <v>46366</v>
      </c>
      <c r="B345" s="33"/>
      <c r="C345" s="33" t="n">
        <f aca="false">B345-B344</f>
        <v>0</v>
      </c>
      <c r="D345" s="33"/>
      <c r="E345" s="33" t="n">
        <f aca="false">D345-D344</f>
        <v>0</v>
      </c>
      <c r="F345" s="33"/>
      <c r="G345" s="33" t="n">
        <f aca="false">F345-F344</f>
        <v>0</v>
      </c>
      <c r="H345" s="33"/>
      <c r="I345" s="33" t="n">
        <f aca="false">H345-H344</f>
        <v>0</v>
      </c>
      <c r="J345" s="1" t="s">
        <v>20</v>
      </c>
      <c r="K345" s="1" t="e">
        <f aca="false">KURT($B$336:$B$366)</f>
        <v>#DIV/0!</v>
      </c>
      <c r="L345" s="1" t="e">
        <f aca="false">KURT($D$336:$D$366)</f>
        <v>#DIV/0!</v>
      </c>
      <c r="M345" s="1" t="e">
        <f aca="false">KURT($F$336:$F$366)</f>
        <v>#DIV/0!</v>
      </c>
      <c r="N345" s="1" t="e">
        <f aca="false">KURT($H$336:$H$366)</f>
        <v>#DIV/0!</v>
      </c>
    </row>
    <row r="346" customFormat="false" ht="13.8" hidden="false" customHeight="false" outlineLevel="0" collapsed="false">
      <c r="A346" s="32" t="n">
        <v>46367</v>
      </c>
      <c r="B346" s="33"/>
      <c r="C346" s="33" t="n">
        <f aca="false">B346-B345</f>
        <v>0</v>
      </c>
      <c r="D346" s="33"/>
      <c r="E346" s="33" t="n">
        <f aca="false">D346-D345</f>
        <v>0</v>
      </c>
      <c r="F346" s="33"/>
      <c r="G346" s="33" t="n">
        <f aca="false">F346-F345</f>
        <v>0</v>
      </c>
      <c r="H346" s="33"/>
      <c r="I346" s="33" t="n">
        <f aca="false">H346-H345</f>
        <v>0</v>
      </c>
      <c r="J346" s="1" t="s">
        <v>22</v>
      </c>
      <c r="K346" s="1" t="e">
        <f aca="false">SKEW($B$336:$B$366)</f>
        <v>#DIV/0!</v>
      </c>
      <c r="L346" s="1" t="e">
        <f aca="false">SKEW($D$336:$D$366)</f>
        <v>#DIV/0!</v>
      </c>
      <c r="M346" s="1" t="e">
        <f aca="false">SKEW($F$336:$F$366)</f>
        <v>#DIV/0!</v>
      </c>
      <c r="N346" s="1" t="e">
        <f aca="false">SKEW($H$336:$H$366)</f>
        <v>#DIV/0!</v>
      </c>
    </row>
    <row r="347" customFormat="false" ht="13.8" hidden="false" customHeight="false" outlineLevel="0" collapsed="false">
      <c r="A347" s="32" t="n">
        <v>46368</v>
      </c>
      <c r="B347" s="33"/>
      <c r="C347" s="33" t="n">
        <f aca="false">B347-B346</f>
        <v>0</v>
      </c>
      <c r="D347" s="33"/>
      <c r="E347" s="33" t="n">
        <f aca="false">D347-D346</f>
        <v>0</v>
      </c>
      <c r="F347" s="33"/>
      <c r="G347" s="33" t="n">
        <f aca="false">F347-F346</f>
        <v>0</v>
      </c>
      <c r="H347" s="33"/>
      <c r="I347" s="33" t="n">
        <f aca="false">H347-H346</f>
        <v>0</v>
      </c>
      <c r="J347" s="1" t="s">
        <v>24</v>
      </c>
      <c r="K347" s="1" t="n">
        <f aca="false">MAX($B$336:$B$366)-MIN($B$336:$B$366)</f>
        <v>0</v>
      </c>
      <c r="L347" s="1" t="n">
        <f aca="false">MAX($D$336:$D$366)-MIN($D$336:$D$366)</f>
        <v>0</v>
      </c>
      <c r="M347" s="1" t="n">
        <f aca="false">MAX($F$336:$F$366)-MIN($F$336:$F$366)</f>
        <v>0</v>
      </c>
      <c r="N347" s="1" t="n">
        <f aca="false">MAX($H$336:$H$366)-MIN($H$336:$H$366)</f>
        <v>0</v>
      </c>
    </row>
    <row r="348" customFormat="false" ht="13.8" hidden="false" customHeight="false" outlineLevel="0" collapsed="false">
      <c r="A348" s="32" t="n">
        <v>46369</v>
      </c>
      <c r="B348" s="33"/>
      <c r="C348" s="33" t="n">
        <f aca="false">B348-B347</f>
        <v>0</v>
      </c>
      <c r="D348" s="33"/>
      <c r="E348" s="33" t="n">
        <f aca="false">D348-D347</f>
        <v>0</v>
      </c>
      <c r="F348" s="33"/>
      <c r="G348" s="33" t="n">
        <f aca="false">F348-F347</f>
        <v>0</v>
      </c>
      <c r="H348" s="33"/>
      <c r="I348" s="33" t="n">
        <f aca="false">H348-H347</f>
        <v>0</v>
      </c>
      <c r="J348" s="1" t="s">
        <v>26</v>
      </c>
      <c r="K348" s="1" t="n">
        <f aca="false">MIN($B$336:$B$366)</f>
        <v>0</v>
      </c>
      <c r="L348" s="1" t="n">
        <f aca="false">MIN($D$336:$D$366)</f>
        <v>0</v>
      </c>
      <c r="M348" s="1" t="n">
        <f aca="false">MIN($F$336:$F$366)</f>
        <v>0</v>
      </c>
      <c r="N348" s="1" t="n">
        <f aca="false">MIN($H$336:$H$366)</f>
        <v>0</v>
      </c>
    </row>
    <row r="349" customFormat="false" ht="13.8" hidden="false" customHeight="false" outlineLevel="0" collapsed="false">
      <c r="A349" s="32" t="n">
        <v>46370</v>
      </c>
      <c r="B349" s="33"/>
      <c r="C349" s="33" t="n">
        <f aca="false">B349-B348</f>
        <v>0</v>
      </c>
      <c r="D349" s="33"/>
      <c r="E349" s="33" t="n">
        <f aca="false">D349-D348</f>
        <v>0</v>
      </c>
      <c r="F349" s="33"/>
      <c r="G349" s="33" t="n">
        <f aca="false">F349-F348</f>
        <v>0</v>
      </c>
      <c r="H349" s="33"/>
      <c r="I349" s="33" t="n">
        <f aca="false">H349-H348</f>
        <v>0</v>
      </c>
      <c r="J349" s="1" t="s">
        <v>28</v>
      </c>
      <c r="K349" s="1" t="n">
        <f aca="false">MAX($B$336:$B$366)</f>
        <v>0</v>
      </c>
      <c r="L349" s="1" t="n">
        <f aca="false">MAX($D$336:$D$366)</f>
        <v>0</v>
      </c>
      <c r="M349" s="1" t="n">
        <f aca="false">MAX($F$336:$F$366)</f>
        <v>0</v>
      </c>
      <c r="N349" s="1" t="n">
        <f aca="false">MAX($H$336:$H$366)</f>
        <v>0</v>
      </c>
    </row>
    <row r="350" customFormat="false" ht="13.8" hidden="false" customHeight="false" outlineLevel="0" collapsed="false">
      <c r="A350" s="32" t="n">
        <v>46371</v>
      </c>
      <c r="B350" s="33"/>
      <c r="C350" s="33" t="n">
        <f aca="false">B350-B349</f>
        <v>0</v>
      </c>
      <c r="D350" s="33"/>
      <c r="E350" s="33" t="n">
        <f aca="false">D350-D349</f>
        <v>0</v>
      </c>
      <c r="F350" s="33"/>
      <c r="G350" s="33" t="n">
        <f aca="false">F350-F349</f>
        <v>0</v>
      </c>
      <c r="H350" s="33"/>
      <c r="I350" s="33" t="n">
        <f aca="false">H350-H349</f>
        <v>0</v>
      </c>
      <c r="J350" s="1" t="s">
        <v>30</v>
      </c>
      <c r="K350" s="1" t="n">
        <f aca="false">SUM($B$336:$B$366)</f>
        <v>0</v>
      </c>
      <c r="L350" s="1" t="n">
        <f aca="false">SUM($D$336:$D$366)</f>
        <v>0</v>
      </c>
      <c r="M350" s="1" t="n">
        <f aca="false">SUM($F$336:$F$366)</f>
        <v>0</v>
      </c>
      <c r="N350" s="1" t="n">
        <f aca="false">SUM($H$336:$H$366)</f>
        <v>0</v>
      </c>
    </row>
    <row r="351" customFormat="false" ht="13.8" hidden="false" customHeight="false" outlineLevel="0" collapsed="false">
      <c r="A351" s="32" t="n">
        <v>46372</v>
      </c>
      <c r="B351" s="33"/>
      <c r="C351" s="33" t="n">
        <f aca="false">B351-B350</f>
        <v>0</v>
      </c>
      <c r="D351" s="33"/>
      <c r="E351" s="33" t="n">
        <f aca="false">D351-D350</f>
        <v>0</v>
      </c>
      <c r="F351" s="33"/>
      <c r="G351" s="33" t="n">
        <f aca="false">F351-F350</f>
        <v>0</v>
      </c>
      <c r="H351" s="33"/>
      <c r="I351" s="33" t="n">
        <f aca="false">H351-H350</f>
        <v>0</v>
      </c>
      <c r="J351" s="1" t="s">
        <v>32</v>
      </c>
      <c r="K351" s="1" t="n">
        <f aca="false">COUNT($B$336:$B$366)</f>
        <v>0</v>
      </c>
      <c r="L351" s="1" t="n">
        <f aca="false">COUNT($D$336:$D$366)</f>
        <v>0</v>
      </c>
      <c r="M351" s="1" t="n">
        <f aca="false">COUNT($F$336:$F$366)</f>
        <v>0</v>
      </c>
      <c r="N351" s="1" t="n">
        <f aca="false">COUNT($H$336:$H$366)</f>
        <v>0</v>
      </c>
    </row>
    <row r="352" customFormat="false" ht="13.8" hidden="false" customHeight="false" outlineLevel="0" collapsed="false">
      <c r="A352" s="32" t="n">
        <v>46373</v>
      </c>
      <c r="B352" s="33"/>
      <c r="C352" s="33" t="n">
        <f aca="false">B352-B351</f>
        <v>0</v>
      </c>
      <c r="D352" s="33"/>
      <c r="E352" s="33" t="n">
        <f aca="false">D352-D351</f>
        <v>0</v>
      </c>
      <c r="F352" s="33"/>
      <c r="G352" s="33" t="n">
        <f aca="false">F352-F351</f>
        <v>0</v>
      </c>
      <c r="H352" s="33"/>
      <c r="I352" s="33" t="n">
        <f aca="false">H352-H351</f>
        <v>0</v>
      </c>
    </row>
    <row r="353" customFormat="false" ht="13.8" hidden="false" customHeight="false" outlineLevel="0" collapsed="false">
      <c r="A353" s="32" t="n">
        <v>46374</v>
      </c>
      <c r="B353" s="33"/>
      <c r="C353" s="33" t="n">
        <f aca="false">B353-B352</f>
        <v>0</v>
      </c>
      <c r="D353" s="33"/>
      <c r="E353" s="33" t="n">
        <f aca="false">D353-D352</f>
        <v>0</v>
      </c>
      <c r="F353" s="33"/>
      <c r="G353" s="33" t="n">
        <f aca="false">F353-F352</f>
        <v>0</v>
      </c>
      <c r="H353" s="33"/>
      <c r="I353" s="33" t="n">
        <f aca="false">H353-H352</f>
        <v>0</v>
      </c>
    </row>
    <row r="354" customFormat="false" ht="13.8" hidden="false" customHeight="false" outlineLevel="0" collapsed="false">
      <c r="A354" s="32" t="n">
        <v>46375</v>
      </c>
      <c r="B354" s="33"/>
      <c r="C354" s="33" t="n">
        <f aca="false">B354-B353</f>
        <v>0</v>
      </c>
      <c r="D354" s="33"/>
      <c r="E354" s="33" t="n">
        <f aca="false">D354-D353</f>
        <v>0</v>
      </c>
      <c r="F354" s="33"/>
      <c r="G354" s="33" t="n">
        <f aca="false">F354-F353</f>
        <v>0</v>
      </c>
      <c r="H354" s="33"/>
      <c r="I354" s="33" t="n">
        <f aca="false">H354-H353</f>
        <v>0</v>
      </c>
    </row>
    <row r="355" customFormat="false" ht="13.8" hidden="false" customHeight="false" outlineLevel="0" collapsed="false">
      <c r="A355" s="32" t="n">
        <v>46376</v>
      </c>
      <c r="B355" s="33"/>
      <c r="C355" s="33" t="n">
        <f aca="false">B355-B354</f>
        <v>0</v>
      </c>
      <c r="D355" s="33"/>
      <c r="E355" s="33" t="n">
        <f aca="false">D355-D354</f>
        <v>0</v>
      </c>
      <c r="F355" s="33"/>
      <c r="G355" s="33" t="n">
        <f aca="false">F355-F354</f>
        <v>0</v>
      </c>
      <c r="H355" s="33"/>
      <c r="I355" s="33" t="n">
        <f aca="false">H355-H354</f>
        <v>0</v>
      </c>
    </row>
    <row r="356" customFormat="false" ht="13.8" hidden="false" customHeight="false" outlineLevel="0" collapsed="false">
      <c r="A356" s="32" t="n">
        <v>46377</v>
      </c>
      <c r="B356" s="33"/>
      <c r="C356" s="33" t="n">
        <f aca="false">B356-B355</f>
        <v>0</v>
      </c>
      <c r="D356" s="33"/>
      <c r="E356" s="33" t="n">
        <f aca="false">D356-D355</f>
        <v>0</v>
      </c>
      <c r="F356" s="33"/>
      <c r="G356" s="33" t="n">
        <f aca="false">F356-F355</f>
        <v>0</v>
      </c>
      <c r="H356" s="33"/>
      <c r="I356" s="33" t="n">
        <f aca="false">H356-H355</f>
        <v>0</v>
      </c>
    </row>
    <row r="357" customFormat="false" ht="13.8" hidden="false" customHeight="false" outlineLevel="0" collapsed="false">
      <c r="A357" s="32" t="n">
        <v>46378</v>
      </c>
      <c r="B357" s="33"/>
      <c r="C357" s="33" t="n">
        <f aca="false">B357-B356</f>
        <v>0</v>
      </c>
      <c r="D357" s="33"/>
      <c r="E357" s="33" t="n">
        <f aca="false">D357-D356</f>
        <v>0</v>
      </c>
      <c r="F357" s="33"/>
      <c r="G357" s="33" t="n">
        <f aca="false">F357-F356</f>
        <v>0</v>
      </c>
      <c r="H357" s="33"/>
      <c r="I357" s="33" t="n">
        <f aca="false">H357-H356</f>
        <v>0</v>
      </c>
    </row>
    <row r="358" customFormat="false" ht="13.8" hidden="false" customHeight="false" outlineLevel="0" collapsed="false">
      <c r="A358" s="32" t="n">
        <v>46379</v>
      </c>
      <c r="B358" s="33"/>
      <c r="C358" s="33" t="n">
        <f aca="false">B358-B357</f>
        <v>0</v>
      </c>
      <c r="D358" s="33"/>
      <c r="E358" s="33" t="n">
        <f aca="false">D358-D357</f>
        <v>0</v>
      </c>
      <c r="F358" s="33"/>
      <c r="G358" s="33" t="n">
        <f aca="false">F358-F357</f>
        <v>0</v>
      </c>
      <c r="H358" s="33"/>
      <c r="I358" s="33" t="n">
        <f aca="false">H358-H357</f>
        <v>0</v>
      </c>
    </row>
    <row r="359" customFormat="false" ht="13.8" hidden="false" customHeight="false" outlineLevel="0" collapsed="false">
      <c r="A359" s="32" t="n">
        <v>46380</v>
      </c>
      <c r="B359" s="33"/>
      <c r="C359" s="33" t="n">
        <f aca="false">B359-B358</f>
        <v>0</v>
      </c>
      <c r="D359" s="33"/>
      <c r="E359" s="33" t="n">
        <f aca="false">D359-D358</f>
        <v>0</v>
      </c>
      <c r="F359" s="33"/>
      <c r="G359" s="33" t="n">
        <f aca="false">F359-F358</f>
        <v>0</v>
      </c>
      <c r="H359" s="33"/>
      <c r="I359" s="33" t="n">
        <f aca="false">H359-H358</f>
        <v>0</v>
      </c>
    </row>
    <row r="360" customFormat="false" ht="13.8" hidden="false" customHeight="false" outlineLevel="0" collapsed="false">
      <c r="A360" s="32" t="n">
        <v>46381</v>
      </c>
      <c r="B360" s="33"/>
      <c r="C360" s="33" t="n">
        <f aca="false">B360-B359</f>
        <v>0</v>
      </c>
      <c r="D360" s="33"/>
      <c r="E360" s="33" t="n">
        <f aca="false">D360-D359</f>
        <v>0</v>
      </c>
      <c r="F360" s="33"/>
      <c r="G360" s="33" t="n">
        <f aca="false">F360-F359</f>
        <v>0</v>
      </c>
      <c r="H360" s="33"/>
      <c r="I360" s="33" t="n">
        <f aca="false">H360-H359</f>
        <v>0</v>
      </c>
    </row>
    <row r="361" customFormat="false" ht="13.8" hidden="false" customHeight="false" outlineLevel="0" collapsed="false">
      <c r="A361" s="32" t="n">
        <v>46382</v>
      </c>
      <c r="B361" s="33"/>
      <c r="C361" s="33" t="n">
        <f aca="false">B361-B360</f>
        <v>0</v>
      </c>
      <c r="D361" s="33"/>
      <c r="E361" s="33" t="n">
        <f aca="false">D361-D360</f>
        <v>0</v>
      </c>
      <c r="F361" s="33"/>
      <c r="G361" s="33" t="n">
        <f aca="false">F361-F360</f>
        <v>0</v>
      </c>
      <c r="H361" s="33"/>
      <c r="I361" s="33" t="n">
        <f aca="false">H361-H360</f>
        <v>0</v>
      </c>
    </row>
    <row r="362" customFormat="false" ht="13.8" hidden="false" customHeight="false" outlineLevel="0" collapsed="false">
      <c r="A362" s="32" t="n">
        <v>46383</v>
      </c>
      <c r="B362" s="33"/>
      <c r="C362" s="33" t="n">
        <f aca="false">B362-B361</f>
        <v>0</v>
      </c>
      <c r="D362" s="33"/>
      <c r="E362" s="33" t="n">
        <f aca="false">D362-D361</f>
        <v>0</v>
      </c>
      <c r="F362" s="33"/>
      <c r="G362" s="33" t="n">
        <f aca="false">F362-F361</f>
        <v>0</v>
      </c>
      <c r="H362" s="33"/>
      <c r="I362" s="33" t="n">
        <f aca="false">H362-H361</f>
        <v>0</v>
      </c>
    </row>
    <row r="363" customFormat="false" ht="13.8" hidden="false" customHeight="false" outlineLevel="0" collapsed="false">
      <c r="A363" s="32" t="n">
        <v>46384</v>
      </c>
      <c r="B363" s="33"/>
      <c r="C363" s="33" t="n">
        <f aca="false">B363-B362</f>
        <v>0</v>
      </c>
      <c r="D363" s="33"/>
      <c r="E363" s="33" t="n">
        <f aca="false">D363-D362</f>
        <v>0</v>
      </c>
      <c r="F363" s="33"/>
      <c r="G363" s="33" t="n">
        <f aca="false">F363-F362</f>
        <v>0</v>
      </c>
      <c r="H363" s="33"/>
      <c r="I363" s="33" t="n">
        <f aca="false">H363-H362</f>
        <v>0</v>
      </c>
    </row>
    <row r="364" customFormat="false" ht="13.8" hidden="false" customHeight="false" outlineLevel="0" collapsed="false">
      <c r="A364" s="32" t="n">
        <v>46385</v>
      </c>
      <c r="B364" s="33"/>
      <c r="C364" s="33" t="n">
        <f aca="false">B364-B363</f>
        <v>0</v>
      </c>
      <c r="D364" s="33"/>
      <c r="E364" s="33" t="n">
        <f aca="false">D364-D363</f>
        <v>0</v>
      </c>
      <c r="F364" s="33"/>
      <c r="G364" s="33" t="n">
        <f aca="false">F364-F363</f>
        <v>0</v>
      </c>
      <c r="H364" s="33"/>
      <c r="I364" s="33" t="n">
        <f aca="false">H364-H363</f>
        <v>0</v>
      </c>
    </row>
    <row r="365" customFormat="false" ht="13.8" hidden="false" customHeight="false" outlineLevel="0" collapsed="false">
      <c r="A365" s="32" t="n">
        <v>46386</v>
      </c>
      <c r="B365" s="33"/>
      <c r="C365" s="33" t="n">
        <f aca="false">B365-B364</f>
        <v>0</v>
      </c>
      <c r="D365" s="33"/>
      <c r="E365" s="33" t="n">
        <f aca="false">D365-D364</f>
        <v>0</v>
      </c>
      <c r="F365" s="33"/>
      <c r="G365" s="33" t="n">
        <f aca="false">F365-F364</f>
        <v>0</v>
      </c>
      <c r="H365" s="33"/>
      <c r="I365" s="33" t="n">
        <f aca="false">H365-H364</f>
        <v>0</v>
      </c>
    </row>
    <row r="366" customFormat="false" ht="13.8" hidden="false" customHeight="false" outlineLevel="0" collapsed="false">
      <c r="A366" s="32" t="n">
        <v>46387</v>
      </c>
      <c r="B366" s="33"/>
      <c r="C366" s="33" t="n">
        <f aca="false">B366-B365</f>
        <v>0</v>
      </c>
      <c r="D366" s="33"/>
      <c r="E366" s="33" t="n">
        <f aca="false">D366-D365</f>
        <v>0</v>
      </c>
      <c r="F366" s="33"/>
      <c r="G366" s="33" t="n">
        <f aca="false">F366-F365</f>
        <v>0</v>
      </c>
      <c r="H366" s="33"/>
      <c r="I366" s="33" t="n">
        <f aca="false">H366-H365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7"/>
  <sheetViews>
    <sheetView showFormulas="false" showGridLines="true" showRowColHeaders="true" showZeros="true" rightToLeft="false" tabSelected="false" showOutlineSymbols="true" defaultGridColor="true" view="normal" topLeftCell="A81" colorId="64" zoomScale="110" zoomScaleNormal="110" zoomScalePageLayoutView="100" workbookViewId="0">
      <selection pane="topLeft" activeCell="G92" activeCellId="0" sqref="G92"/>
    </sheetView>
  </sheetViews>
  <sheetFormatPr defaultColWidth="8.54296875" defaultRowHeight="14.4" customHeight="true" zeroHeight="false" outlineLevelRow="0" outlineLevelCol="0"/>
  <cols>
    <col collapsed="false" customWidth="true" hidden="false" outlineLevel="0" max="1" min="1" style="1" width="21"/>
    <col collapsed="false" customWidth="true" hidden="false" outlineLevel="0" max="2" min="2" style="1" width="12.33"/>
    <col collapsed="false" customWidth="true" hidden="false" outlineLevel="0" max="3" min="3" style="1" width="12.55"/>
    <col collapsed="false" customWidth="true" hidden="false" outlineLevel="0" max="4" min="4" style="1" width="15.11"/>
    <col collapsed="false" customWidth="true" hidden="false" outlineLevel="0" max="5" min="5" style="1" width="13"/>
    <col collapsed="false" customWidth="true" hidden="false" outlineLevel="0" max="6" min="6" style="1" width="13.55"/>
    <col collapsed="false" customWidth="true" hidden="false" outlineLevel="0" max="7" min="7" style="1" width="17.74"/>
    <col collapsed="false" customWidth="true" hidden="false" outlineLevel="0" max="8" min="8" style="1" width="16.11"/>
    <col collapsed="false" customWidth="true" hidden="false" outlineLevel="0" max="9" min="9" style="1" width="15.43"/>
    <col collapsed="false" customWidth="true" hidden="false" outlineLevel="0" max="10" min="10" style="1" width="18.34"/>
    <col collapsed="false" customWidth="true" hidden="false" outlineLevel="0" max="11" min="11" style="1" width="12.13"/>
    <col collapsed="false" customWidth="true" hidden="false" outlineLevel="0" max="12" min="12" style="1" width="18.34"/>
    <col collapsed="false" customWidth="true" hidden="false" outlineLevel="0" max="13" min="13" style="1" width="12.68"/>
    <col collapsed="false" customWidth="true" hidden="false" outlineLevel="0" max="14" min="14" style="1" width="9.81"/>
  </cols>
  <sheetData>
    <row r="1" customFormat="false" ht="14.4" hidden="false" customHeight="false" outlineLevel="0" collapsed="false">
      <c r="A1" s="5"/>
      <c r="B1" s="5" t="s">
        <v>196</v>
      </c>
      <c r="C1" s="5" t="s">
        <v>197</v>
      </c>
      <c r="D1" s="5"/>
      <c r="F1" s="5" t="s">
        <v>198</v>
      </c>
      <c r="G1" s="35" t="s">
        <v>199</v>
      </c>
      <c r="H1" s="1" t="s">
        <v>200</v>
      </c>
      <c r="I1" s="1" t="s">
        <v>201</v>
      </c>
      <c r="J1" s="36" t="s">
        <v>5</v>
      </c>
      <c r="K1" s="1" t="s">
        <v>41</v>
      </c>
      <c r="L1" s="1" t="s">
        <v>202</v>
      </c>
      <c r="M1" s="1" t="s">
        <v>106</v>
      </c>
      <c r="N1" s="1" t="s">
        <v>139</v>
      </c>
      <c r="O1" s="1" t="s">
        <v>171</v>
      </c>
    </row>
    <row r="2" customFormat="false" ht="14.4" hidden="false" customHeight="false" outlineLevel="0" collapsed="false">
      <c r="A2" s="6" t="s">
        <v>8</v>
      </c>
      <c r="B2" s="6" t="n">
        <v>7567.54838709677</v>
      </c>
      <c r="C2" s="6" t="n">
        <v>10667.6071428571</v>
      </c>
      <c r="D2" s="6"/>
      <c r="E2" s="24" t="s">
        <v>8</v>
      </c>
      <c r="F2" s="24" t="n">
        <v>11326.6451612903</v>
      </c>
      <c r="G2" s="5" t="n">
        <v>10432.9333333333</v>
      </c>
      <c r="H2" s="24" t="n">
        <v>12989.8709677419</v>
      </c>
      <c r="I2" s="24" t="n">
        <v>11234.4</v>
      </c>
      <c r="J2" s="1" t="n">
        <v>10631.0322580645</v>
      </c>
      <c r="K2" s="24" t="n">
        <v>14307</v>
      </c>
      <c r="L2" s="24" t="n">
        <v>12584.7586206897</v>
      </c>
      <c r="M2" s="24" t="n">
        <v>11097.0666666667</v>
      </c>
      <c r="N2" s="37" t="n">
        <v>11711.1</v>
      </c>
      <c r="O2" s="38" t="n">
        <v>8297.86666666667</v>
      </c>
    </row>
    <row r="3" customFormat="false" ht="14.4" hidden="false" customHeight="false" outlineLevel="0" collapsed="false">
      <c r="A3" s="6" t="s">
        <v>10</v>
      </c>
      <c r="B3" s="6" t="n">
        <v>765.367042229125</v>
      </c>
      <c r="C3" s="6" t="n">
        <v>748.663914571977</v>
      </c>
      <c r="D3" s="6"/>
      <c r="E3" s="24" t="s">
        <v>10</v>
      </c>
      <c r="F3" s="24" t="n">
        <v>1031.85830438055</v>
      </c>
      <c r="G3" s="6" t="n">
        <v>1043.96140538753</v>
      </c>
      <c r="H3" s="24" t="n">
        <v>1084.8277369241</v>
      </c>
      <c r="I3" s="24" t="n">
        <v>843.683201153161</v>
      </c>
      <c r="J3" s="24" t="n">
        <v>838.443725368898</v>
      </c>
      <c r="K3" s="24" t="n">
        <v>1471.34668180702</v>
      </c>
      <c r="L3" s="24" t="n">
        <v>1184.28681814144</v>
      </c>
      <c r="M3" s="24" t="n">
        <v>1201.70716299516</v>
      </c>
      <c r="N3" s="39" t="n">
        <v>1155.38769862671</v>
      </c>
      <c r="O3" s="40" t="n">
        <v>953.868285002756</v>
      </c>
    </row>
    <row r="4" customFormat="false" ht="14.4" hidden="false" customHeight="false" outlineLevel="0" collapsed="false">
      <c r="A4" s="6" t="s">
        <v>12</v>
      </c>
      <c r="B4" s="6" t="n">
        <v>7653</v>
      </c>
      <c r="C4" s="6" t="n">
        <v>10971</v>
      </c>
      <c r="D4" s="6"/>
      <c r="E4" s="24" t="s">
        <v>14</v>
      </c>
      <c r="F4" s="24" t="n">
        <v>0</v>
      </c>
      <c r="G4" s="6" t="n">
        <v>0</v>
      </c>
      <c r="H4" s="24" t="e">
        <f aca="false">#ERR520!</f>
        <v>#N/A</v>
      </c>
      <c r="I4" s="24" t="e">
        <f aca="false">#ERR520!</f>
        <v>#N/A</v>
      </c>
      <c r="J4" s="24" t="e">
        <f aca="false">#ERR520!</f>
        <v>#N/A</v>
      </c>
      <c r="K4" s="24" t="e">
        <f aca="false">#ERR520!</f>
        <v>#N/A</v>
      </c>
      <c r="L4" s="24" t="e">
        <f aca="false">#ERR520!</f>
        <v>#N/A</v>
      </c>
      <c r="M4" s="24" t="e">
        <f aca="false">#ERR520!</f>
        <v>#N/A</v>
      </c>
      <c r="N4" s="39" t="e">
        <f aca="false">#ERR520!</f>
        <v>#N/A</v>
      </c>
      <c r="O4" s="40" t="e">
        <f aca="false">#ERR520!</f>
        <v>#N/A</v>
      </c>
    </row>
    <row r="5" customFormat="false" ht="14.4" hidden="false" customHeight="false" outlineLevel="0" collapsed="false">
      <c r="A5" s="6" t="s">
        <v>14</v>
      </c>
      <c r="B5" s="6" t="e">
        <f aca="false">#N/A</f>
        <v>#N/A</v>
      </c>
      <c r="C5" s="6" t="e">
        <f aca="false">#N/A</f>
        <v>#N/A</v>
      </c>
      <c r="D5" s="6"/>
      <c r="E5" s="24" t="s">
        <v>12</v>
      </c>
      <c r="F5" s="24" t="n">
        <v>11589</v>
      </c>
      <c r="G5" s="6" t="n">
        <v>10844</v>
      </c>
      <c r="H5" s="24" t="n">
        <v>11927</v>
      </c>
      <c r="I5" s="24" t="n">
        <v>11374.5</v>
      </c>
      <c r="J5" s="24" t="n">
        <v>10545</v>
      </c>
      <c r="K5" s="24" t="n">
        <v>12078</v>
      </c>
      <c r="L5" s="24" t="n">
        <v>12438</v>
      </c>
      <c r="M5" s="24" t="n">
        <v>11700</v>
      </c>
      <c r="N5" s="39" t="n">
        <v>10831</v>
      </c>
      <c r="O5" s="40" t="n">
        <v>8171.5</v>
      </c>
    </row>
    <row r="6" customFormat="false" ht="14.4" hidden="false" customHeight="false" outlineLevel="0" collapsed="false">
      <c r="A6" s="6" t="s">
        <v>16</v>
      </c>
      <c r="B6" s="6" t="n">
        <v>4261.38334220794</v>
      </c>
      <c r="C6" s="6" t="n">
        <v>3961.55706705112</v>
      </c>
      <c r="D6" s="6"/>
      <c r="E6" s="24" t="s">
        <v>180</v>
      </c>
      <c r="F6" s="24" t="n">
        <v>7346</v>
      </c>
      <c r="G6" s="6" t="n">
        <v>6686</v>
      </c>
      <c r="H6" s="24" t="n">
        <v>9305.5</v>
      </c>
      <c r="I6" s="24" t="n">
        <v>7521.25</v>
      </c>
      <c r="J6" s="24" t="n">
        <v>8685.5</v>
      </c>
      <c r="K6" s="24" t="n">
        <v>9989</v>
      </c>
      <c r="L6" s="24" t="n">
        <v>8432</v>
      </c>
      <c r="M6" s="24" t="n">
        <v>4986.75</v>
      </c>
      <c r="N6" s="39" t="n">
        <v>9032.25</v>
      </c>
      <c r="O6" s="40" t="n">
        <v>4481.5</v>
      </c>
    </row>
    <row r="7" customFormat="false" ht="14.4" hidden="false" customHeight="false" outlineLevel="0" collapsed="false">
      <c r="A7" s="6" t="s">
        <v>18</v>
      </c>
      <c r="B7" s="6" t="n">
        <v>18159387.9892473</v>
      </c>
      <c r="C7" s="6" t="n">
        <v>15693934.3955026</v>
      </c>
      <c r="D7" s="6"/>
      <c r="E7" s="24" t="s">
        <v>181</v>
      </c>
      <c r="F7" s="24" t="n">
        <v>15176</v>
      </c>
      <c r="G7" s="6" t="n">
        <v>14199.5</v>
      </c>
      <c r="H7" s="24" t="n">
        <v>15551</v>
      </c>
      <c r="I7" s="24" t="n">
        <v>13894.5</v>
      </c>
      <c r="J7" s="24" t="n">
        <v>12742.5</v>
      </c>
      <c r="K7" s="24" t="n">
        <v>17347</v>
      </c>
      <c r="L7" s="24" t="n">
        <v>17155</v>
      </c>
      <c r="M7" s="24" t="n">
        <v>15374</v>
      </c>
      <c r="N7" s="39" t="n">
        <v>13939.5</v>
      </c>
      <c r="O7" s="40" t="n">
        <v>12957.25</v>
      </c>
    </row>
    <row r="8" customFormat="false" ht="14.4" hidden="false" customHeight="false" outlineLevel="0" collapsed="false">
      <c r="A8" s="6" t="s">
        <v>20</v>
      </c>
      <c r="B8" s="6" t="n">
        <v>-0.351988528587885</v>
      </c>
      <c r="C8" s="6" t="n">
        <v>0.0619985429793024</v>
      </c>
      <c r="D8" s="6"/>
      <c r="E8" s="24" t="s">
        <v>182</v>
      </c>
      <c r="F8" s="24" t="n">
        <v>33006678.3698925</v>
      </c>
      <c r="G8" s="6" t="n">
        <v>32695662.4781609</v>
      </c>
      <c r="H8" s="24" t="n">
        <v>36482387.7827957</v>
      </c>
      <c r="I8" s="24" t="n">
        <v>21354040.3172414</v>
      </c>
      <c r="J8" s="24" t="n">
        <v>21792624.2989247</v>
      </c>
      <c r="K8" s="24" t="n">
        <v>67110692.8</v>
      </c>
      <c r="L8" s="24" t="n">
        <v>40673522.7610837</v>
      </c>
      <c r="M8" s="24" t="n">
        <v>43323003.1678161</v>
      </c>
      <c r="N8" s="39" t="n">
        <v>40047622.0241379</v>
      </c>
      <c r="O8" s="40" t="n">
        <v>27295941.154023</v>
      </c>
    </row>
    <row r="9" customFormat="false" ht="14.4" hidden="false" customHeight="false" outlineLevel="0" collapsed="false">
      <c r="A9" s="6" t="s">
        <v>22</v>
      </c>
      <c r="B9" s="6" t="n">
        <v>0.0654054860979386</v>
      </c>
      <c r="C9" s="6" t="n">
        <v>-0.530059995160428</v>
      </c>
      <c r="D9" s="6"/>
      <c r="E9" s="24" t="s">
        <v>16</v>
      </c>
      <c r="F9" s="24" t="n">
        <v>5745.14389462026</v>
      </c>
      <c r="G9" s="6" t="n">
        <v>5718.01210895543</v>
      </c>
      <c r="H9" s="24" t="n">
        <v>6040.06521345554</v>
      </c>
      <c r="I9" s="24" t="n">
        <v>4621.04320659755</v>
      </c>
      <c r="J9" s="24" t="n">
        <v>4668.25709434739</v>
      </c>
      <c r="K9" s="24" t="n">
        <v>8192.11162033331</v>
      </c>
      <c r="L9" s="24" t="n">
        <v>6377.57969460859</v>
      </c>
      <c r="M9" s="24" t="n">
        <v>6582.02120687985</v>
      </c>
      <c r="N9" s="39" t="n">
        <v>6328.31905201831</v>
      </c>
      <c r="O9" s="40" t="n">
        <v>5224.55176584776</v>
      </c>
    </row>
    <row r="10" customFormat="false" ht="14.4" hidden="false" customHeight="false" outlineLevel="0" collapsed="false">
      <c r="A10" s="6" t="s">
        <v>24</v>
      </c>
      <c r="B10" s="6" t="n">
        <v>15853</v>
      </c>
      <c r="C10" s="6" t="n">
        <v>15790</v>
      </c>
      <c r="D10" s="6"/>
      <c r="E10" s="24" t="s">
        <v>20</v>
      </c>
      <c r="F10" s="24" t="n">
        <v>-0.253729642272646</v>
      </c>
      <c r="G10" s="6" t="n">
        <v>-0.12355831265479</v>
      </c>
      <c r="H10" s="24" t="n">
        <v>2.36434216145188</v>
      </c>
      <c r="I10" s="24" t="n">
        <v>0.355850380866837</v>
      </c>
      <c r="J10" s="24" t="n">
        <v>0.61447992272766</v>
      </c>
      <c r="K10" s="24" t="n">
        <v>1.13057424267431</v>
      </c>
      <c r="L10" s="24" t="n">
        <v>-0.60862227427864</v>
      </c>
      <c r="M10" s="24" t="n">
        <v>1.13117127343992</v>
      </c>
      <c r="N10" s="39" t="n">
        <v>3.87732825772675</v>
      </c>
      <c r="O10" s="40" t="n">
        <v>-1.1469466333491</v>
      </c>
    </row>
    <row r="11" customFormat="false" ht="14.4" hidden="false" customHeight="false" outlineLevel="0" collapsed="false">
      <c r="A11" s="6" t="s">
        <v>26</v>
      </c>
      <c r="B11" s="6" t="n">
        <v>244</v>
      </c>
      <c r="C11" s="6" t="n">
        <v>540</v>
      </c>
      <c r="D11" s="6"/>
      <c r="E11" s="24" t="s">
        <v>22</v>
      </c>
      <c r="F11" s="24" t="n">
        <v>-0.227487736383804</v>
      </c>
      <c r="G11" s="6" t="n">
        <v>0.212048136843016</v>
      </c>
      <c r="H11" s="24" t="n">
        <v>1.05425784774959</v>
      </c>
      <c r="I11" s="24" t="n">
        <v>0.696707588718645</v>
      </c>
      <c r="J11" s="24" t="n">
        <v>-0.242991048523589</v>
      </c>
      <c r="K11" s="24" t="n">
        <v>1.17396087203414</v>
      </c>
      <c r="L11" s="24" t="n">
        <v>0.0940289605040497</v>
      </c>
      <c r="M11" s="24" t="n">
        <v>0.729361403911826</v>
      </c>
      <c r="N11" s="39" t="n">
        <v>1.43554214134929</v>
      </c>
      <c r="O11" s="40" t="n">
        <v>-0.0410377433934964</v>
      </c>
    </row>
    <row r="12" customFormat="false" ht="14.4" hidden="false" customHeight="false" outlineLevel="0" collapsed="false">
      <c r="A12" s="6" t="s">
        <v>28</v>
      </c>
      <c r="B12" s="6" t="n">
        <v>16097</v>
      </c>
      <c r="C12" s="6" t="n">
        <v>16330</v>
      </c>
      <c r="D12" s="6"/>
      <c r="E12" s="24" t="s">
        <v>24</v>
      </c>
      <c r="F12" s="24" t="n">
        <v>22060</v>
      </c>
      <c r="G12" s="6" t="n">
        <v>22595</v>
      </c>
      <c r="H12" s="24" t="n">
        <v>30273</v>
      </c>
      <c r="I12" s="24" t="n">
        <v>19285</v>
      </c>
      <c r="J12" s="24" t="n">
        <v>19827</v>
      </c>
      <c r="K12" s="24" t="n">
        <v>33868</v>
      </c>
      <c r="L12" s="24" t="n">
        <v>24985</v>
      </c>
      <c r="M12" s="24" t="n">
        <v>30122</v>
      </c>
      <c r="N12" s="39" t="n">
        <v>31472</v>
      </c>
      <c r="O12" s="40" t="n">
        <v>17392</v>
      </c>
    </row>
    <row r="13" customFormat="false" ht="14.4" hidden="false" customHeight="false" outlineLevel="0" collapsed="false">
      <c r="A13" s="6" t="s">
        <v>30</v>
      </c>
      <c r="B13" s="6" t="n">
        <v>234594</v>
      </c>
      <c r="C13" s="6" t="n">
        <v>298693</v>
      </c>
      <c r="D13" s="6"/>
      <c r="E13" s="24" t="s">
        <v>26</v>
      </c>
      <c r="F13" s="24" t="n">
        <v>0</v>
      </c>
      <c r="G13" s="6" t="n">
        <v>0</v>
      </c>
      <c r="H13" s="24" t="n">
        <v>1851</v>
      </c>
      <c r="I13" s="24" t="n">
        <v>3789</v>
      </c>
      <c r="J13" s="24" t="n">
        <v>0</v>
      </c>
      <c r="K13" s="24" t="n">
        <v>2106</v>
      </c>
      <c r="L13" s="24" t="n">
        <v>1542</v>
      </c>
      <c r="M13" s="24" t="n">
        <v>731</v>
      </c>
      <c r="N13" s="39" t="n">
        <v>2179</v>
      </c>
      <c r="O13" s="40" t="n">
        <v>42</v>
      </c>
    </row>
    <row r="14" customFormat="false" ht="14.4" hidden="false" customHeight="false" outlineLevel="0" collapsed="false">
      <c r="A14" s="6" t="s">
        <v>32</v>
      </c>
      <c r="B14" s="6" t="n">
        <v>31</v>
      </c>
      <c r="C14" s="6" t="n">
        <v>28</v>
      </c>
      <c r="D14" s="6"/>
      <c r="E14" s="24" t="s">
        <v>28</v>
      </c>
      <c r="F14" s="24" t="n">
        <v>22060</v>
      </c>
      <c r="G14" s="6" t="n">
        <v>22595</v>
      </c>
      <c r="H14" s="24" t="n">
        <v>32124</v>
      </c>
      <c r="I14" s="24" t="n">
        <v>23074</v>
      </c>
      <c r="J14" s="24" t="n">
        <v>19827</v>
      </c>
      <c r="K14" s="24" t="n">
        <v>35974</v>
      </c>
      <c r="L14" s="24" t="n">
        <v>26527</v>
      </c>
      <c r="M14" s="24" t="n">
        <v>30853</v>
      </c>
      <c r="N14" s="39" t="n">
        <v>33651</v>
      </c>
      <c r="O14" s="40" t="n">
        <v>17434</v>
      </c>
    </row>
    <row r="15" customFormat="false" ht="14.4" hidden="false" customHeight="false" outlineLevel="0" collapsed="false">
      <c r="A15" s="6" t="s">
        <v>34</v>
      </c>
      <c r="B15" s="6" t="n">
        <v>16097</v>
      </c>
      <c r="C15" s="6" t="n">
        <v>16330</v>
      </c>
      <c r="D15" s="6"/>
      <c r="E15" s="24" t="s">
        <v>30</v>
      </c>
      <c r="F15" s="24" t="n">
        <v>351126</v>
      </c>
      <c r="G15" s="6" t="n">
        <v>312988</v>
      </c>
      <c r="H15" s="24" t="n">
        <v>402686</v>
      </c>
      <c r="I15" s="24" t="n">
        <v>337032</v>
      </c>
      <c r="J15" s="24" t="n">
        <v>329562</v>
      </c>
      <c r="K15" s="24" t="n">
        <v>443517</v>
      </c>
      <c r="L15" s="24" t="n">
        <v>364958</v>
      </c>
      <c r="M15" s="24" t="n">
        <v>332912</v>
      </c>
      <c r="N15" s="39" t="n">
        <v>351333</v>
      </c>
      <c r="O15" s="40" t="n">
        <v>248936</v>
      </c>
    </row>
    <row r="16" customFormat="false" ht="14.4" hidden="false" customHeight="false" outlineLevel="0" collapsed="false">
      <c r="A16" s="6" t="s">
        <v>36</v>
      </c>
      <c r="B16" s="6" t="n">
        <v>244</v>
      </c>
      <c r="C16" s="6" t="n">
        <v>540</v>
      </c>
      <c r="D16" s="6"/>
      <c r="E16" s="24" t="s">
        <v>32</v>
      </c>
      <c r="F16" s="24" t="n">
        <v>31</v>
      </c>
      <c r="G16" s="6" t="n">
        <v>30</v>
      </c>
      <c r="H16" s="24" t="n">
        <v>31</v>
      </c>
      <c r="I16" s="24" t="n">
        <v>30</v>
      </c>
      <c r="J16" s="24" t="n">
        <v>31</v>
      </c>
      <c r="K16" s="24" t="n">
        <v>31</v>
      </c>
      <c r="L16" s="24" t="n">
        <v>29</v>
      </c>
      <c r="M16" s="24" t="n">
        <v>30</v>
      </c>
      <c r="N16" s="41" t="n">
        <v>30</v>
      </c>
      <c r="O16" s="42" t="n">
        <v>30</v>
      </c>
    </row>
    <row r="17" customFormat="false" ht="14.4" hidden="false" customHeight="false" outlineLevel="0" collapsed="false">
      <c r="A17" s="6" t="s">
        <v>38</v>
      </c>
      <c r="B17" s="6" t="n">
        <v>1563.08802930529</v>
      </c>
      <c r="C17" s="6" t="n">
        <v>1536.13146650637</v>
      </c>
      <c r="D17" s="6"/>
      <c r="E17" s="24"/>
      <c r="F17" s="24"/>
      <c r="G17" s="6"/>
      <c r="H17" s="24"/>
      <c r="J17" s="24"/>
    </row>
    <row r="18" customFormat="false" ht="14.4" hidden="false" customHeight="false" outlineLevel="0" collapsed="false">
      <c r="G18" s="6"/>
      <c r="J18" s="43"/>
      <c r="M18" s="43"/>
      <c r="O18" s="44"/>
      <c r="P18" s="44"/>
    </row>
    <row r="19" customFormat="false" ht="14.4" hidden="false" customHeight="false" outlineLevel="0" collapsed="false">
      <c r="A19" s="6"/>
      <c r="B19" s="5" t="s">
        <v>5</v>
      </c>
      <c r="C19" s="6" t="s">
        <v>41</v>
      </c>
      <c r="D19" s="6" t="s">
        <v>202</v>
      </c>
      <c r="E19" s="6" t="s">
        <v>106</v>
      </c>
      <c r="F19" s="6" t="s">
        <v>139</v>
      </c>
      <c r="G19" s="45" t="s">
        <v>171</v>
      </c>
      <c r="H19" s="6" t="s">
        <v>196</v>
      </c>
      <c r="I19" s="45" t="s">
        <v>197</v>
      </c>
      <c r="J19" s="45" t="s">
        <v>198</v>
      </c>
      <c r="K19" s="45" t="s">
        <v>199</v>
      </c>
      <c r="L19" s="6" t="s">
        <v>200</v>
      </c>
      <c r="M19" s="6" t="s">
        <v>201</v>
      </c>
      <c r="N19" s="6" t="s">
        <v>5</v>
      </c>
      <c r="O19" s="6" t="s">
        <v>41</v>
      </c>
      <c r="P19" s="5" t="s">
        <v>202</v>
      </c>
      <c r="Q19" s="6" t="s">
        <v>106</v>
      </c>
      <c r="R19" s="6" t="s">
        <v>139</v>
      </c>
      <c r="S19" s="6" t="s">
        <v>171</v>
      </c>
    </row>
    <row r="20" customFormat="false" ht="14.4" hidden="false" customHeight="false" outlineLevel="0" collapsed="false">
      <c r="A20" s="6" t="s">
        <v>8</v>
      </c>
      <c r="B20" s="24" t="n">
        <v>2823.63157894737</v>
      </c>
      <c r="C20" s="24" t="n">
        <v>3571.58064516129</v>
      </c>
      <c r="D20" s="24" t="n">
        <v>5086.26666666667</v>
      </c>
      <c r="E20" s="24" t="n">
        <v>4245.29032258064</v>
      </c>
      <c r="F20" s="24" t="n">
        <v>6358.9</v>
      </c>
      <c r="G20" s="46" t="n">
        <v>7513.67741935484</v>
      </c>
      <c r="H20" s="6" t="n">
        <v>8247.90322580645</v>
      </c>
      <c r="I20" s="45" t="n">
        <v>9305.18518518518</v>
      </c>
      <c r="J20" s="45" t="n">
        <v>11413.8333333333</v>
      </c>
      <c r="K20" s="45" t="n">
        <v>10963.9666666667</v>
      </c>
      <c r="L20" s="6" t="n">
        <v>10279.4666666667</v>
      </c>
      <c r="M20" s="6" t="n">
        <v>9182.4</v>
      </c>
      <c r="N20" s="6" t="n">
        <v>7279.32258064516</v>
      </c>
      <c r="O20" s="6" t="n">
        <v>11522.5666666667</v>
      </c>
      <c r="P20" s="6" t="n">
        <v>11100.8275862069</v>
      </c>
      <c r="Q20" s="6" t="n">
        <v>8409.5</v>
      </c>
      <c r="R20" s="6" t="n">
        <v>10771.5517241379</v>
      </c>
      <c r="S20" s="6" t="n">
        <v>8819.03333333333</v>
      </c>
    </row>
    <row r="21" customFormat="false" ht="14.4" hidden="false" customHeight="false" outlineLevel="0" collapsed="false">
      <c r="A21" s="6" t="s">
        <v>10</v>
      </c>
      <c r="B21" s="24" t="n">
        <v>822.121386615482</v>
      </c>
      <c r="C21" s="24" t="n">
        <v>970.174438116471</v>
      </c>
      <c r="D21" s="24" t="n">
        <v>949.6099730922</v>
      </c>
      <c r="E21" s="24" t="n">
        <v>786.414124116411</v>
      </c>
      <c r="F21" s="24" t="n">
        <v>1180.56550773177</v>
      </c>
      <c r="G21" s="46" t="n">
        <v>1028.94817302328</v>
      </c>
      <c r="H21" s="6" t="n">
        <v>800.649751401328</v>
      </c>
      <c r="I21" s="45" t="n">
        <v>643.091210442829</v>
      </c>
      <c r="J21" s="45" t="n">
        <v>1130.7368913381</v>
      </c>
      <c r="K21" s="45" t="n">
        <v>693.097442989748</v>
      </c>
      <c r="L21" s="6" t="n">
        <v>1039.39670580133</v>
      </c>
      <c r="M21" s="6" t="n">
        <v>1235.84351071991</v>
      </c>
      <c r="N21" s="6" t="n">
        <v>763.955643011019</v>
      </c>
      <c r="O21" s="6" t="n">
        <v>802.376418218663</v>
      </c>
      <c r="P21" s="6" t="n">
        <v>771.777575332187</v>
      </c>
      <c r="Q21" s="6" t="n">
        <v>886.827048086824</v>
      </c>
      <c r="R21" s="6" t="n">
        <v>870.589641624547</v>
      </c>
      <c r="S21" s="6" t="n">
        <v>679.111179568235</v>
      </c>
    </row>
    <row r="22" customFormat="false" ht="14.4" hidden="false" customHeight="false" outlineLevel="0" collapsed="false">
      <c r="A22" s="6" t="s">
        <v>12</v>
      </c>
      <c r="B22" s="24" t="n">
        <v>1968</v>
      </c>
      <c r="C22" s="24" t="n">
        <v>1475</v>
      </c>
      <c r="D22" s="24" t="n">
        <v>3731</v>
      </c>
      <c r="E22" s="24" t="n">
        <v>4724</v>
      </c>
      <c r="F22" s="24" t="n">
        <v>5180.5</v>
      </c>
      <c r="G22" s="46" t="n">
        <v>6477</v>
      </c>
      <c r="H22" s="6" t="n">
        <v>7292</v>
      </c>
      <c r="I22" s="45" t="n">
        <v>9669</v>
      </c>
      <c r="J22" s="45" t="n">
        <v>11942.5</v>
      </c>
      <c r="K22" s="45" t="n">
        <v>10595</v>
      </c>
      <c r="L22" s="6" t="n">
        <v>10069</v>
      </c>
      <c r="M22" s="6" t="n">
        <v>7921.5</v>
      </c>
      <c r="N22" s="6" t="n">
        <v>7509</v>
      </c>
      <c r="O22" s="6" t="n">
        <v>11650</v>
      </c>
      <c r="P22" s="6" t="n">
        <v>10551</v>
      </c>
      <c r="Q22" s="6" t="n">
        <v>9089</v>
      </c>
      <c r="R22" s="6" t="n">
        <v>10622</v>
      </c>
      <c r="S22" s="6" t="n">
        <v>9415</v>
      </c>
    </row>
    <row r="23" customFormat="false" ht="14.4" hidden="false" customHeight="false" outlineLevel="0" collapsed="false">
      <c r="A23" s="6" t="s">
        <v>14</v>
      </c>
      <c r="B23" s="24" t="e">
        <f aca="false">#N/A</f>
        <v>#N/A</v>
      </c>
      <c r="C23" s="24" t="n">
        <v>0</v>
      </c>
      <c r="D23" s="24" t="n">
        <v>0</v>
      </c>
      <c r="E23" s="24" t="n">
        <v>0</v>
      </c>
      <c r="F23" s="24" t="n">
        <v>0</v>
      </c>
      <c r="G23" s="46" t="n">
        <v>0</v>
      </c>
      <c r="H23" s="6" t="e">
        <f aca="false">#N/A</f>
        <v>#N/A</v>
      </c>
      <c r="I23" s="45" t="e">
        <f aca="false">#N/A</f>
        <v>#N/A</v>
      </c>
      <c r="J23" s="45" t="e">
        <f aca="false">#N/A</f>
        <v>#N/A</v>
      </c>
      <c r="K23" s="45" t="e">
        <f aca="false">#N/A</f>
        <v>#N/A</v>
      </c>
      <c r="L23" s="6" t="e">
        <f aca="false">#N/A</f>
        <v>#N/A</v>
      </c>
      <c r="M23" s="6" t="e">
        <f aca="false">#N/A</f>
        <v>#N/A</v>
      </c>
      <c r="N23" s="6" t="e">
        <f aca="false">#N/A</f>
        <v>#N/A</v>
      </c>
      <c r="O23" s="6" t="e">
        <f aca="false">#N/A</f>
        <v>#N/A</v>
      </c>
      <c r="P23" s="6" t="n">
        <v>9348</v>
      </c>
      <c r="Q23" s="6" t="e">
        <f aca="false">#N/A</f>
        <v>#N/A</v>
      </c>
      <c r="R23" s="6" t="e">
        <f aca="false">#N/A</f>
        <v>#N/A</v>
      </c>
      <c r="S23" s="6" t="e">
        <f aca="false">#N/A</f>
        <v>#N/A</v>
      </c>
    </row>
    <row r="24" customFormat="false" ht="14.4" hidden="false" customHeight="false" outlineLevel="0" collapsed="false">
      <c r="A24" s="6" t="s">
        <v>16</v>
      </c>
      <c r="B24" s="24" t="n">
        <v>3583.54404358042</v>
      </c>
      <c r="C24" s="24" t="n">
        <v>5401.70266227353</v>
      </c>
      <c r="D24" s="24" t="n">
        <v>5201.22803094472</v>
      </c>
      <c r="E24" s="24" t="n">
        <v>4378.56853468154</v>
      </c>
      <c r="F24" s="24" t="n">
        <v>6466.22359197231</v>
      </c>
      <c r="G24" s="46" t="n">
        <v>5728.94096895809</v>
      </c>
      <c r="H24" s="6" t="n">
        <v>4457.82915296103</v>
      </c>
      <c r="I24" s="45" t="n">
        <v>3341.59995116385</v>
      </c>
      <c r="J24" s="45" t="n">
        <v>6193.30101989145</v>
      </c>
      <c r="K24" s="45" t="n">
        <v>3796.25104074636</v>
      </c>
      <c r="L24" s="6" t="n">
        <v>5693.01021963948</v>
      </c>
      <c r="M24" s="6" t="n">
        <v>6768.99368367671</v>
      </c>
      <c r="N24" s="6" t="n">
        <v>4253.52500393965</v>
      </c>
      <c r="O24" s="6" t="n">
        <v>4394.79663868561</v>
      </c>
      <c r="P24" s="6" t="n">
        <v>4156.14943761449</v>
      </c>
      <c r="Q24" s="6" t="n">
        <v>4857.35178842872</v>
      </c>
      <c r="R24" s="6" t="n">
        <v>4688.26869953235</v>
      </c>
      <c r="S24" s="6" t="n">
        <v>3719.64512103464</v>
      </c>
    </row>
    <row r="25" customFormat="false" ht="14.4" hidden="false" customHeight="false" outlineLevel="0" collapsed="false">
      <c r="A25" s="6" t="s">
        <v>18</v>
      </c>
      <c r="B25" s="24" t="n">
        <v>12841787.9122807</v>
      </c>
      <c r="C25" s="24" t="n">
        <v>29178391.6516129</v>
      </c>
      <c r="D25" s="24" t="n">
        <v>27052773.0298851</v>
      </c>
      <c r="E25" s="24" t="n">
        <v>19171862.4129032</v>
      </c>
      <c r="F25" s="24" t="n">
        <v>41812047.5413793</v>
      </c>
      <c r="G25" s="46" t="n">
        <v>32820764.6258064</v>
      </c>
      <c r="H25" s="6" t="n">
        <v>19872240.7569892</v>
      </c>
      <c r="I25" s="45" t="n">
        <v>11166290.2336182</v>
      </c>
      <c r="J25" s="45" t="n">
        <v>38356977.5229885</v>
      </c>
      <c r="K25" s="45" t="n">
        <v>14411521.9643678</v>
      </c>
      <c r="L25" s="6" t="n">
        <v>32410365.3609195</v>
      </c>
      <c r="M25" s="6" t="n">
        <v>45819275.4896552</v>
      </c>
      <c r="N25" s="6" t="n">
        <v>18092474.9591398</v>
      </c>
      <c r="O25" s="6" t="n">
        <v>19314237.4954023</v>
      </c>
      <c r="P25" s="6" t="n">
        <v>17273578.1477832</v>
      </c>
      <c r="Q25" s="6" t="n">
        <v>23593866.3965517</v>
      </c>
      <c r="R25" s="6" t="n">
        <v>21979863.3990148</v>
      </c>
      <c r="S25" s="6" t="n">
        <v>13835759.8264368</v>
      </c>
    </row>
    <row r="26" customFormat="false" ht="14.4" hidden="false" customHeight="false" outlineLevel="0" collapsed="false">
      <c r="A26" s="6" t="s">
        <v>20</v>
      </c>
      <c r="B26" s="24" t="n">
        <v>4.53019719995124</v>
      </c>
      <c r="C26" s="24" t="n">
        <v>9.12266669698528</v>
      </c>
      <c r="D26" s="24" t="n">
        <v>-1.00530001519754</v>
      </c>
      <c r="E26" s="24" t="n">
        <v>-0.0758414656203228</v>
      </c>
      <c r="F26" s="24" t="n">
        <v>1.53340584006524</v>
      </c>
      <c r="G26" s="46" t="n">
        <v>-0.0946967332298074</v>
      </c>
      <c r="H26" s="6" t="n">
        <v>0.678334174930803</v>
      </c>
      <c r="I26" s="45" t="n">
        <v>0.962676617478104</v>
      </c>
      <c r="J26" s="45" t="n">
        <v>1.49567029246716</v>
      </c>
      <c r="K26" s="45" t="n">
        <v>-0.667021758076998</v>
      </c>
      <c r="L26" s="6" t="n">
        <v>6.02889942793849</v>
      </c>
      <c r="M26" s="6" t="n">
        <v>12.1867210424644</v>
      </c>
      <c r="N26" s="6" t="n">
        <v>0.51179251671457</v>
      </c>
      <c r="O26" s="6" t="n">
        <v>0.663797812385259</v>
      </c>
      <c r="P26" s="6" t="n">
        <v>0.106540392656679</v>
      </c>
      <c r="Q26" s="6" t="n">
        <v>-0.948679658477095</v>
      </c>
      <c r="R26" s="6" t="n">
        <v>0.742489166824586</v>
      </c>
      <c r="S26" s="6" t="n">
        <v>0.325055292001124</v>
      </c>
    </row>
    <row r="27" customFormat="false" ht="14.4" hidden="false" customHeight="false" outlineLevel="0" collapsed="false">
      <c r="A27" s="6" t="s">
        <v>22</v>
      </c>
      <c r="B27" s="24" t="n">
        <v>2.03494846553183</v>
      </c>
      <c r="C27" s="24" t="n">
        <v>2.73099862232635</v>
      </c>
      <c r="D27" s="24" t="n">
        <v>0.578912349416937</v>
      </c>
      <c r="E27" s="24" t="n">
        <v>0.677347564357439</v>
      </c>
      <c r="F27" s="24" t="n">
        <v>1.1086079093337</v>
      </c>
      <c r="G27" s="46" t="n">
        <v>0.645198066814117</v>
      </c>
      <c r="H27" s="6" t="n">
        <v>0.594495047901757</v>
      </c>
      <c r="I27" s="45" t="n">
        <v>-0.530504139144748</v>
      </c>
      <c r="J27" s="45" t="n">
        <v>0.622420984752966</v>
      </c>
      <c r="K27" s="45" t="n">
        <v>0.587660056262366</v>
      </c>
      <c r="L27" s="6" t="n">
        <v>1.76197007902012</v>
      </c>
      <c r="M27" s="6" t="n">
        <v>2.92912496539257</v>
      </c>
      <c r="N27" s="6" t="n">
        <v>0.323738915244268</v>
      </c>
      <c r="O27" s="6" t="n">
        <v>0.929100546580877</v>
      </c>
      <c r="P27" s="6" t="n">
        <v>-0.334915537142064</v>
      </c>
      <c r="Q27" s="6" t="n">
        <v>-0.145349894665875</v>
      </c>
      <c r="R27" s="6" t="n">
        <v>0.961508002868841</v>
      </c>
      <c r="S27" s="6" t="n">
        <v>-0.229566233161765</v>
      </c>
    </row>
    <row r="28" customFormat="false" ht="14.4" hidden="false" customHeight="false" outlineLevel="0" collapsed="false">
      <c r="A28" s="6" t="s">
        <v>24</v>
      </c>
      <c r="B28" s="24" t="n">
        <v>13935</v>
      </c>
      <c r="C28" s="24" t="n">
        <v>25825</v>
      </c>
      <c r="D28" s="24" t="n">
        <v>15132</v>
      </c>
      <c r="E28" s="24" t="n">
        <v>16313</v>
      </c>
      <c r="F28" s="24" t="n">
        <v>26312</v>
      </c>
      <c r="G28" s="46" t="n">
        <v>22382</v>
      </c>
      <c r="H28" s="6" t="n">
        <v>19813</v>
      </c>
      <c r="I28" s="45" t="n">
        <v>15538</v>
      </c>
      <c r="J28" s="45" t="n">
        <v>29332</v>
      </c>
      <c r="K28" s="45" t="n">
        <v>13149</v>
      </c>
      <c r="L28" s="6" t="n">
        <v>30666</v>
      </c>
      <c r="M28" s="6" t="n">
        <v>37773</v>
      </c>
      <c r="N28" s="6" t="n">
        <v>18735</v>
      </c>
      <c r="O28" s="6" t="n">
        <v>16763</v>
      </c>
      <c r="P28" s="6" t="n">
        <v>17620</v>
      </c>
      <c r="Q28" s="6" t="n">
        <v>16262</v>
      </c>
      <c r="R28" s="6" t="n">
        <v>19225</v>
      </c>
      <c r="S28" s="6" t="n">
        <v>16698</v>
      </c>
    </row>
    <row r="29" customFormat="false" ht="14.4" hidden="false" customHeight="false" outlineLevel="0" collapsed="false">
      <c r="A29" s="6" t="s">
        <v>26</v>
      </c>
      <c r="B29" s="24" t="n">
        <v>91</v>
      </c>
      <c r="C29" s="24" t="n">
        <v>0</v>
      </c>
      <c r="D29" s="24" t="n">
        <v>0</v>
      </c>
      <c r="E29" s="24" t="n">
        <v>0</v>
      </c>
      <c r="F29" s="24" t="n">
        <v>0</v>
      </c>
      <c r="G29" s="46" t="n">
        <v>0</v>
      </c>
      <c r="H29" s="6" t="n">
        <v>208</v>
      </c>
      <c r="I29" s="45" t="n">
        <v>19</v>
      </c>
      <c r="J29" s="45" t="n">
        <v>829</v>
      </c>
      <c r="K29" s="45" t="n">
        <v>6032</v>
      </c>
      <c r="L29" s="6" t="n">
        <v>777</v>
      </c>
      <c r="M29" s="6" t="n">
        <v>859</v>
      </c>
      <c r="N29" s="6" t="n">
        <v>64</v>
      </c>
      <c r="O29" s="6" t="n">
        <v>5681</v>
      </c>
      <c r="P29" s="6" t="n">
        <v>300</v>
      </c>
      <c r="Q29" s="6" t="n">
        <v>162</v>
      </c>
      <c r="R29" s="6" t="n">
        <v>3771</v>
      </c>
      <c r="S29" s="6" t="n">
        <v>1104</v>
      </c>
    </row>
    <row r="30" customFormat="false" ht="14.4" hidden="false" customHeight="false" outlineLevel="0" collapsed="false">
      <c r="A30" s="6" t="s">
        <v>28</v>
      </c>
      <c r="B30" s="24" t="n">
        <v>14026</v>
      </c>
      <c r="C30" s="24" t="n">
        <v>25825</v>
      </c>
      <c r="D30" s="24" t="n">
        <v>15132</v>
      </c>
      <c r="E30" s="24" t="n">
        <v>16313</v>
      </c>
      <c r="F30" s="24" t="n">
        <v>26312</v>
      </c>
      <c r="G30" s="46" t="n">
        <v>22382</v>
      </c>
      <c r="H30" s="6" t="n">
        <v>20021</v>
      </c>
      <c r="I30" s="45" t="n">
        <v>15557</v>
      </c>
      <c r="J30" s="45" t="n">
        <v>30161</v>
      </c>
      <c r="K30" s="45" t="n">
        <v>19181</v>
      </c>
      <c r="L30" s="6" t="n">
        <v>31443</v>
      </c>
      <c r="M30" s="6" t="n">
        <v>38632</v>
      </c>
      <c r="N30" s="6" t="n">
        <v>18799</v>
      </c>
      <c r="O30" s="6" t="n">
        <v>22444</v>
      </c>
      <c r="P30" s="6" t="n">
        <v>17920</v>
      </c>
      <c r="Q30" s="6" t="n">
        <v>16424</v>
      </c>
      <c r="R30" s="6" t="n">
        <v>22996</v>
      </c>
      <c r="S30" s="6" t="n">
        <v>17802</v>
      </c>
    </row>
    <row r="31" customFormat="false" ht="14.4" hidden="false" customHeight="false" outlineLevel="0" collapsed="false">
      <c r="A31" s="6" t="s">
        <v>30</v>
      </c>
      <c r="B31" s="24" t="n">
        <v>53649</v>
      </c>
      <c r="C31" s="24" t="n">
        <v>110719</v>
      </c>
      <c r="D31" s="24" t="n">
        <v>152588</v>
      </c>
      <c r="E31" s="24" t="n">
        <v>131604</v>
      </c>
      <c r="F31" s="24" t="n">
        <v>190767</v>
      </c>
      <c r="G31" s="46" t="n">
        <v>232924</v>
      </c>
      <c r="H31" s="6" t="n">
        <v>255685</v>
      </c>
      <c r="I31" s="45" t="n">
        <v>251240</v>
      </c>
      <c r="J31" s="45" t="n">
        <v>342415</v>
      </c>
      <c r="K31" s="45" t="n">
        <v>328919</v>
      </c>
      <c r="L31" s="6" t="n">
        <v>308384</v>
      </c>
      <c r="M31" s="6" t="n">
        <v>275472</v>
      </c>
      <c r="N31" s="6" t="n">
        <v>225659</v>
      </c>
      <c r="O31" s="6" t="n">
        <v>345677</v>
      </c>
      <c r="P31" s="6" t="n">
        <v>321924</v>
      </c>
      <c r="Q31" s="6" t="n">
        <v>252285</v>
      </c>
      <c r="R31" s="6" t="n">
        <v>312375</v>
      </c>
      <c r="S31" s="6" t="n">
        <v>264571</v>
      </c>
    </row>
    <row r="32" customFormat="false" ht="14.4" hidden="false" customHeight="false" outlineLevel="0" collapsed="false">
      <c r="A32" s="6" t="s">
        <v>32</v>
      </c>
      <c r="B32" s="24" t="n">
        <v>19</v>
      </c>
      <c r="C32" s="24" t="n">
        <v>31</v>
      </c>
      <c r="D32" s="24" t="n">
        <v>30</v>
      </c>
      <c r="E32" s="24" t="n">
        <v>31</v>
      </c>
      <c r="F32" s="24" t="n">
        <v>30</v>
      </c>
      <c r="G32" s="46" t="n">
        <v>31</v>
      </c>
      <c r="H32" s="6" t="n">
        <v>31</v>
      </c>
      <c r="I32" s="45" t="n">
        <v>27</v>
      </c>
      <c r="J32" s="45" t="n">
        <v>30</v>
      </c>
      <c r="K32" s="45" t="n">
        <v>30</v>
      </c>
      <c r="L32" s="6" t="n">
        <v>30</v>
      </c>
      <c r="M32" s="6" t="n">
        <v>30</v>
      </c>
      <c r="N32" s="6" t="n">
        <v>31</v>
      </c>
      <c r="O32" s="6" t="n">
        <v>30</v>
      </c>
      <c r="P32" s="6" t="n">
        <v>29</v>
      </c>
      <c r="Q32" s="6" t="n">
        <v>30</v>
      </c>
      <c r="R32" s="6" t="n">
        <v>29</v>
      </c>
      <c r="S32" s="6" t="n">
        <v>30</v>
      </c>
    </row>
    <row r="33" customFormat="false" ht="14.4" hidden="false" customHeight="false" outlineLevel="0" collapsed="false">
      <c r="A33" s="6" t="s">
        <v>34</v>
      </c>
      <c r="B33" s="24" t="n">
        <v>14026</v>
      </c>
      <c r="C33" s="24" t="n">
        <v>25825</v>
      </c>
      <c r="D33" s="24" t="n">
        <v>15132</v>
      </c>
      <c r="E33" s="24" t="n">
        <v>16313</v>
      </c>
      <c r="F33" s="24" t="n">
        <v>26312</v>
      </c>
      <c r="G33" s="46" t="n">
        <v>22382</v>
      </c>
      <c r="H33" s="6" t="n">
        <v>20021</v>
      </c>
      <c r="I33" s="45" t="n">
        <v>15557</v>
      </c>
      <c r="J33" s="45" t="n">
        <v>30161</v>
      </c>
      <c r="K33" s="45" t="n">
        <v>19181</v>
      </c>
      <c r="L33" s="6" t="n">
        <v>31443</v>
      </c>
      <c r="M33" s="6" t="n">
        <v>38632</v>
      </c>
      <c r="N33" s="6" t="n">
        <v>18799</v>
      </c>
      <c r="O33" s="6" t="n">
        <v>22444</v>
      </c>
      <c r="P33" s="6" t="n">
        <v>17920</v>
      </c>
      <c r="Q33" s="6" t="n">
        <v>16424</v>
      </c>
      <c r="R33" s="6" t="n">
        <v>22996</v>
      </c>
      <c r="S33" s="6" t="n">
        <v>17802</v>
      </c>
    </row>
    <row r="34" customFormat="false" ht="14.4" hidden="false" customHeight="false" outlineLevel="0" collapsed="false">
      <c r="A34" s="6" t="s">
        <v>36</v>
      </c>
      <c r="B34" s="24" t="n">
        <v>91</v>
      </c>
      <c r="C34" s="24" t="n">
        <v>0</v>
      </c>
      <c r="D34" s="24" t="n">
        <v>0</v>
      </c>
      <c r="E34" s="24" t="n">
        <v>0</v>
      </c>
      <c r="F34" s="24" t="n">
        <v>0</v>
      </c>
      <c r="G34" s="46" t="n">
        <v>0</v>
      </c>
      <c r="H34" s="6" t="n">
        <v>208</v>
      </c>
      <c r="I34" s="45" t="n">
        <v>19</v>
      </c>
      <c r="J34" s="45" t="n">
        <v>829</v>
      </c>
      <c r="K34" s="45" t="n">
        <v>6032</v>
      </c>
      <c r="L34" s="6" t="n">
        <v>777</v>
      </c>
      <c r="M34" s="6" t="n">
        <v>859</v>
      </c>
      <c r="N34" s="6" t="n">
        <v>64</v>
      </c>
      <c r="O34" s="6" t="n">
        <v>5681</v>
      </c>
      <c r="P34" s="6" t="n">
        <v>300</v>
      </c>
      <c r="Q34" s="6" t="n">
        <v>162</v>
      </c>
      <c r="R34" s="6" t="n">
        <v>3771</v>
      </c>
      <c r="S34" s="6" t="n">
        <v>1104</v>
      </c>
    </row>
    <row r="35" customFormat="false" ht="14.4" hidden="false" customHeight="false" outlineLevel="0" collapsed="false">
      <c r="A35" s="6" t="s">
        <v>38</v>
      </c>
      <c r="B35" s="24" t="n">
        <v>1727.21294089399</v>
      </c>
      <c r="C35" s="24" t="n">
        <v>1981.3605327728</v>
      </c>
      <c r="D35" s="24" t="n">
        <v>1942.17046543301</v>
      </c>
      <c r="E35" s="24" t="n">
        <v>1606.07190492921</v>
      </c>
      <c r="F35" s="24" t="n">
        <v>2414.52757089247</v>
      </c>
      <c r="G35" s="46" t="n">
        <v>2101.39251272693</v>
      </c>
      <c r="H35" s="6" t="n">
        <v>1635.14493443137</v>
      </c>
      <c r="I35" s="45" t="n">
        <v>1321.89291479772</v>
      </c>
      <c r="J35" s="45" t="n">
        <v>2312.61660761767</v>
      </c>
      <c r="K35" s="45" t="n">
        <v>1417.54343528901</v>
      </c>
      <c r="L35" s="6" t="n">
        <v>2125.80495263996</v>
      </c>
      <c r="M35" s="6" t="n">
        <v>2527.5837811617</v>
      </c>
      <c r="N35" s="6" t="n">
        <v>1560.20556755731</v>
      </c>
      <c r="O35" s="6" t="n">
        <v>1641.04403468908</v>
      </c>
      <c r="P35" s="6" t="n">
        <v>1580.91469718787</v>
      </c>
      <c r="Q35" s="6" t="n">
        <v>1813.76496619222</v>
      </c>
      <c r="R35" s="6" t="n">
        <v>1783.32203947669</v>
      </c>
      <c r="S35" s="6" t="n">
        <v>1388.93831475666</v>
      </c>
    </row>
    <row r="37" customFormat="false" ht="14.4" hidden="false" customHeight="false" outlineLevel="0" collapsed="false">
      <c r="A37" s="47" t="n">
        <v>2018</v>
      </c>
      <c r="B37" s="47"/>
      <c r="C37" s="47"/>
      <c r="D37" s="47"/>
      <c r="E37" s="47"/>
      <c r="G37" s="47" t="n">
        <v>2019</v>
      </c>
      <c r="H37" s="47"/>
      <c r="I37" s="47"/>
      <c r="J37" s="47"/>
      <c r="K37" s="47"/>
    </row>
    <row r="38" customFormat="false" ht="14.4" hidden="false" customHeight="false" outlineLevel="0" collapsed="false">
      <c r="A38" s="27"/>
      <c r="B38" s="6" t="s">
        <v>2</v>
      </c>
      <c r="C38" s="5" t="s">
        <v>179</v>
      </c>
      <c r="D38" s="6" t="s">
        <v>175</v>
      </c>
      <c r="E38" s="5" t="s">
        <v>177</v>
      </c>
      <c r="G38" s="27"/>
      <c r="H38" s="6" t="s">
        <v>2</v>
      </c>
      <c r="I38" s="5" t="s">
        <v>179</v>
      </c>
      <c r="J38" s="6" t="s">
        <v>175</v>
      </c>
      <c r="K38" s="5" t="s">
        <v>177</v>
      </c>
    </row>
    <row r="39" customFormat="false" ht="14.4" hidden="false" customHeight="false" outlineLevel="0" collapsed="false">
      <c r="A39" s="1" t="s">
        <v>8</v>
      </c>
      <c r="B39" s="1" t="n">
        <v>9856.69315068493</v>
      </c>
      <c r="C39" s="1" t="n">
        <v>383.696438356164</v>
      </c>
      <c r="D39" s="1" t="n">
        <v>7.12235616438356</v>
      </c>
      <c r="E39" s="1" t="n">
        <v>89.4931506849315</v>
      </c>
      <c r="G39" s="1" t="s">
        <v>8</v>
      </c>
      <c r="H39" s="1" t="n">
        <v>11072.7541436464</v>
      </c>
      <c r="I39" s="1" t="n">
        <v>448.762154696132</v>
      </c>
      <c r="J39" s="1" t="n">
        <v>7.97328729281768</v>
      </c>
      <c r="K39" s="1" t="n">
        <v>106.162983425414</v>
      </c>
    </row>
    <row r="40" customFormat="false" ht="14.4" hidden="false" customHeight="false" outlineLevel="0" collapsed="false">
      <c r="A40" s="1" t="s">
        <v>10</v>
      </c>
      <c r="B40" s="1" t="n">
        <v>259.835838957273</v>
      </c>
      <c r="C40" s="1" t="n">
        <v>10.0537091254302</v>
      </c>
      <c r="D40" s="1" t="n">
        <v>0.186676607414192</v>
      </c>
      <c r="E40" s="1" t="n">
        <v>2.37453059588219</v>
      </c>
      <c r="G40" s="1" t="s">
        <v>10</v>
      </c>
      <c r="H40" s="1" t="n">
        <v>312.846802861345</v>
      </c>
      <c r="I40" s="1" t="n">
        <v>12.8707765687926</v>
      </c>
      <c r="J40" s="1" t="n">
        <v>0.225234515863163</v>
      </c>
      <c r="K40" s="1" t="n">
        <v>3.07920692903377</v>
      </c>
    </row>
    <row r="41" customFormat="false" ht="14.4" hidden="false" customHeight="false" outlineLevel="0" collapsed="false">
      <c r="A41" s="1" t="s">
        <v>14</v>
      </c>
      <c r="B41" s="1" t="n">
        <v>6004</v>
      </c>
      <c r="C41" s="1" t="n">
        <v>524.9</v>
      </c>
      <c r="D41" s="1" t="n">
        <v>4.33</v>
      </c>
      <c r="E41" s="1" t="n">
        <v>61</v>
      </c>
      <c r="G41" s="1" t="s">
        <v>14</v>
      </c>
      <c r="H41" s="1" t="n">
        <v>0</v>
      </c>
      <c r="I41" s="1" t="n">
        <v>0</v>
      </c>
      <c r="J41" s="1" t="n">
        <v>0</v>
      </c>
      <c r="K41" s="1" t="n">
        <v>0</v>
      </c>
    </row>
    <row r="42" customFormat="false" ht="14.4" hidden="false" customHeight="false" outlineLevel="0" collapsed="false">
      <c r="A42" s="1" t="s">
        <v>12</v>
      </c>
      <c r="B42" s="1" t="n">
        <v>9580</v>
      </c>
      <c r="C42" s="1" t="n">
        <v>370.2</v>
      </c>
      <c r="D42" s="1" t="n">
        <v>6.9</v>
      </c>
      <c r="E42" s="1" t="n">
        <v>86</v>
      </c>
      <c r="G42" s="1" t="s">
        <v>12</v>
      </c>
      <c r="H42" s="1" t="n">
        <v>10933</v>
      </c>
      <c r="I42" s="1" t="n">
        <v>441.35</v>
      </c>
      <c r="J42" s="1" t="n">
        <v>7.87</v>
      </c>
      <c r="K42" s="1" t="n">
        <v>103</v>
      </c>
    </row>
    <row r="43" customFormat="false" ht="14.4" hidden="false" customHeight="false" outlineLevel="0" collapsed="false">
      <c r="A43" s="1" t="s">
        <v>180</v>
      </c>
      <c r="B43" s="1" t="n">
        <v>6601</v>
      </c>
      <c r="C43" s="1" t="n">
        <v>257.9</v>
      </c>
      <c r="D43" s="1" t="n">
        <v>4.8</v>
      </c>
      <c r="E43" s="1" t="n">
        <v>61</v>
      </c>
      <c r="G43" s="1" t="s">
        <v>180</v>
      </c>
      <c r="H43" s="1" t="n">
        <v>7125.5</v>
      </c>
      <c r="I43" s="1" t="n">
        <v>285.975</v>
      </c>
      <c r="J43" s="1" t="n">
        <v>5.13</v>
      </c>
      <c r="K43" s="1" t="n">
        <v>69</v>
      </c>
    </row>
    <row r="44" customFormat="false" ht="14.4" hidden="false" customHeight="false" outlineLevel="0" collapsed="false">
      <c r="A44" s="1" t="s">
        <v>181</v>
      </c>
      <c r="B44" s="1" t="n">
        <v>12524</v>
      </c>
      <c r="C44" s="1" t="n">
        <v>484.5</v>
      </c>
      <c r="D44" s="1" t="n">
        <v>9.03</v>
      </c>
      <c r="E44" s="1" t="n">
        <v>112</v>
      </c>
      <c r="G44" s="1" t="s">
        <v>181</v>
      </c>
      <c r="H44" s="1" t="n">
        <v>14430.75</v>
      </c>
      <c r="I44" s="1" t="n">
        <v>577.35</v>
      </c>
      <c r="J44" s="1" t="n">
        <v>10.3925</v>
      </c>
      <c r="K44" s="1" t="n">
        <v>136</v>
      </c>
    </row>
    <row r="45" customFormat="false" ht="14.4" hidden="false" customHeight="false" outlineLevel="0" collapsed="false">
      <c r="A45" s="1" t="s">
        <v>182</v>
      </c>
      <c r="B45" s="1" t="n">
        <v>24642852.07042</v>
      </c>
      <c r="C45" s="1" t="n">
        <v>36893.1295202469</v>
      </c>
      <c r="D45" s="1" t="n">
        <v>12.7195768508204</v>
      </c>
      <c r="E45" s="1" t="n">
        <v>2058.01437603493</v>
      </c>
      <c r="G45" s="1" t="s">
        <v>182</v>
      </c>
      <c r="H45" s="1" t="n">
        <v>35430070.1859246</v>
      </c>
      <c r="I45" s="1" t="n">
        <v>59967.7939931283</v>
      </c>
      <c r="J45" s="1" t="n">
        <v>18.364472543273</v>
      </c>
      <c r="K45" s="1" t="n">
        <v>3432.30854287507</v>
      </c>
    </row>
    <row r="46" customFormat="false" ht="14.4" hidden="false" customHeight="false" outlineLevel="0" collapsed="false">
      <c r="A46" s="1" t="s">
        <v>16</v>
      </c>
      <c r="B46" s="1" t="n">
        <v>4964.15673306353</v>
      </c>
      <c r="C46" s="1" t="n">
        <v>192.075843146</v>
      </c>
      <c r="D46" s="1" t="n">
        <v>3.5664515769628</v>
      </c>
      <c r="E46" s="1" t="n">
        <v>45.3653433364604</v>
      </c>
      <c r="G46" s="1" t="s">
        <v>16</v>
      </c>
      <c r="H46" s="1" t="n">
        <v>5952.3163714578</v>
      </c>
      <c r="I46" s="1" t="n">
        <v>244.883225217915</v>
      </c>
      <c r="J46" s="1" t="n">
        <v>4.28537892645131</v>
      </c>
      <c r="K46" s="1" t="n">
        <v>58.5859073743428</v>
      </c>
    </row>
    <row r="47" customFormat="false" ht="14.4" hidden="false" customHeight="false" outlineLevel="0" collapsed="false">
      <c r="A47" s="1" t="s">
        <v>20</v>
      </c>
      <c r="B47" s="1" t="n">
        <v>3.97091786760881</v>
      </c>
      <c r="C47" s="1" t="n">
        <v>4.32086272018992</v>
      </c>
      <c r="D47" s="1" t="n">
        <v>3.98780629625394</v>
      </c>
      <c r="E47" s="1" t="n">
        <v>5.47788666612608</v>
      </c>
      <c r="G47" s="1" t="s">
        <v>20</v>
      </c>
      <c r="H47" s="1" t="n">
        <v>1.80976087628012</v>
      </c>
      <c r="I47" s="1" t="n">
        <v>2.44491452098706</v>
      </c>
      <c r="J47" s="1" t="n">
        <v>1.80977857317826</v>
      </c>
      <c r="K47" s="1" t="n">
        <v>3.29479360504207</v>
      </c>
    </row>
    <row r="48" customFormat="false" ht="14.4" hidden="false" customHeight="false" outlineLevel="0" collapsed="false">
      <c r="A48" s="1" t="s">
        <v>22</v>
      </c>
      <c r="B48" s="1" t="n">
        <v>1.03300931523442</v>
      </c>
      <c r="C48" s="1" t="n">
        <v>1.08660335558212</v>
      </c>
      <c r="D48" s="1" t="n">
        <v>1.03462586327409</v>
      </c>
      <c r="E48" s="1" t="n">
        <v>1.21887986235275</v>
      </c>
      <c r="G48" s="1" t="s">
        <v>22</v>
      </c>
      <c r="H48" s="1" t="n">
        <v>0.781465335117462</v>
      </c>
      <c r="I48" s="1" t="n">
        <v>0.946466872194462</v>
      </c>
      <c r="J48" s="1" t="n">
        <v>0.781696968775205</v>
      </c>
      <c r="K48" s="1" t="n">
        <v>1.13926273120563</v>
      </c>
    </row>
    <row r="49" customFormat="false" ht="14.4" hidden="false" customHeight="false" outlineLevel="0" collapsed="false">
      <c r="A49" s="1" t="s">
        <v>24</v>
      </c>
      <c r="B49" s="1" t="n">
        <v>38613</v>
      </c>
      <c r="C49" s="1" t="n">
        <v>1528.3</v>
      </c>
      <c r="D49" s="1" t="n">
        <v>27.81</v>
      </c>
      <c r="E49" s="1" t="n">
        <v>382</v>
      </c>
      <c r="G49" s="1" t="s">
        <v>24</v>
      </c>
      <c r="H49" s="1" t="n">
        <v>35974</v>
      </c>
      <c r="I49" s="1" t="n">
        <v>1515.1</v>
      </c>
      <c r="J49" s="1" t="n">
        <v>25.9</v>
      </c>
      <c r="K49" s="1" t="n">
        <v>371</v>
      </c>
    </row>
    <row r="50" customFormat="false" ht="14.4" hidden="false" customHeight="false" outlineLevel="0" collapsed="false">
      <c r="A50" s="1" t="s">
        <v>26</v>
      </c>
      <c r="B50" s="1" t="n">
        <v>19</v>
      </c>
      <c r="C50" s="1" t="n">
        <v>0.8</v>
      </c>
      <c r="D50" s="1" t="n">
        <v>0.01</v>
      </c>
      <c r="E50" s="1" t="n">
        <v>0</v>
      </c>
      <c r="G50" s="1" t="s">
        <v>26</v>
      </c>
      <c r="H50" s="1" t="n">
        <v>0</v>
      </c>
      <c r="I50" s="1" t="n">
        <v>0</v>
      </c>
      <c r="J50" s="1" t="n">
        <v>0</v>
      </c>
      <c r="K50" s="1" t="n">
        <v>0</v>
      </c>
    </row>
    <row r="51" customFormat="false" ht="14.4" hidden="false" customHeight="false" outlineLevel="0" collapsed="false">
      <c r="A51" s="1" t="s">
        <v>28</v>
      </c>
      <c r="B51" s="1" t="n">
        <v>38632</v>
      </c>
      <c r="C51" s="1" t="n">
        <v>1529.1</v>
      </c>
      <c r="D51" s="1" t="n">
        <v>27.82</v>
      </c>
      <c r="E51" s="1" t="n">
        <v>382</v>
      </c>
      <c r="G51" s="1" t="s">
        <v>28</v>
      </c>
      <c r="H51" s="1" t="n">
        <v>35974</v>
      </c>
      <c r="I51" s="1" t="n">
        <v>1515.1</v>
      </c>
      <c r="J51" s="1" t="n">
        <v>25.9</v>
      </c>
      <c r="K51" s="1" t="n">
        <v>371</v>
      </c>
    </row>
    <row r="52" customFormat="false" ht="14.4" hidden="false" customHeight="false" outlineLevel="0" collapsed="false">
      <c r="A52" s="1" t="s">
        <v>30</v>
      </c>
      <c r="B52" s="1" t="n">
        <v>3597693</v>
      </c>
      <c r="C52" s="1" t="n">
        <v>140049.2</v>
      </c>
      <c r="D52" s="1" t="n">
        <v>2599.66</v>
      </c>
      <c r="E52" s="1" t="n">
        <v>32665</v>
      </c>
      <c r="G52" s="1" t="s">
        <v>30</v>
      </c>
      <c r="H52" s="1" t="n">
        <v>4008337</v>
      </c>
      <c r="I52" s="1" t="n">
        <v>162451.9</v>
      </c>
      <c r="J52" s="1" t="n">
        <v>2886.33</v>
      </c>
      <c r="K52" s="1" t="n">
        <v>38431</v>
      </c>
    </row>
    <row r="53" customFormat="false" ht="14.4" hidden="false" customHeight="false" outlineLevel="0" collapsed="false">
      <c r="A53" s="1" t="s">
        <v>32</v>
      </c>
      <c r="B53" s="1" t="n">
        <v>365</v>
      </c>
      <c r="C53" s="1" t="n">
        <v>365</v>
      </c>
      <c r="D53" s="1" t="n">
        <v>365</v>
      </c>
      <c r="E53" s="1" t="n">
        <v>365</v>
      </c>
      <c r="G53" s="1" t="s">
        <v>32</v>
      </c>
      <c r="H53" s="1" t="n">
        <v>362</v>
      </c>
      <c r="I53" s="1" t="n">
        <v>362</v>
      </c>
      <c r="J53" s="1" t="n">
        <v>362</v>
      </c>
      <c r="K53" s="1" t="n">
        <v>362</v>
      </c>
    </row>
    <row r="55" customFormat="false" ht="14.4" hidden="false" customHeight="false" outlineLevel="0" collapsed="false">
      <c r="A55" s="47" t="n">
        <v>2020</v>
      </c>
      <c r="B55" s="47"/>
      <c r="C55" s="47"/>
      <c r="D55" s="47"/>
      <c r="E55" s="47"/>
      <c r="G55" s="47" t="n">
        <v>2021</v>
      </c>
      <c r="H55" s="47"/>
      <c r="I55" s="47"/>
      <c r="J55" s="47"/>
      <c r="K55" s="47"/>
    </row>
    <row r="56" customFormat="false" ht="14.4" hidden="false" customHeight="false" outlineLevel="0" collapsed="false">
      <c r="A56" s="27"/>
      <c r="B56" s="6" t="s">
        <v>2</v>
      </c>
      <c r="C56" s="5" t="s">
        <v>179</v>
      </c>
      <c r="D56" s="6" t="s">
        <v>175</v>
      </c>
      <c r="E56" s="5" t="s">
        <v>177</v>
      </c>
      <c r="G56" s="27"/>
      <c r="H56" s="6" t="s">
        <v>2</v>
      </c>
      <c r="I56" s="5" t="s">
        <v>179</v>
      </c>
      <c r="J56" s="6" t="s">
        <v>175</v>
      </c>
      <c r="K56" s="5" t="s">
        <v>177</v>
      </c>
    </row>
    <row r="57" customFormat="false" ht="14.4" hidden="false" customHeight="false" outlineLevel="0" collapsed="false">
      <c r="A57" s="1" t="s">
        <v>8</v>
      </c>
      <c r="B57" s="1" t="n">
        <f aca="false">AVERAGE('2020'!$C$1:$C$367)</f>
        <v>6440.83561643836</v>
      </c>
      <c r="C57" s="1" t="n">
        <f aca="false">AVERAGE('2020'!$E$1:$E$367)</f>
        <v>275.544383561644</v>
      </c>
      <c r="D57" s="1" t="n">
        <f aca="false">AVERAGE('2020'!$G$1:$G$367)</f>
        <v>4.70679452054795</v>
      </c>
      <c r="E57" s="1" t="n">
        <f aca="false">AVERAGE('2020'!$I$1:$I$367)</f>
        <v>68.0739726027397</v>
      </c>
      <c r="G57" s="1" t="s">
        <v>8</v>
      </c>
      <c r="H57" s="1" t="n">
        <f aca="false">AVERAGE('2021'!$C$1:$C$366)</f>
        <v>8582.91666666667</v>
      </c>
      <c r="I57" s="1" t="n">
        <f aca="false">AVERAGE('2021'!$E$1:$E$366)</f>
        <v>367.878888888889</v>
      </c>
      <c r="J57" s="1" t="n">
        <f aca="false">AVERAGE('2021'!$G$1:$G$366)</f>
        <v>6.15736111111111</v>
      </c>
      <c r="K57" s="1" t="n">
        <f aca="false">AVERAGE('2021'!$I$1:$I$366)</f>
        <v>85.175</v>
      </c>
    </row>
    <row r="58" customFormat="false" ht="14.4" hidden="false" customHeight="false" outlineLevel="0" collapsed="false">
      <c r="A58" s="1" t="s">
        <v>10</v>
      </c>
      <c r="B58" s="1" t="n">
        <f aca="false">SQRT(VAR('2020'!$C$1:$C$367)/COUNT('2020'!$C$1:$C$367))</f>
        <v>380.031675733376</v>
      </c>
      <c r="C58" s="1" t="n">
        <f aca="false">SQRT(VAR('2020'!$E$1:$E$367)/COUNT('2020'!$E$1:$E$367))</f>
        <v>16.2557155804802</v>
      </c>
      <c r="D58" s="1" t="n">
        <f aca="false">SQRT(VAR('2020'!$G$1:$G$367)/COUNT('2020'!$G$1:$G$367))</f>
        <v>0.281072143985954</v>
      </c>
      <c r="E58" s="1" t="n">
        <f aca="false">SQRT(VAR('2020'!$I$1:$I$367)/COUNT('2020'!$I$1:$I$367))</f>
        <v>4.07366036097301</v>
      </c>
      <c r="G58" s="1" t="s">
        <v>10</v>
      </c>
      <c r="H58" s="1" t="n">
        <f aca="false">SQRT(VAR('2021'!$C$1:$C$366)/COUNT('2021'!$C$1:$C$366))</f>
        <v>315.749951822614</v>
      </c>
      <c r="I58" s="1" t="n">
        <f aca="false">SQRT(VAR('2021'!$E$1:$E$366)/COUNT('2021'!$E$1:$E$366))</f>
        <v>13.5319530719962</v>
      </c>
      <c r="J58" s="1" t="n">
        <f aca="false">SQRT(VAR('2021'!$G$1:$G$366)/COUNT('2021'!$G$1:$G$366))</f>
        <v>0.226354357614098</v>
      </c>
      <c r="K58" s="1" t="n">
        <f aca="false">SQRT(VAR('2021'!$I$1:$I$366)/COUNT('2021'!$I$1:$I$366))</f>
        <v>3.22081925708107</v>
      </c>
    </row>
    <row r="59" customFormat="false" ht="14.4" hidden="false" customHeight="false" outlineLevel="0" collapsed="false">
      <c r="A59" s="1" t="s">
        <v>14</v>
      </c>
      <c r="B59" s="1" t="n">
        <f aca="false">MODE('2020'!$C$1:$C$367)</f>
        <v>97</v>
      </c>
      <c r="C59" s="1" t="n">
        <f aca="false">MODE('2020'!$E$1:$E$367)</f>
        <v>74.9</v>
      </c>
      <c r="D59" s="1" t="n">
        <f aca="false">MODE('2020'!$G$1:$G$367)</f>
        <v>0.12</v>
      </c>
      <c r="E59" s="1" t="n">
        <f aca="false">MODE('2020'!$I$1:$I$367)</f>
        <v>1</v>
      </c>
      <c r="G59" s="1" t="s">
        <v>14</v>
      </c>
      <c r="H59" s="1" t="n">
        <f aca="false">MODE('2021'!$C$1:$C$366)</f>
        <v>2262</v>
      </c>
      <c r="I59" s="1" t="n">
        <f aca="false">MODE('2021'!$E$1:$E$366)</f>
        <v>216.3</v>
      </c>
      <c r="J59" s="1" t="n">
        <f aca="false">MODE('2021'!$G$1:$G$366)</f>
        <v>1.63</v>
      </c>
      <c r="K59" s="1" t="n">
        <f aca="false">MODE('2021'!$I$1:$I$366)</f>
        <v>60</v>
      </c>
    </row>
    <row r="60" customFormat="false" ht="14.4" hidden="false" customHeight="false" outlineLevel="0" collapsed="false">
      <c r="A60" s="1" t="s">
        <v>12</v>
      </c>
      <c r="B60" s="1" t="n">
        <f aca="false">MEDIAN('2020'!$C$1:$C$367)</f>
        <v>4039</v>
      </c>
      <c r="C60" s="1" t="n">
        <f aca="false">MEDIAN('2020'!$E$1:$E$367)</f>
        <v>178.6</v>
      </c>
      <c r="D60" s="1" t="n">
        <f aca="false">MEDIAN('2020'!$G$1:$G$367)</f>
        <v>2.93</v>
      </c>
      <c r="E60" s="1" t="n">
        <f aca="false">MEDIAN('2020'!$I$1:$I$367)</f>
        <v>44</v>
      </c>
      <c r="G60" s="1" t="s">
        <v>12</v>
      </c>
      <c r="H60" s="1" t="n">
        <f aca="false">MEDIAN('2021'!$C$1:$C$366)</f>
        <v>7526</v>
      </c>
      <c r="I60" s="1" t="n">
        <f aca="false">MEDIAN('2021'!$E$1:$E$366)</f>
        <v>321.8</v>
      </c>
      <c r="J60" s="1" t="n">
        <f aca="false">MEDIAN('2021'!$G$1:$G$366)</f>
        <v>5.42</v>
      </c>
      <c r="K60" s="1" t="n">
        <f aca="false">MEDIAN('2021'!$I$1:$I$366)</f>
        <v>72</v>
      </c>
    </row>
    <row r="61" customFormat="false" ht="14.4" hidden="false" customHeight="false" outlineLevel="0" collapsed="false">
      <c r="A61" s="1" t="s">
        <v>195</v>
      </c>
      <c r="B61" s="1" t="n">
        <f aca="false">QUARTILE('2020'!$C$1:$C$367, 1)</f>
        <v>1918</v>
      </c>
      <c r="C61" s="1" t="n">
        <f aca="false">QUARTILE('2020'!$E$1:$E$367, 1)</f>
        <v>82.6</v>
      </c>
      <c r="D61" s="1" t="n">
        <f aca="false">QUARTILE('2020'!$G$1:$G$367, 1)</f>
        <v>1.38</v>
      </c>
      <c r="E61" s="1" t="n">
        <f aca="false">QUARTILE('2020'!$I$1:$I$367, 1)</f>
        <v>20</v>
      </c>
      <c r="G61" s="1" t="s">
        <v>195</v>
      </c>
      <c r="H61" s="1" t="n">
        <f aca="false">QUARTILE('2021'!$C$1:$C$366, 1)</f>
        <v>5282.75</v>
      </c>
      <c r="I61" s="1" t="n">
        <f aca="false">QUARTILE('2021'!$E$1:$E$366, 1)</f>
        <v>229.275</v>
      </c>
      <c r="J61" s="1" t="n">
        <f aca="false">QUARTILE('2021'!$G$1:$G$366, 1)</f>
        <v>3.8025</v>
      </c>
      <c r="K61" s="1" t="n">
        <f aca="false">QUARTILE('2021'!$I$1:$I$366, 1)</f>
        <v>54.75</v>
      </c>
    </row>
    <row r="62" customFormat="false" ht="14.4" hidden="false" customHeight="false" outlineLevel="0" collapsed="false">
      <c r="A62" s="1" t="s">
        <v>181</v>
      </c>
      <c r="B62" s="1" t="n">
        <f aca="false">QUARTILE('2020'!$C$1:$C$367, 3)</f>
        <v>8077</v>
      </c>
      <c r="C62" s="1" t="n">
        <f aca="false">QUARTILE('2020'!$E$1:$E$367, 3)</f>
        <v>339.7</v>
      </c>
      <c r="D62" s="1" t="n">
        <f aca="false">QUARTILE('2020'!$G$1:$G$367, 3)</f>
        <v>5.85</v>
      </c>
      <c r="E62" s="1" t="n">
        <f aca="false">QUARTILE('2020'!$I$1:$I$367, 3)</f>
        <v>84</v>
      </c>
      <c r="G62" s="1" t="s">
        <v>181</v>
      </c>
      <c r="H62" s="1" t="n">
        <f aca="false">QUARTILE('2021'!$C$1:$C$366, 3)</f>
        <v>9814.5</v>
      </c>
      <c r="I62" s="1" t="n">
        <f aca="false">QUARTILE('2021'!$E$1:$E$366, 3)</f>
        <v>418.15</v>
      </c>
      <c r="J62" s="1" t="n">
        <f aca="false">QUARTILE('2021'!$G$1:$G$366, 3)</f>
        <v>7.0525</v>
      </c>
      <c r="K62" s="1" t="n">
        <f aca="false">QUARTILE('2021'!$I$1:$I$366, 3)</f>
        <v>93.25</v>
      </c>
    </row>
    <row r="63" customFormat="false" ht="14.4" hidden="false" customHeight="false" outlineLevel="0" collapsed="false">
      <c r="A63" s="1" t="s">
        <v>182</v>
      </c>
      <c r="B63" s="1" t="n">
        <f aca="false">VAR('2020'!$C$1:$C$367)</f>
        <v>52714787.214662</v>
      </c>
      <c r="C63" s="1" t="n">
        <f aca="false">VAR('2020'!$E$1:$E$367)</f>
        <v>96450.6254972152</v>
      </c>
      <c r="D63" s="1" t="n">
        <f aca="false">VAR('2020'!$G$1:$G$367)</f>
        <v>28.8355657955743</v>
      </c>
      <c r="E63" s="1" t="n">
        <f aca="false">VAR('2020'!$I$1:$I$367)</f>
        <v>6057.0686888454</v>
      </c>
      <c r="G63" s="1" t="s">
        <v>182</v>
      </c>
      <c r="H63" s="1" t="n">
        <f aca="false">VAR('2021'!$C$1:$C$366)</f>
        <v>35891291.5473539</v>
      </c>
      <c r="I63" s="1" t="n">
        <f aca="false">VAR('2021'!$E$1:$E$366)</f>
        <v>65920.9514193748</v>
      </c>
      <c r="J63" s="1" t="n">
        <f aca="false">VAR('2021'!$G$1:$G$366)</f>
        <v>18.4450662759208</v>
      </c>
      <c r="K63" s="1" t="n">
        <f aca="false">VAR('2021'!$I$1:$I$366)</f>
        <v>3734.52360724234</v>
      </c>
    </row>
    <row r="64" customFormat="false" ht="14.4" hidden="false" customHeight="false" outlineLevel="0" collapsed="false">
      <c r="A64" s="1" t="s">
        <v>16</v>
      </c>
      <c r="B64" s="1" t="n">
        <f aca="false">STDEV('2020'!$C$1:$C$367)</f>
        <v>7260.4949703627</v>
      </c>
      <c r="C64" s="1" t="n">
        <f aca="false">STDEV('2020'!$E$1:$E$367)</f>
        <v>310.565010098071</v>
      </c>
      <c r="D64" s="1" t="n">
        <f aca="false">STDEV('2020'!$G$1:$G$367)</f>
        <v>5.36987577096289</v>
      </c>
      <c r="E64" s="1" t="n">
        <f aca="false">STDEV('2020'!$I$1:$I$367)</f>
        <v>77.8271719185877</v>
      </c>
      <c r="G64" s="1" t="s">
        <v>16</v>
      </c>
      <c r="H64" s="1" t="n">
        <f aca="false">STDEV('2021'!$C$1:$C$366)</f>
        <v>5990.93411308736</v>
      </c>
      <c r="I64" s="1" t="n">
        <f aca="false">STDEV('2021'!$E$1:$E$366)</f>
        <v>256.750757388123</v>
      </c>
      <c r="J64" s="1" t="n">
        <f aca="false">STDEV('2021'!$G$1:$G$366)</f>
        <v>4.29477197018896</v>
      </c>
      <c r="K64" s="1" t="n">
        <f aca="false">STDEV('2021'!$I$1:$I$366)</f>
        <v>61.1107487046455</v>
      </c>
    </row>
    <row r="65" customFormat="false" ht="14.4" hidden="false" customHeight="false" outlineLevel="0" collapsed="false">
      <c r="A65" s="1" t="s">
        <v>20</v>
      </c>
      <c r="B65" s="1" t="n">
        <f aca="false">KURT('2020'!$C$1:$C$367)</f>
        <v>8.04415707436183</v>
      </c>
      <c r="C65" s="1" t="n">
        <f aca="false">KURT('2020'!$E$1:$E$367)</f>
        <v>8.33142924073099</v>
      </c>
      <c r="D65" s="1" t="n">
        <f aca="false">KURT('2020'!$G$1:$G$367)</f>
        <v>7.81595924466466</v>
      </c>
      <c r="E65" s="1" t="n">
        <f aca="false">KURT('2020'!$I$1:$I$367)</f>
        <v>8.89287718057034</v>
      </c>
      <c r="G65" s="1" t="s">
        <v>20</v>
      </c>
      <c r="H65" s="1" t="n">
        <f aca="false">KURT('2021'!$C$1:$C$366)</f>
        <v>4.48812573985591</v>
      </c>
      <c r="I65" s="1" t="n">
        <f aca="false">KURT('2021'!$E$1:$E$366)</f>
        <v>4.68340510250721</v>
      </c>
      <c r="J65" s="1" t="n">
        <f aca="false">KURT('2021'!$G$1:$G$366)</f>
        <v>4.62859938987273</v>
      </c>
      <c r="K65" s="1" t="n">
        <f aca="false">KURT('2021'!$I$1:$I$366)</f>
        <v>5.3071912768422</v>
      </c>
    </row>
    <row r="66" customFormat="false" ht="14.4" hidden="false" customHeight="false" outlineLevel="0" collapsed="false">
      <c r="A66" s="1" t="s">
        <v>22</v>
      </c>
      <c r="B66" s="1" t="n">
        <f aca="false">SKEW('2020'!$C$1:$C$367)</f>
        <v>2.5226246513309</v>
      </c>
      <c r="C66" s="1" t="n">
        <f aca="false">SKEW('2020'!$E$1:$E$367)</f>
        <v>2.56772432359003</v>
      </c>
      <c r="D66" s="1" t="n">
        <f aca="false">SKEW('2020'!$G$1:$G$367)</f>
        <v>2.52122881999083</v>
      </c>
      <c r="E66" s="1" t="n">
        <f aca="false">SKEW('2020'!$I$1:$I$367)</f>
        <v>2.65741879797883</v>
      </c>
      <c r="G66" s="1" t="s">
        <v>22</v>
      </c>
      <c r="H66" s="1" t="n">
        <f aca="false">SKEW('2021'!$C$1:$C$366)</f>
        <v>1.7751078430576</v>
      </c>
      <c r="I66" s="1" t="n">
        <f aca="false">SKEW('2021'!$E$1:$E$366)</f>
        <v>1.84486108482757</v>
      </c>
      <c r="J66" s="1" t="n">
        <f aca="false">SKEW('2021'!$G$1:$G$366)</f>
        <v>1.79840831105953</v>
      </c>
      <c r="K66" s="1" t="n">
        <f aca="false">SKEW('2021'!$I$1:$I$366)</f>
        <v>2.01070413056795</v>
      </c>
    </row>
    <row r="67" customFormat="false" ht="14.4" hidden="false" customHeight="false" outlineLevel="0" collapsed="false">
      <c r="A67" s="1" t="s">
        <v>24</v>
      </c>
      <c r="B67" s="1" t="n">
        <f aca="false">MAX('2020'!$C$1:$C$367)-MIN('2020'!$C$1:$C$367)</f>
        <v>48003</v>
      </c>
      <c r="C67" s="1" t="n">
        <f aca="false">MAX('2020'!$E$1:$E$367)-MIN('2020'!$E$1:$E$367)</f>
        <v>2072.6</v>
      </c>
      <c r="D67" s="1" t="n">
        <f aca="false">MAX('2020'!$G$1:$G$367)-MIN('2020'!$G$1:$G$367)</f>
        <v>34.56</v>
      </c>
      <c r="E67" s="1" t="n">
        <f aca="false">MAX('2020'!$I$1:$I$367)-MIN('2020'!$I$1:$I$367)</f>
        <v>524</v>
      </c>
      <c r="G67" s="1" t="s">
        <v>24</v>
      </c>
      <c r="H67" s="1" t="n">
        <f aca="false">MAX('2021'!$C$1:$C$366)-MIN('2021'!$C$1:$C$366)</f>
        <v>40796</v>
      </c>
      <c r="I67" s="1" t="n">
        <f aca="false">MAX('2021'!$E$1:$E$366)-MIN('2021'!$E$1:$E$366)</f>
        <v>1706.5</v>
      </c>
      <c r="J67" s="1" t="n">
        <f aca="false">MAX('2021'!$G$1:$G$366)-MIN('2021'!$G$1:$G$366)</f>
        <v>29.37</v>
      </c>
      <c r="K67" s="1" t="n">
        <f aca="false">MAX('2021'!$I$1:$I$366)-MIN('2021'!$I$1:$I$366)</f>
        <v>415</v>
      </c>
    </row>
    <row r="68" customFormat="false" ht="14.4" hidden="false" customHeight="false" outlineLevel="0" collapsed="false">
      <c r="A68" s="1" t="s">
        <v>26</v>
      </c>
      <c r="B68" s="1" t="n">
        <f aca="false">MIN('2020'!$C$1:$C$367)</f>
        <v>0</v>
      </c>
      <c r="C68" s="1" t="n">
        <f aca="false">MIN('2020'!$E$1:$E$367)</f>
        <v>0</v>
      </c>
      <c r="D68" s="1" t="n">
        <f aca="false">MIN('2020'!$G$1:$G$367)</f>
        <v>0</v>
      </c>
      <c r="E68" s="1" t="n">
        <f aca="false">MIN('2020'!$I$1:$I$367)</f>
        <v>0</v>
      </c>
      <c r="G68" s="1" t="s">
        <v>26</v>
      </c>
      <c r="H68" s="1" t="n">
        <f aca="false">MIN('2021'!$C$1:$C$366)</f>
        <v>11</v>
      </c>
      <c r="I68" s="1" t="n">
        <f aca="false">MIN('2021'!$E$1:$E$366)</f>
        <v>0.5</v>
      </c>
      <c r="J68" s="1" t="n">
        <f aca="false">MIN('2021'!$G$1:$G$366)</f>
        <v>0.01</v>
      </c>
      <c r="K68" s="1" t="n">
        <f aca="false">MIN('2021'!$I$1:$I$366)</f>
        <v>0</v>
      </c>
    </row>
    <row r="69" customFormat="false" ht="14.4" hidden="false" customHeight="false" outlineLevel="0" collapsed="false">
      <c r="A69" s="1" t="s">
        <v>28</v>
      </c>
      <c r="B69" s="1" t="n">
        <f aca="false">MAX('2020'!$C$1:$C$367)</f>
        <v>48003</v>
      </c>
      <c r="C69" s="1" t="n">
        <f aca="false">MAX('2020'!$E$1:$E$367)</f>
        <v>2072.6</v>
      </c>
      <c r="D69" s="1" t="n">
        <f aca="false">MAX('2020'!$G$1:$G$367)</f>
        <v>34.56</v>
      </c>
      <c r="E69" s="1" t="n">
        <f aca="false">MAX('2020'!$I$1:$I$367)</f>
        <v>524</v>
      </c>
      <c r="G69" s="1" t="s">
        <v>28</v>
      </c>
      <c r="H69" s="1" t="n">
        <f aca="false">MAX('2021'!$C$1:$C$366)</f>
        <v>40807</v>
      </c>
      <c r="I69" s="1" t="n">
        <f aca="false">MAX('2021'!$E$1:$E$366)</f>
        <v>1707</v>
      </c>
      <c r="J69" s="1" t="n">
        <f aca="false">MAX('2021'!$G$1:$G$366)</f>
        <v>29.38</v>
      </c>
      <c r="K69" s="1" t="n">
        <f aca="false">MAX('2021'!$I$1:$I$366)</f>
        <v>415</v>
      </c>
    </row>
    <row r="70" customFormat="false" ht="14.4" hidden="false" customHeight="false" outlineLevel="0" collapsed="false">
      <c r="A70" s="1" t="s">
        <v>30</v>
      </c>
      <c r="B70" s="1" t="n">
        <f aca="false">SUM('2020'!$C$1:$C$367)</f>
        <v>2350905</v>
      </c>
      <c r="C70" s="1" t="n">
        <f aca="false">SUM('2020'!$E$1:$E$367)</f>
        <v>100573.7</v>
      </c>
      <c r="D70" s="1" t="n">
        <f aca="false">SUM('2020'!$G$1:$G$367)</f>
        <v>1717.98</v>
      </c>
      <c r="E70" s="1" t="n">
        <f aca="false">SUM('2020'!$I$1:$I$367)</f>
        <v>24847</v>
      </c>
      <c r="G70" s="1" t="s">
        <v>30</v>
      </c>
      <c r="H70" s="1" t="n">
        <f aca="false">SUM('2021'!$C$1:$C$366)</f>
        <v>3089850</v>
      </c>
      <c r="I70" s="1" t="n">
        <f aca="false">SUM('2021'!$E$1:$E$366)</f>
        <v>132436.4</v>
      </c>
      <c r="J70" s="1" t="n">
        <f aca="false">SUM('2021'!$G$1:$G$366)</f>
        <v>2216.65</v>
      </c>
      <c r="K70" s="1" t="n">
        <f aca="false">SUM('2021'!$I$1:$I$366)</f>
        <v>30663</v>
      </c>
    </row>
    <row r="71" customFormat="false" ht="14.4" hidden="false" customHeight="false" outlineLevel="0" collapsed="false">
      <c r="A71" s="1" t="s">
        <v>32</v>
      </c>
      <c r="B71" s="1" t="n">
        <f aca="false">COUNT('2020'!$C$1:$C$367)</f>
        <v>365</v>
      </c>
      <c r="C71" s="1" t="n">
        <f aca="false">COUNT('2020'!$E$1:$E$367)</f>
        <v>365</v>
      </c>
      <c r="D71" s="1" t="n">
        <f aca="false">COUNT('2020'!$G$1:$G$367)</f>
        <v>365</v>
      </c>
      <c r="E71" s="1" t="n">
        <f aca="false">COUNT('2020'!$I$1:$I$367)</f>
        <v>365</v>
      </c>
      <c r="G71" s="1" t="s">
        <v>32</v>
      </c>
      <c r="H71" s="1" t="n">
        <f aca="false">COUNT('2021'!$C$1:$C$366)</f>
        <v>360</v>
      </c>
      <c r="I71" s="1" t="n">
        <f aca="false">COUNT('2021'!$E$1:$E$366)</f>
        <v>360</v>
      </c>
      <c r="J71" s="1" t="n">
        <f aca="false">COUNT('2021'!$G$1:$G$366)</f>
        <v>360</v>
      </c>
      <c r="K71" s="1" t="n">
        <f aca="false">COUNT('2021'!$I$1:$I$366)</f>
        <v>360</v>
      </c>
    </row>
    <row r="73" customFormat="false" ht="14.4" hidden="false" customHeight="false" outlineLevel="0" collapsed="false">
      <c r="A73" s="47" t="n">
        <v>2022</v>
      </c>
      <c r="B73" s="47"/>
      <c r="C73" s="47"/>
      <c r="D73" s="47"/>
      <c r="E73" s="47"/>
      <c r="G73" s="47" t="n">
        <v>2023</v>
      </c>
      <c r="H73" s="47"/>
      <c r="I73" s="47"/>
      <c r="J73" s="47"/>
      <c r="K73" s="47"/>
    </row>
    <row r="74" customFormat="false" ht="14.4" hidden="false" customHeight="false" outlineLevel="0" collapsed="false">
      <c r="B74" s="34" t="s">
        <v>2</v>
      </c>
      <c r="C74" s="34" t="s">
        <v>179</v>
      </c>
      <c r="D74" s="34" t="s">
        <v>175</v>
      </c>
      <c r="E74" s="34" t="s">
        <v>177</v>
      </c>
      <c r="H74" s="34" t="s">
        <v>2</v>
      </c>
      <c r="I74" s="34" t="s">
        <v>179</v>
      </c>
      <c r="J74" s="34" t="s">
        <v>175</v>
      </c>
      <c r="K74" s="34" t="s">
        <v>177</v>
      </c>
    </row>
    <row r="75" customFormat="false" ht="14.4" hidden="false" customHeight="false" outlineLevel="0" collapsed="false">
      <c r="A75" s="1" t="s">
        <v>8</v>
      </c>
      <c r="B75" s="1" t="n">
        <v>7169.97783933518</v>
      </c>
      <c r="C75" s="1" t="n">
        <v>326.173407202216</v>
      </c>
      <c r="D75" s="1" t="n">
        <v>5.16459833795014</v>
      </c>
      <c r="E75" s="1" t="n">
        <v>76.3545706371191</v>
      </c>
      <c r="G75" s="1" t="s">
        <v>8</v>
      </c>
      <c r="H75" s="1" t="n">
        <f aca="false">AVERAGE('2023'!$C$2:$C$366)</f>
        <v>9593.57183908046</v>
      </c>
      <c r="I75" s="1" t="n">
        <f aca="false">AVERAGE('2023'!$E$2:$E$366)</f>
        <v>427.920114942529</v>
      </c>
      <c r="J75" s="1" t="n">
        <f aca="false">AVERAGE('2023'!$G$2:$G$366)</f>
        <v>6.8064367816092</v>
      </c>
      <c r="K75" s="1" t="n">
        <f aca="false">AVERAGE('2023'!$I$2:$I$366)</f>
        <v>88.0344827586207</v>
      </c>
    </row>
    <row r="76" customFormat="false" ht="14.4" hidden="false" customHeight="false" outlineLevel="0" collapsed="false">
      <c r="A76" s="1" t="s">
        <v>10</v>
      </c>
      <c r="B76" s="1" t="n">
        <v>200.257583392585</v>
      </c>
      <c r="C76" s="1" t="n">
        <v>8.93699013883775</v>
      </c>
      <c r="D76" s="1" t="n">
        <v>0.14421014659208</v>
      </c>
      <c r="E76" s="1" t="n">
        <v>2.07797855684827</v>
      </c>
      <c r="G76" s="1" t="s">
        <v>10</v>
      </c>
      <c r="H76" s="1" t="n">
        <f aca="false">SQRT(VAR('2023'!$C$2:$C$366)/COUNT('2023'!$C$2:$C$366))</f>
        <v>278.100477544277</v>
      </c>
      <c r="I76" s="1" t="n">
        <f aca="false">SQRT(VAR('2023'!$E$2:$E$366)/COUNT('2023'!$E$2:$E$366))</f>
        <v>12.2219192860116</v>
      </c>
      <c r="J76" s="1" t="n">
        <f aca="false">SQRT(VAR('2023'!$G$2:$G$366)/COUNT('2023'!$G$2:$G$366))</f>
        <v>0.195616055850516</v>
      </c>
      <c r="K76" s="1" t="n">
        <f aca="false">SQRT(VAR('2023'!$I$2:$I$366)/COUNT('2023'!$I$2:$I$366))</f>
        <v>2.51050920782034</v>
      </c>
    </row>
    <row r="77" customFormat="false" ht="14.4" hidden="false" customHeight="false" outlineLevel="0" collapsed="false">
      <c r="A77" s="1" t="s">
        <v>14</v>
      </c>
      <c r="B77" s="1" t="n">
        <v>6199</v>
      </c>
      <c r="C77" s="1" t="n">
        <v>334.1</v>
      </c>
      <c r="D77" s="1" t="n">
        <v>4.45</v>
      </c>
      <c r="E77" s="1" t="n">
        <v>77</v>
      </c>
      <c r="G77" s="1" t="s">
        <v>14</v>
      </c>
      <c r="H77" s="1" t="n">
        <f aca="false">MODE('2023'!$C$2:$C$366)</f>
        <v>2664</v>
      </c>
      <c r="I77" s="1" t="n">
        <f aca="false">MODE('2023'!$E$2:$E$366)</f>
        <v>299.3</v>
      </c>
      <c r="J77" s="1" t="n">
        <f aca="false">MODE('2023'!$G$2:$G$366)</f>
        <v>4.7</v>
      </c>
      <c r="K77" s="1" t="n">
        <f aca="false">MODE('2023'!$I$2:$I$366)</f>
        <v>88</v>
      </c>
    </row>
    <row r="78" customFormat="false" ht="14.4" hidden="false" customHeight="false" outlineLevel="0" collapsed="false">
      <c r="A78" s="1" t="s">
        <v>12</v>
      </c>
      <c r="B78" s="1" t="n">
        <v>6900</v>
      </c>
      <c r="C78" s="1" t="n">
        <v>312.3</v>
      </c>
      <c r="D78" s="1" t="n">
        <v>4.97</v>
      </c>
      <c r="E78" s="1" t="n">
        <v>73</v>
      </c>
      <c r="G78" s="1" t="s">
        <v>12</v>
      </c>
      <c r="H78" s="1" t="n">
        <f aca="false">MEDIAN('2023'!$C$2:$C$366)</f>
        <v>8894.5</v>
      </c>
      <c r="I78" s="1" t="n">
        <f aca="false">MEDIAN('2023'!$E$2:$E$366)</f>
        <v>394.55</v>
      </c>
      <c r="J78" s="1" t="n">
        <f aca="false">MEDIAN('2023'!$G$2:$G$366)</f>
        <v>6.26</v>
      </c>
      <c r="K78" s="1" t="n">
        <f aca="false">MEDIAN('2023'!$I$2:$I$366)</f>
        <v>80</v>
      </c>
    </row>
    <row r="79" customFormat="false" ht="14.4" hidden="false" customHeight="false" outlineLevel="0" collapsed="false">
      <c r="A79" s="1" t="s">
        <v>195</v>
      </c>
      <c r="B79" s="1" t="n">
        <v>5028</v>
      </c>
      <c r="C79" s="1" t="n">
        <v>231.1</v>
      </c>
      <c r="D79" s="1" t="n">
        <v>3.62</v>
      </c>
      <c r="E79" s="1" t="n">
        <v>54</v>
      </c>
      <c r="G79" s="1" t="s">
        <v>195</v>
      </c>
      <c r="H79" s="1" t="n">
        <f aca="false">QUARTILE('2023'!$C$2:$C$366, 1)</f>
        <v>6461</v>
      </c>
      <c r="I79" s="1" t="n">
        <f aca="false">QUARTILE('2023'!$E$2:$E$366, 1)</f>
        <v>287</v>
      </c>
      <c r="J79" s="1" t="n">
        <f aca="false">QUARTILE('2023'!$G$2:$G$366, 1)</f>
        <v>4.645</v>
      </c>
      <c r="K79" s="1" t="n">
        <f aca="false">QUARTILE('2023'!$I$2:$I$366, 1)</f>
        <v>61.75</v>
      </c>
    </row>
    <row r="80" customFormat="false" ht="14.4" hidden="false" customHeight="false" outlineLevel="0" collapsed="false">
      <c r="A80" s="1" t="s">
        <v>181</v>
      </c>
      <c r="B80" s="1" t="n">
        <v>8515</v>
      </c>
      <c r="C80" s="1" t="n">
        <v>383</v>
      </c>
      <c r="D80" s="1" t="n">
        <v>6.13</v>
      </c>
      <c r="E80" s="1" t="n">
        <v>88</v>
      </c>
      <c r="G80" s="1" t="s">
        <v>181</v>
      </c>
      <c r="H80" s="1" t="n">
        <f aca="false">QUARTILE('2023'!$C$2:$C$366, 3)</f>
        <v>11655.75</v>
      </c>
      <c r="I80" s="1" t="n">
        <f aca="false">QUARTILE('2023'!$E$2:$E$366, 3)</f>
        <v>517.55</v>
      </c>
      <c r="J80" s="1" t="n">
        <f aca="false">QUARTILE('2023'!$G$2:$G$366, 3)</f>
        <v>8.2725</v>
      </c>
      <c r="K80" s="1" t="n">
        <f aca="false">QUARTILE('2023'!$I$2:$I$366, 3)</f>
        <v>104</v>
      </c>
    </row>
    <row r="81" customFormat="false" ht="14.4" hidden="false" customHeight="false" outlineLevel="0" collapsed="false">
      <c r="A81" s="1" t="s">
        <v>182</v>
      </c>
      <c r="B81" s="1" t="n">
        <v>14477218.993952</v>
      </c>
      <c r="C81" s="1" t="n">
        <v>28832.9951797476</v>
      </c>
      <c r="D81" s="1" t="n">
        <v>7.50756046321945</v>
      </c>
      <c r="E81" s="1" t="n">
        <v>1558.79615266236</v>
      </c>
      <c r="G81" s="1" t="s">
        <v>182</v>
      </c>
      <c r="H81" s="1" t="n">
        <f aca="false">VAR('2023'!$C$2:$C$366)</f>
        <v>26914276.7124035</v>
      </c>
      <c r="I81" s="1" t="n">
        <f aca="false">VAR('2023'!$E$2:$E$366)</f>
        <v>51982.6082397562</v>
      </c>
      <c r="J81" s="1" t="n">
        <f aca="false">VAR('2023'!$G$2:$G$366)</f>
        <v>13.3164431746663</v>
      </c>
      <c r="K81" s="1" t="n">
        <f aca="false">VAR('2023'!$I$2:$I$366)</f>
        <v>2193.32445592766</v>
      </c>
    </row>
    <row r="82" customFormat="false" ht="14.4" hidden="false" customHeight="false" outlineLevel="0" collapsed="false">
      <c r="A82" s="1" t="s">
        <v>16</v>
      </c>
      <c r="B82" s="1" t="n">
        <v>3804.89408445912</v>
      </c>
      <c r="C82" s="1" t="n">
        <v>169.802812637917</v>
      </c>
      <c r="D82" s="1" t="n">
        <v>2.73999278524953</v>
      </c>
      <c r="E82" s="1" t="n">
        <v>39.4815925801171</v>
      </c>
      <c r="G82" s="1" t="s">
        <v>16</v>
      </c>
      <c r="H82" s="1" t="n">
        <f aca="false">STDEV('2023'!$C$2:$C$366)</f>
        <v>5187.89713780097</v>
      </c>
      <c r="I82" s="1" t="n">
        <f aca="false">STDEV('2023'!$E$2:$E$366)</f>
        <v>227.996947873774</v>
      </c>
      <c r="J82" s="1" t="n">
        <f aca="false">STDEV('2023'!$G$2:$G$366)</f>
        <v>3.64917020357591</v>
      </c>
      <c r="K82" s="1" t="n">
        <f aca="false">STDEV('2023'!$I$2:$I$366)</f>
        <v>46.8329419952201</v>
      </c>
    </row>
    <row r="83" customFormat="false" ht="14.4" hidden="false" customHeight="false" outlineLevel="0" collapsed="false">
      <c r="A83" s="1" t="s">
        <v>20</v>
      </c>
      <c r="B83" s="1" t="n">
        <v>4.24411840789438</v>
      </c>
      <c r="C83" s="1" t="n">
        <v>4.33194889539772</v>
      </c>
      <c r="D83" s="1" t="n">
        <v>4.23374360703946</v>
      </c>
      <c r="E83" s="1" t="n">
        <v>4.6848721526308</v>
      </c>
      <c r="G83" s="1" t="s">
        <v>20</v>
      </c>
      <c r="H83" s="1" t="n">
        <f aca="false">KURT('2023'!$C$2:$C$366)</f>
        <v>4.49057315426386</v>
      </c>
      <c r="I83" s="1" t="n">
        <f aca="false">KURT('2023'!$E$2:$E$366)</f>
        <v>3.543190726189</v>
      </c>
      <c r="J83" s="1" t="n">
        <f aca="false">KURT('2023'!$G$2:$G$366)</f>
        <v>4.28363365469822</v>
      </c>
      <c r="K83" s="1" t="n">
        <f aca="false">KURT('2023'!$I$2:$I$366)</f>
        <v>4.89501897459422</v>
      </c>
    </row>
    <row r="84" customFormat="false" ht="14.4" hidden="false" customHeight="false" outlineLevel="0" collapsed="false">
      <c r="A84" s="1" t="s">
        <v>22</v>
      </c>
      <c r="B84" s="1" t="n">
        <v>1.3596117604023</v>
      </c>
      <c r="C84" s="1" t="n">
        <v>1.40437084454755</v>
      </c>
      <c r="D84" s="1" t="n">
        <v>1.3567121985247</v>
      </c>
      <c r="E84" s="1" t="n">
        <v>1.51182565073278</v>
      </c>
      <c r="G84" s="1" t="s">
        <v>22</v>
      </c>
      <c r="H84" s="1" t="n">
        <f aca="false">SKEW('2023'!$C$2:$C$366)</f>
        <v>1.58301325840867</v>
      </c>
      <c r="I84" s="1" t="n">
        <f aca="false">SKEW('2023'!$E$2:$E$366)</f>
        <v>1.4513372012152</v>
      </c>
      <c r="J84" s="1" t="n">
        <f aca="false">SKEW('2023'!$G$2:$G$366)</f>
        <v>1.54092116065403</v>
      </c>
      <c r="K84" s="1" t="n">
        <f aca="false">SKEW('2023'!$I$2:$I$366)</f>
        <v>1.79348743933904</v>
      </c>
    </row>
    <row r="85" customFormat="false" ht="14.4" hidden="false" customHeight="false" outlineLevel="0" collapsed="false">
      <c r="A85" s="1" t="s">
        <v>24</v>
      </c>
      <c r="B85" s="1" t="n">
        <v>28588</v>
      </c>
      <c r="C85" s="1" t="n">
        <v>1248.9</v>
      </c>
      <c r="D85" s="1" t="n">
        <v>20.58</v>
      </c>
      <c r="E85" s="1" t="n">
        <v>280</v>
      </c>
      <c r="G85" s="1" t="s">
        <v>24</v>
      </c>
      <c r="H85" s="1" t="n">
        <f aca="false">MAX('2023'!$C$2:$C$366)-MIN('2023'!$C$2:$C$366)</f>
        <v>33785</v>
      </c>
      <c r="I85" s="1" t="n">
        <f aca="false">MAX('2023'!$E$2:$E$366)-MIN('2023'!$E$2:$E$366)</f>
        <v>1436.3</v>
      </c>
      <c r="J85" s="1" t="n">
        <f aca="false">MAX('2023'!$G$2:$G$366)-MIN('2023'!$G$2:$G$366)</f>
        <v>23.64</v>
      </c>
      <c r="K85" s="1" t="n">
        <f aca="false">MAX('2023'!$I$2:$I$366)-MIN('2023'!$I$2:$I$366)</f>
        <v>299</v>
      </c>
    </row>
    <row r="86" customFormat="false" ht="14.4" hidden="false" customHeight="false" outlineLevel="0" collapsed="false">
      <c r="A86" s="1" t="s">
        <v>26</v>
      </c>
      <c r="B86" s="1" t="n">
        <v>151</v>
      </c>
      <c r="C86" s="1" t="n">
        <v>7.5</v>
      </c>
      <c r="D86" s="1" t="n">
        <v>0.11</v>
      </c>
      <c r="E86" s="1" t="n">
        <v>1</v>
      </c>
      <c r="G86" s="1" t="s">
        <v>26</v>
      </c>
      <c r="H86" s="1" t="n">
        <f aca="false">MIN('2023'!$C$2:$C$366)</f>
        <v>611</v>
      </c>
      <c r="I86" s="1" t="n">
        <f aca="false">MIN('2023'!$E$2:$E$366)</f>
        <v>28.6</v>
      </c>
      <c r="J86" s="1" t="n">
        <f aca="false">MIN('2023'!$G$2:$G$366)</f>
        <v>0.44</v>
      </c>
      <c r="K86" s="1" t="n">
        <f aca="false">MIN('2023'!$I$2:$I$366)</f>
        <v>7</v>
      </c>
    </row>
    <row r="87" customFormat="false" ht="14.4" hidden="false" customHeight="false" outlineLevel="0" collapsed="false">
      <c r="A87" s="1" t="s">
        <v>28</v>
      </c>
      <c r="B87" s="1" t="n">
        <v>28739</v>
      </c>
      <c r="C87" s="1" t="n">
        <v>1256.4</v>
      </c>
      <c r="D87" s="1" t="n">
        <v>20.69</v>
      </c>
      <c r="E87" s="1" t="n">
        <v>281</v>
      </c>
      <c r="G87" s="1" t="s">
        <v>28</v>
      </c>
      <c r="H87" s="1" t="n">
        <f aca="false">MAX('2023'!$C$2:$C$366)</f>
        <v>34396</v>
      </c>
      <c r="I87" s="1" t="n">
        <f aca="false">MAX('2023'!$E$2:$E$366)</f>
        <v>1464.9</v>
      </c>
      <c r="J87" s="1" t="n">
        <f aca="false">MAX('2023'!$G$2:$G$366)</f>
        <v>24.08</v>
      </c>
      <c r="K87" s="1" t="n">
        <f aca="false">MAX('2023'!$I$2:$I$366)</f>
        <v>306</v>
      </c>
    </row>
    <row r="88" customFormat="false" ht="14.4" hidden="false" customHeight="false" outlineLevel="0" collapsed="false">
      <c r="A88" s="1" t="s">
        <v>30</v>
      </c>
      <c r="B88" s="1" t="n">
        <v>2588362</v>
      </c>
      <c r="C88" s="1" t="n">
        <v>117748.6</v>
      </c>
      <c r="D88" s="1" t="n">
        <v>1864.42</v>
      </c>
      <c r="E88" s="1" t="n">
        <v>27564</v>
      </c>
      <c r="G88" s="1" t="s">
        <v>30</v>
      </c>
      <c r="H88" s="1" t="n">
        <f aca="false">SUM('2023'!$C$2:$C$366)</f>
        <v>3338563</v>
      </c>
      <c r="I88" s="1" t="n">
        <f aca="false">SUM('2023'!$E$2:$E$366)</f>
        <v>148916.2</v>
      </c>
      <c r="J88" s="1" t="n">
        <f aca="false">SUM('2023'!$G$2:$G$366)</f>
        <v>2368.64</v>
      </c>
      <c r="K88" s="1" t="n">
        <f aca="false">SUM('2023'!$I$2:$I$366)</f>
        <v>30636</v>
      </c>
    </row>
    <row r="89" customFormat="false" ht="14.4" hidden="false" customHeight="false" outlineLevel="0" collapsed="false">
      <c r="A89" s="1" t="s">
        <v>32</v>
      </c>
      <c r="B89" s="1" t="n">
        <v>361</v>
      </c>
      <c r="C89" s="1" t="n">
        <v>361</v>
      </c>
      <c r="D89" s="1" t="n">
        <v>361</v>
      </c>
      <c r="E89" s="1" t="n">
        <v>361</v>
      </c>
      <c r="G89" s="1" t="s">
        <v>32</v>
      </c>
      <c r="H89" s="1" t="n">
        <f aca="false">COUNT('2023'!$C$2:$C$366)</f>
        <v>348</v>
      </c>
      <c r="I89" s="1" t="n">
        <f aca="false">COUNT('2023'!$E$2:$E$366)</f>
        <v>348</v>
      </c>
      <c r="J89" s="1" t="n">
        <f aca="false">COUNT('2023'!$G$2:$G$366)</f>
        <v>348</v>
      </c>
      <c r="K89" s="1" t="n">
        <f aca="false">COUNT('2023'!$I$2:$I$366)</f>
        <v>348</v>
      </c>
    </row>
    <row r="91" customFormat="false" ht="14.4" hidden="false" customHeight="false" outlineLevel="0" collapsed="false">
      <c r="A91" s="47" t="n">
        <v>2024</v>
      </c>
      <c r="B91" s="47"/>
      <c r="C91" s="47"/>
      <c r="D91" s="47"/>
      <c r="E91" s="47"/>
      <c r="G91" s="47" t="n">
        <v>2025</v>
      </c>
      <c r="H91" s="47"/>
      <c r="I91" s="47"/>
      <c r="J91" s="47"/>
      <c r="K91" s="47"/>
    </row>
    <row r="92" customFormat="false" ht="14.4" hidden="false" customHeight="false" outlineLevel="0" collapsed="false">
      <c r="B92" s="34" t="s">
        <v>2</v>
      </c>
      <c r="C92" s="34" t="s">
        <v>179</v>
      </c>
      <c r="D92" s="34" t="s">
        <v>175</v>
      </c>
      <c r="E92" s="34" t="s">
        <v>177</v>
      </c>
      <c r="H92" s="34" t="s">
        <v>2</v>
      </c>
      <c r="I92" s="34" t="s">
        <v>179</v>
      </c>
      <c r="J92" s="34" t="s">
        <v>175</v>
      </c>
      <c r="K92" s="34" t="s">
        <v>177</v>
      </c>
    </row>
    <row r="93" customFormat="false" ht="14.4" hidden="false" customHeight="false" outlineLevel="0" collapsed="false">
      <c r="A93" s="1" t="s">
        <v>8</v>
      </c>
      <c r="B93" s="1" t="n">
        <f aca="false">AVERAGE('2024'!$C$1:$C$367)</f>
        <v>12843.4672131148</v>
      </c>
      <c r="C93" s="1" t="n">
        <f aca="false">AVERAGE('2024'!$E$1:$E$367)</f>
        <v>550.633606557377</v>
      </c>
      <c r="D93" s="1" t="n">
        <f aca="false">AVERAGE('2024'!$G$1:$G$367)</f>
        <v>8.99013661202186</v>
      </c>
      <c r="E93" s="1" t="n">
        <f aca="false">AVERAGE('2024'!$I$1:$I$367)</f>
        <v>122.836065573771</v>
      </c>
      <c r="G93" s="1" t="s">
        <v>8</v>
      </c>
      <c r="H93" s="1" t="n">
        <f aca="false">AVERAGE('2025'!$B$1:$B$366)</f>
        <v>14749.7808219178</v>
      </c>
      <c r="I93" s="1" t="n">
        <f aca="false">AVERAGE('2025'!$D$1:$D$366)</f>
        <v>645.004109589041</v>
      </c>
      <c r="J93" s="1" t="n">
        <f aca="false">AVERAGE('2025'!$F$1:$F$366)</f>
        <v>10.5549589041096</v>
      </c>
      <c r="K93" s="1" t="n">
        <f aca="false">AVERAGE('2025'!$H$1:$H$366)</f>
        <v>140.145205479452</v>
      </c>
    </row>
    <row r="94" customFormat="false" ht="14.4" hidden="false" customHeight="false" outlineLevel="0" collapsed="false">
      <c r="A94" s="1" t="s">
        <v>10</v>
      </c>
      <c r="B94" s="1" t="n">
        <f aca="false">SQRT(VAR('2024'!$C$1:$C$367)/COUNT('2024'!$C$1:$C$367))</f>
        <v>330.252029883327</v>
      </c>
      <c r="C94" s="1" t="n">
        <f aca="false">SQRT(VAR('2024'!$E$1:$E$367)/COUNT('2024'!$E$1:$E$367))</f>
        <v>14.1471197864851</v>
      </c>
      <c r="D94" s="1" t="n">
        <f aca="false">SQRT(VAR('2024'!$G$1:$G$367)/COUNT('2024'!$G$1:$G$367))</f>
        <v>0.23117878300479</v>
      </c>
      <c r="E94" s="1" t="n">
        <f aca="false">SQRT(VAR('2024'!$I$1:$I$367)/COUNT('2024'!$I$1:$I$367))</f>
        <v>3.1930220956891</v>
      </c>
      <c r="G94" s="1" t="s">
        <v>10</v>
      </c>
      <c r="H94" s="1" t="n">
        <f aca="false">SQRT(VAR('2025'!$B$1:$B$366)/COUNT('2025'!$B$1:$B$366))</f>
        <v>309.61621300605</v>
      </c>
      <c r="I94" s="1" t="n">
        <f aca="false">SQRT(VAR('2025'!$D$1:$D$366)/COUNT('2025'!$D$1:$D$366))</f>
        <v>13.6409229708249</v>
      </c>
      <c r="J94" s="1" t="n">
        <f aca="false">SQRT(VAR('2025'!$F$1:$F$366)/COUNT('2025'!$F$1:$F$366))</f>
        <v>0.223073604309907</v>
      </c>
      <c r="K94" s="1" t="n">
        <f aca="false">SQRT(VAR('2025'!$H$1:$H$366)/COUNT('2025'!$H$1:$H$366))</f>
        <v>2.92464611546756</v>
      </c>
    </row>
    <row r="95" customFormat="false" ht="14.4" hidden="false" customHeight="false" outlineLevel="0" collapsed="false">
      <c r="A95" s="1" t="s">
        <v>14</v>
      </c>
      <c r="B95" s="1" t="n">
        <f aca="false">MODE('2024'!$C$1:$C$367)</f>
        <v>6615</v>
      </c>
      <c r="C95" s="1" t="n">
        <f aca="false">MODE('2024'!$E$1:$E$367)</f>
        <v>277.9</v>
      </c>
      <c r="D95" s="1" t="n">
        <f aca="false">MODE('2024'!$G$1:$G$367)</f>
        <v>5.75</v>
      </c>
      <c r="E95" s="1" t="n">
        <f aca="false">MODE('2024'!$I$1:$I$367)</f>
        <v>70</v>
      </c>
      <c r="G95" s="1" t="s">
        <v>14</v>
      </c>
      <c r="H95" s="1" t="n">
        <f aca="false">MODE('2025'!$B$1:$B$366)</f>
        <v>8969</v>
      </c>
      <c r="I95" s="1" t="n">
        <f aca="false">MODE('2025'!$D$1:$D$366)</f>
        <v>350.5</v>
      </c>
      <c r="J95" s="1" t="n">
        <f aca="false">MODE('2025'!$F$1:$F$366)</f>
        <v>6.46</v>
      </c>
      <c r="K95" s="1" t="n">
        <f aca="false">MODE('2025'!$H$1:$H$366)</f>
        <v>125</v>
      </c>
    </row>
    <row r="96" customFormat="false" ht="14.4" hidden="false" customHeight="false" outlineLevel="0" collapsed="false">
      <c r="A96" s="1" t="s">
        <v>12</v>
      </c>
      <c r="B96" s="1" t="n">
        <f aca="false">MEDIAN('2024'!$C$1:$C$367)</f>
        <v>12403</v>
      </c>
      <c r="C96" s="1" t="n">
        <f aca="false">MEDIAN('2024'!$E$1:$E$367)</f>
        <v>529.25</v>
      </c>
      <c r="D96" s="1" t="n">
        <f aca="false">MEDIAN('2024'!$G$1:$G$367)</f>
        <v>8.68</v>
      </c>
      <c r="E96" s="1" t="n">
        <f aca="false">MEDIAN('2024'!$I$1:$I$367)</f>
        <v>117.5</v>
      </c>
      <c r="G96" s="1" t="s">
        <v>12</v>
      </c>
      <c r="H96" s="1" t="n">
        <f aca="false">MEDIAN('2025'!$B$1:$B$366)</f>
        <v>14390</v>
      </c>
      <c r="I96" s="1" t="n">
        <f aca="false">MEDIAN('2025'!$D$1:$D$366)</f>
        <v>629</v>
      </c>
      <c r="J96" s="1" t="n">
        <f aca="false">MEDIAN('2025'!$F$1:$F$366)</f>
        <v>10.33</v>
      </c>
      <c r="K96" s="1" t="n">
        <f aca="false">MEDIAN('2025'!$H$1:$H$366)</f>
        <v>136</v>
      </c>
    </row>
    <row r="97" customFormat="false" ht="14.4" hidden="false" customHeight="false" outlineLevel="0" collapsed="false">
      <c r="A97" s="1" t="s">
        <v>195</v>
      </c>
      <c r="B97" s="1" t="n">
        <f aca="false">QUARTILE('2024'!$C$1:$C$367, 1)</f>
        <v>8219</v>
      </c>
      <c r="C97" s="1" t="n">
        <f aca="false">QUARTILE('2024'!$E$1:$E$367, 1)</f>
        <v>357.65</v>
      </c>
      <c r="D97" s="1" t="n">
        <f aca="false">QUARTILE('2024'!$G$1:$G$367, 1)</f>
        <v>5.75</v>
      </c>
      <c r="E97" s="1" t="n">
        <f aca="false">QUARTILE('2024'!$I$1:$I$367, 1)</f>
        <v>81</v>
      </c>
      <c r="G97" s="1" t="s">
        <v>195</v>
      </c>
      <c r="H97" s="1" t="n">
        <f aca="false">QUARTILE('2025'!$B$1:$B$366, 1)</f>
        <v>11112</v>
      </c>
      <c r="I97" s="1" t="n">
        <f aca="false">QUARTILE('2025'!$D$1:$D$366, 1)</f>
        <v>483.2</v>
      </c>
      <c r="J97" s="1" t="n">
        <f aca="false">QUARTILE('2025'!$F$1:$F$366, 1)</f>
        <v>7.94</v>
      </c>
      <c r="K97" s="1" t="n">
        <f aca="false">QUARTILE('2025'!$H$1:$H$366, 1)</f>
        <v>105</v>
      </c>
    </row>
    <row r="98" customFormat="false" ht="14.4" hidden="false" customHeight="false" outlineLevel="0" collapsed="false">
      <c r="A98" s="1" t="s">
        <v>181</v>
      </c>
      <c r="B98" s="1" t="n">
        <f aca="false">QUARTILE('2024'!$C$1:$C$367, 3)</f>
        <v>15912.25</v>
      </c>
      <c r="C98" s="1" t="n">
        <f aca="false">QUARTILE('2024'!$E$1:$E$367, 3)</f>
        <v>681.025</v>
      </c>
      <c r="D98" s="1" t="n">
        <f aca="false">QUARTILE('2024'!$G$1:$G$367, 3)</f>
        <v>11.14</v>
      </c>
      <c r="E98" s="1" t="n">
        <f aca="false">QUARTILE('2024'!$I$1:$I$367, 3)</f>
        <v>150</v>
      </c>
      <c r="G98" s="1" t="s">
        <v>181</v>
      </c>
      <c r="H98" s="1" t="n">
        <f aca="false">QUARTILE('2025'!$B$1:$B$366, 3)</f>
        <v>17725</v>
      </c>
      <c r="I98" s="1" t="n">
        <f aca="false">QUARTILE('2025'!$D$1:$D$366, 3)</f>
        <v>770.5</v>
      </c>
      <c r="J98" s="1" t="n">
        <f aca="false">QUARTILE('2025'!$F$1:$F$366, 3)</f>
        <v>12.7</v>
      </c>
      <c r="K98" s="1" t="n">
        <f aca="false">QUARTILE('2025'!$H$1:$H$366, 3)</f>
        <v>167</v>
      </c>
    </row>
    <row r="99" customFormat="false" ht="14.4" hidden="false" customHeight="false" outlineLevel="0" collapsed="false">
      <c r="A99" s="1" t="s">
        <v>182</v>
      </c>
      <c r="B99" s="1" t="n">
        <f aca="false">VAR('2024'!$C$1:$C$367)</f>
        <v>39918303.5865933</v>
      </c>
      <c r="C99" s="1" t="n">
        <f aca="false">VAR('2024'!$E$1:$E$367)</f>
        <v>73251.6053606557</v>
      </c>
      <c r="D99" s="1" t="n">
        <f aca="false">VAR('2024'!$G$1:$G$367)</f>
        <v>19.5603684744367</v>
      </c>
      <c r="E99" s="1" t="n">
        <f aca="false">VAR('2024'!$I$1:$I$367)</f>
        <v>3731.51277790254</v>
      </c>
      <c r="G99" s="1" t="s">
        <v>182</v>
      </c>
      <c r="H99" s="1" t="n">
        <f aca="false">VAR('2025'!$B$1:$B$366)</f>
        <v>34989702.7650158</v>
      </c>
      <c r="I99" s="1" t="n">
        <f aca="false">VAR('2025'!$D$1:$D$366)</f>
        <v>67917.294516032</v>
      </c>
      <c r="J99" s="1" t="n">
        <f aca="false">VAR('2025'!$F$1:$F$366)</f>
        <v>18.1630690230318</v>
      </c>
      <c r="K99" s="1" t="n">
        <f aca="false">VAR('2025'!$H$1:$H$366)</f>
        <v>3122.04753876261</v>
      </c>
    </row>
    <row r="100" customFormat="false" ht="14.4" hidden="false" customHeight="false" outlineLevel="0" collapsed="false">
      <c r="A100" s="1" t="s">
        <v>16</v>
      </c>
      <c r="B100" s="1" t="n">
        <f aca="false">STDEV('2024'!$C$1:$C$367)</f>
        <v>6318.09335057605</v>
      </c>
      <c r="C100" s="1" t="n">
        <f aca="false">STDEV('2024'!$E$1:$E$367)</f>
        <v>270.650337817369</v>
      </c>
      <c r="D100" s="1" t="n">
        <f aca="false">STDEV('2024'!$G$1:$G$367)</f>
        <v>4.42271053477805</v>
      </c>
      <c r="E100" s="1" t="n">
        <f aca="false">STDEV('2024'!$I$1:$I$367)</f>
        <v>61.0861095332035</v>
      </c>
      <c r="G100" s="1" t="s">
        <v>16</v>
      </c>
      <c r="H100" s="1" t="n">
        <f aca="false">STDEV('2025'!$B$1:$B$366)</f>
        <v>5915.20944388412</v>
      </c>
      <c r="I100" s="1" t="n">
        <f aca="false">STDEV('2025'!$D$1:$D$366)</f>
        <v>260.609467433614</v>
      </c>
      <c r="J100" s="1" t="n">
        <f aca="false">STDEV('2025'!$F$1:$F$366)</f>
        <v>4.26181522628935</v>
      </c>
      <c r="K100" s="1" t="n">
        <f aca="false">STDEV('2025'!$H$1:$H$366)</f>
        <v>55.8752855810385</v>
      </c>
    </row>
    <row r="101" customFormat="false" ht="14.4" hidden="false" customHeight="false" outlineLevel="0" collapsed="false">
      <c r="A101" s="1" t="s">
        <v>20</v>
      </c>
      <c r="B101" s="1" t="n">
        <f aca="false">KURT('2024'!$C$1:$C$367)</f>
        <v>2.26398676311285</v>
      </c>
      <c r="C101" s="1" t="n">
        <f aca="false">KURT('2024'!$E$1:$E$367)</f>
        <v>2.5098083525661</v>
      </c>
      <c r="D101" s="1" t="n">
        <f aca="false">KURT('2024'!$G$1:$G$367)</f>
        <v>2.26321706620774</v>
      </c>
      <c r="E101" s="1" t="n">
        <f aca="false">KURT('2024'!$I$1:$I$367)</f>
        <v>3.60919348421272</v>
      </c>
      <c r="G101" s="1" t="s">
        <v>20</v>
      </c>
      <c r="H101" s="1" t="n">
        <f aca="false">KURT('2025'!$B$1:$B$366)</f>
        <v>4.53274089690184</v>
      </c>
      <c r="I101" s="1" t="n">
        <f aca="false">KURT('2025'!$D$1:$D$366)</f>
        <v>4.62682712622967</v>
      </c>
      <c r="J101" s="1" t="n">
        <f aca="false">KURT('2025'!$F$1:$F$366)</f>
        <v>4.54267713879262</v>
      </c>
      <c r="K101" s="1" t="n">
        <f aca="false">KURT('2025'!$H$1:$H$366)</f>
        <v>3.8227324786989</v>
      </c>
    </row>
    <row r="102" customFormat="false" ht="14.4" hidden="false" customHeight="false" outlineLevel="0" collapsed="false">
      <c r="A102" s="1" t="s">
        <v>22</v>
      </c>
      <c r="B102" s="1" t="n">
        <f aca="false">SKEW('2024'!$C$1:$C$367)</f>
        <v>1.04784688390789</v>
      </c>
      <c r="C102" s="1" t="n">
        <f aca="false">SKEW('2024'!$E$1:$E$367)</f>
        <v>1.12659604679338</v>
      </c>
      <c r="D102" s="1" t="n">
        <f aca="false">SKEW('2024'!$G$1:$G$367)</f>
        <v>1.04756203853122</v>
      </c>
      <c r="E102" s="1" t="n">
        <f aca="false">SKEW('2024'!$I$1:$I$367)</f>
        <v>1.38170253298421</v>
      </c>
      <c r="G102" s="1" t="s">
        <v>22</v>
      </c>
      <c r="H102" s="1" t="n">
        <f aca="false">SKEW('2025'!$B$1:$B$366)</f>
        <v>1.30189382098979</v>
      </c>
      <c r="I102" s="1" t="n">
        <f aca="false">SKEW('2025'!$D$1:$D$366)</f>
        <v>1.36182534705188</v>
      </c>
      <c r="J102" s="1" t="n">
        <f aca="false">SKEW('2025'!$F$1:$F$366)</f>
        <v>1.30728998481995</v>
      </c>
      <c r="K102" s="1" t="n">
        <f aca="false">SKEW('2025'!$H$1:$H$366)</f>
        <v>1.31442255489676</v>
      </c>
    </row>
    <row r="103" customFormat="false" ht="14.4" hidden="false" customHeight="false" outlineLevel="0" collapsed="false">
      <c r="A103" s="1" t="s">
        <v>24</v>
      </c>
      <c r="B103" s="1" t="n">
        <f aca="false">MAX('2024'!$C$1:$C$367)-MIN('2024'!$C$1:$C$367)</f>
        <v>38273</v>
      </c>
      <c r="C103" s="1" t="n">
        <f aca="false">MAX('2024'!$E$1:$E$367)-MIN('2024'!$E$1:$E$367)</f>
        <v>1646.1</v>
      </c>
      <c r="D103" s="1" t="n">
        <f aca="false">MAX('2024'!$G$1:$G$367)-MIN('2024'!$G$1:$G$367)</f>
        <v>26.79</v>
      </c>
      <c r="E103" s="1" t="n">
        <f aca="false">MAX('2024'!$I$1:$I$367)-MIN('2024'!$I$1:$I$367)</f>
        <v>374</v>
      </c>
      <c r="G103" s="1" t="s">
        <v>24</v>
      </c>
      <c r="H103" s="1" t="n">
        <f aca="false">MAX('2025'!$B$1:$B$366)-MIN('2025'!$B$1:$B$366)</f>
        <v>46104</v>
      </c>
      <c r="I103" s="1" t="n">
        <f aca="false">MAX('2025'!$D$1:$D$366)-MIN('2025'!$D$1:$D$366)</f>
        <v>2002.4</v>
      </c>
      <c r="J103" s="1" t="n">
        <f aca="false">MAX('2025'!$F$1:$F$366)-MIN('2025'!$F$1:$F$366)</f>
        <v>33.2</v>
      </c>
      <c r="K103" s="1" t="n">
        <f aca="false">MAX('2025'!$H$1:$H$366)-MIN('2025'!$H$1:$H$366)</f>
        <v>374</v>
      </c>
    </row>
    <row r="104" customFormat="false" ht="14.4" hidden="false" customHeight="false" outlineLevel="0" collapsed="false">
      <c r="A104" s="1" t="s">
        <v>26</v>
      </c>
      <c r="B104" s="1" t="n">
        <f aca="false">MIN('2024'!$C$1:$C$367)</f>
        <v>232</v>
      </c>
      <c r="C104" s="1" t="n">
        <f aca="false">MIN('2024'!$E$1:$E$367)</f>
        <v>10.9</v>
      </c>
      <c r="D104" s="1" t="n">
        <f aca="false">MIN('2024'!$G$1:$G$367)</f>
        <v>0.16</v>
      </c>
      <c r="E104" s="1" t="n">
        <f aca="false">MIN('2024'!$I$1:$I$367)</f>
        <v>2</v>
      </c>
      <c r="G104" s="1" t="s">
        <v>26</v>
      </c>
      <c r="H104" s="1" t="n">
        <f aca="false">MIN('2025'!$B$1:$B$366)</f>
        <v>1422</v>
      </c>
      <c r="I104" s="1" t="n">
        <f aca="false">MIN('2025'!$D$1:$D$366)</f>
        <v>65.9</v>
      </c>
      <c r="J104" s="1" t="n">
        <f aca="false">MIN('2025'!$F$1:$F$366)</f>
        <v>1.02</v>
      </c>
      <c r="K104" s="1" t="n">
        <f aca="false">MIN('2025'!$H$1:$H$366)</f>
        <v>15</v>
      </c>
    </row>
    <row r="105" customFormat="false" ht="14.4" hidden="false" customHeight="false" outlineLevel="0" collapsed="false">
      <c r="A105" s="1" t="s">
        <v>28</v>
      </c>
      <c r="B105" s="1" t="n">
        <f aca="false">MAX('2024'!$C$1:$C$367)</f>
        <v>38505</v>
      </c>
      <c r="C105" s="1" t="n">
        <f aca="false">MAX('2024'!$E$1:$E$367)</f>
        <v>1657</v>
      </c>
      <c r="D105" s="1" t="n">
        <f aca="false">MAX('2024'!$G$1:$G$367)</f>
        <v>26.95</v>
      </c>
      <c r="E105" s="1" t="n">
        <f aca="false">MAX('2024'!$I$1:$I$367)</f>
        <v>376</v>
      </c>
      <c r="G105" s="1" t="s">
        <v>28</v>
      </c>
      <c r="H105" s="1" t="n">
        <f aca="false">MAX('2025'!$B$1:$B$366)</f>
        <v>47526</v>
      </c>
      <c r="I105" s="1" t="n">
        <f aca="false">MAX('2025'!$D$1:$D$366)</f>
        <v>2068.3</v>
      </c>
      <c r="J105" s="1" t="n">
        <f aca="false">MAX('2025'!$F$1:$F$366)</f>
        <v>34.22</v>
      </c>
      <c r="K105" s="1" t="n">
        <f aca="false">MAX('2025'!$H$1:$H$366)</f>
        <v>389</v>
      </c>
    </row>
    <row r="106" customFormat="false" ht="14.4" hidden="false" customHeight="false" outlineLevel="0" collapsed="false">
      <c r="A106" s="1" t="s">
        <v>30</v>
      </c>
      <c r="B106" s="1" t="n">
        <f aca="false">SUM('2024'!$C$1:$C$367)</f>
        <v>4700709</v>
      </c>
      <c r="C106" s="1" t="n">
        <f aca="false">SUM('2024'!$E$1:$E$367)</f>
        <v>201531.9</v>
      </c>
      <c r="D106" s="1" t="n">
        <f aca="false">SUM('2024'!$G$1:$G$367)</f>
        <v>3290.39</v>
      </c>
      <c r="E106" s="1" t="n">
        <f aca="false">SUM('2024'!$I$1:$I$367)</f>
        <v>44958</v>
      </c>
      <c r="G106" s="1" t="s">
        <v>30</v>
      </c>
      <c r="H106" s="1" t="n">
        <f aca="false">SUM('2025'!$B$1:$B$366)</f>
        <v>5383670</v>
      </c>
      <c r="I106" s="1" t="n">
        <f aca="false">SUM('2025'!$D$1:$D$366)</f>
        <v>235426.5</v>
      </c>
      <c r="J106" s="1" t="n">
        <f aca="false">SUM('2025'!$F$1:$F$366)</f>
        <v>3852.56</v>
      </c>
      <c r="K106" s="1" t="n">
        <f aca="false">SUM('2025'!$H$1:$H$366)</f>
        <v>51153</v>
      </c>
    </row>
    <row r="107" customFormat="false" ht="14.4" hidden="false" customHeight="false" outlineLevel="0" collapsed="false">
      <c r="A107" s="1" t="s">
        <v>32</v>
      </c>
      <c r="B107" s="1" t="n">
        <f aca="false">COUNT('2024'!$C$1:$C$367)</f>
        <v>366</v>
      </c>
      <c r="C107" s="1" t="n">
        <f aca="false">COUNT('2024'!$E$1:$E$367)</f>
        <v>366</v>
      </c>
      <c r="D107" s="1" t="n">
        <f aca="false">COUNT('2024'!$G$1:$G$367)</f>
        <v>366</v>
      </c>
      <c r="E107" s="1" t="n">
        <f aca="false">COUNT('2024'!$I$1:$I$367)</f>
        <v>366</v>
      </c>
      <c r="G107" s="1" t="s">
        <v>32</v>
      </c>
      <c r="H107" s="1" t="n">
        <f aca="false">COUNT('2025'!$B$1:$B$366)</f>
        <v>365</v>
      </c>
      <c r="I107" s="1" t="n">
        <f aca="false">COUNT('2025'!$D$1:$D$366)</f>
        <v>365</v>
      </c>
      <c r="J107" s="1" t="n">
        <f aca="false">COUNT('2025'!$F$1:$F$366)</f>
        <v>365</v>
      </c>
      <c r="K107" s="1" t="n">
        <f aca="false">COUNT('2025'!$H$1:$H$366)</f>
        <v>365</v>
      </c>
    </row>
  </sheetData>
  <mergeCells count="8">
    <mergeCell ref="A37:E37"/>
    <mergeCell ref="G37:K37"/>
    <mergeCell ref="A55:E55"/>
    <mergeCell ref="G55:K55"/>
    <mergeCell ref="A73:E73"/>
    <mergeCell ref="G73:K73"/>
    <mergeCell ref="A91:E91"/>
    <mergeCell ref="G91:K9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2079</TotalTime>
  <Application>LibreOffice/25.8.6.2$Windows_X86_64 LibreOffice_project/b4b39682cd9868fa725bc664aff94278d315bd04</Application>
  <AppVersion>15.0000</AppVersion>
  <Company>IDI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2017-11-23T21:37:00Z</dcterms:created>
  <dc:creator>Stefan Panev</dc:creator>
  <dc:description/>
  <dc:language>en-US</dc:language>
  <cp:lastModifiedBy/>
  <dcterms:modified xsi:type="dcterms:W3CDTF">2026-06-01T00:02:40Z</dcterms:modified>
  <cp:revision>321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